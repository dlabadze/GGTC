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G\Odoo\GGTC\New folder (2)\"/>
    </mc:Choice>
  </mc:AlternateContent>
  <xr:revisionPtr revIDLastSave="0" documentId="13_ncr:1_{899C2858-998F-4805-8B60-81635B2684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ნაშთი საწყობი შედარება" sheetId="7" r:id="rId1"/>
    <sheet name="მოგვიანებით დასამატებელი პოზიცი" sheetId="8" r:id="rId2"/>
    <sheet name="Sheet1" sheetId="9" r:id="rId3"/>
  </sheets>
  <externalReferences>
    <externalReference r:id="rId4"/>
  </externalReferences>
  <definedNames>
    <definedName name="_xlnm._FilterDatabase" localSheetId="0" hidden="1">'ნაშთი საწყობი შედარება'!$A$1:$X$1652</definedName>
    <definedName name="_xlnm.Print_Area" localSheetId="1">'მოგვიანებით დასამატებელი პოზიცი'!#REF!</definedName>
  </definedNames>
  <calcPr calcId="191029"/>
</workbook>
</file>

<file path=xl/calcChain.xml><?xml version="1.0" encoding="utf-8"?>
<calcChain xmlns="http://schemas.openxmlformats.org/spreadsheetml/2006/main">
  <c r="H3" i="7" l="1"/>
  <c r="I3" i="7" s="1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H22" i="7"/>
  <c r="I22" i="7" s="1"/>
  <c r="H23" i="7"/>
  <c r="I23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 s="1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I87" i="7" s="1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I116" i="7" s="1"/>
  <c r="H117" i="7"/>
  <c r="I117" i="7" s="1"/>
  <c r="H118" i="7"/>
  <c r="I118" i="7" s="1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I217" i="7" s="1"/>
  <c r="H218" i="7"/>
  <c r="I218" i="7" s="1"/>
  <c r="H219" i="7"/>
  <c r="I219" i="7" s="1"/>
  <c r="H220" i="7"/>
  <c r="I220" i="7" s="1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  <c r="I237" i="7" s="1"/>
  <c r="H238" i="7"/>
  <c r="I238" i="7" s="1"/>
  <c r="H239" i="7"/>
  <c r="I239" i="7" s="1"/>
  <c r="H240" i="7"/>
  <c r="I240" i="7" s="1"/>
  <c r="H241" i="7"/>
  <c r="I241" i="7" s="1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 s="1"/>
  <c r="H254" i="7"/>
  <c r="I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I268" i="7" s="1"/>
  <c r="H269" i="7"/>
  <c r="I269" i="7" s="1"/>
  <c r="H270" i="7"/>
  <c r="I270" i="7" s="1"/>
  <c r="H271" i="7"/>
  <c r="I271" i="7" s="1"/>
  <c r="H272" i="7"/>
  <c r="I272" i="7" s="1"/>
  <c r="H273" i="7"/>
  <c r="I273" i="7" s="1"/>
  <c r="H274" i="7"/>
  <c r="I274" i="7" s="1"/>
  <c r="H275" i="7"/>
  <c r="I275" i="7" s="1"/>
  <c r="H276" i="7"/>
  <c r="I276" i="7" s="1"/>
  <c r="H277" i="7"/>
  <c r="I277" i="7" s="1"/>
  <c r="H278" i="7"/>
  <c r="I278" i="7" s="1"/>
  <c r="H279" i="7"/>
  <c r="I279" i="7" s="1"/>
  <c r="H280" i="7"/>
  <c r="I280" i="7" s="1"/>
  <c r="H281" i="7"/>
  <c r="I281" i="7" s="1"/>
  <c r="H282" i="7"/>
  <c r="I282" i="7" s="1"/>
  <c r="H283" i="7"/>
  <c r="I283" i="7" s="1"/>
  <c r="H284" i="7"/>
  <c r="I284" i="7" s="1"/>
  <c r="H285" i="7"/>
  <c r="I285" i="7" s="1"/>
  <c r="H286" i="7"/>
  <c r="I286" i="7" s="1"/>
  <c r="H287" i="7"/>
  <c r="I287" i="7" s="1"/>
  <c r="H288" i="7"/>
  <c r="I288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H295" i="7"/>
  <c r="I295" i="7" s="1"/>
  <c r="H296" i="7"/>
  <c r="I296" i="7" s="1"/>
  <c r="H297" i="7"/>
  <c r="I297" i="7" s="1"/>
  <c r="H298" i="7"/>
  <c r="I298" i="7" s="1"/>
  <c r="H299" i="7"/>
  <c r="I299" i="7" s="1"/>
  <c r="H300" i="7"/>
  <c r="I300" i="7" s="1"/>
  <c r="H301" i="7"/>
  <c r="I301" i="7" s="1"/>
  <c r="H302" i="7"/>
  <c r="I302" i="7" s="1"/>
  <c r="H303" i="7"/>
  <c r="I303" i="7" s="1"/>
  <c r="H304" i="7"/>
  <c r="I304" i="7" s="1"/>
  <c r="H305" i="7"/>
  <c r="I305" i="7" s="1"/>
  <c r="H306" i="7"/>
  <c r="I306" i="7" s="1"/>
  <c r="H307" i="7"/>
  <c r="I307" i="7" s="1"/>
  <c r="H308" i="7"/>
  <c r="I308" i="7" s="1"/>
  <c r="H309" i="7"/>
  <c r="I309" i="7" s="1"/>
  <c r="H310" i="7"/>
  <c r="I310" i="7" s="1"/>
  <c r="H311" i="7"/>
  <c r="I311" i="7" s="1"/>
  <c r="H312" i="7"/>
  <c r="I312" i="7" s="1"/>
  <c r="H313" i="7"/>
  <c r="I313" i="7" s="1"/>
  <c r="H314" i="7"/>
  <c r="I314" i="7" s="1"/>
  <c r="H315" i="7"/>
  <c r="I315" i="7" s="1"/>
  <c r="H316" i="7"/>
  <c r="I316" i="7" s="1"/>
  <c r="H317" i="7"/>
  <c r="I317" i="7" s="1"/>
  <c r="H318" i="7"/>
  <c r="I318" i="7" s="1"/>
  <c r="H319" i="7"/>
  <c r="I319" i="7" s="1"/>
  <c r="H320" i="7"/>
  <c r="I320" i="7" s="1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H331" i="7"/>
  <c r="I331" i="7" s="1"/>
  <c r="H332" i="7"/>
  <c r="I332" i="7" s="1"/>
  <c r="H333" i="7"/>
  <c r="I333" i="7" s="1"/>
  <c r="H334" i="7"/>
  <c r="I334" i="7" s="1"/>
  <c r="H335" i="7"/>
  <c r="I335" i="7" s="1"/>
  <c r="H336" i="7"/>
  <c r="I336" i="7" s="1"/>
  <c r="H337" i="7"/>
  <c r="I337" i="7" s="1"/>
  <c r="H338" i="7"/>
  <c r="I338" i="7" s="1"/>
  <c r="H339" i="7"/>
  <c r="I339" i="7" s="1"/>
  <c r="H340" i="7"/>
  <c r="I340" i="7" s="1"/>
  <c r="H341" i="7"/>
  <c r="I341" i="7" s="1"/>
  <c r="H342" i="7"/>
  <c r="I342" i="7" s="1"/>
  <c r="H343" i="7"/>
  <c r="I343" i="7" s="1"/>
  <c r="H344" i="7"/>
  <c r="I344" i="7" s="1"/>
  <c r="H345" i="7"/>
  <c r="I345" i="7" s="1"/>
  <c r="H346" i="7"/>
  <c r="I346" i="7" s="1"/>
  <c r="H347" i="7"/>
  <c r="I347" i="7" s="1"/>
  <c r="H348" i="7"/>
  <c r="I348" i="7" s="1"/>
  <c r="H349" i="7"/>
  <c r="I349" i="7" s="1"/>
  <c r="H350" i="7"/>
  <c r="I350" i="7" s="1"/>
  <c r="H351" i="7"/>
  <c r="I351" i="7" s="1"/>
  <c r="H352" i="7"/>
  <c r="I352" i="7" s="1"/>
  <c r="H353" i="7"/>
  <c r="I353" i="7" s="1"/>
  <c r="H354" i="7"/>
  <c r="I354" i="7" s="1"/>
  <c r="H355" i="7"/>
  <c r="I355" i="7" s="1"/>
  <c r="H356" i="7"/>
  <c r="I356" i="7" s="1"/>
  <c r="H357" i="7"/>
  <c r="I357" i="7" s="1"/>
  <c r="H358" i="7"/>
  <c r="I358" i="7" s="1"/>
  <c r="H359" i="7"/>
  <c r="I359" i="7" s="1"/>
  <c r="H360" i="7"/>
  <c r="I360" i="7" s="1"/>
  <c r="H361" i="7"/>
  <c r="I361" i="7" s="1"/>
  <c r="H362" i="7"/>
  <c r="I362" i="7" s="1"/>
  <c r="H363" i="7"/>
  <c r="I363" i="7" s="1"/>
  <c r="H364" i="7"/>
  <c r="I364" i="7" s="1"/>
  <c r="H365" i="7"/>
  <c r="I365" i="7" s="1"/>
  <c r="H366" i="7"/>
  <c r="I366" i="7" s="1"/>
  <c r="H367" i="7"/>
  <c r="I367" i="7" s="1"/>
  <c r="H368" i="7"/>
  <c r="I368" i="7" s="1"/>
  <c r="H369" i="7"/>
  <c r="I369" i="7" s="1"/>
  <c r="H370" i="7"/>
  <c r="I370" i="7" s="1"/>
  <c r="H371" i="7"/>
  <c r="I371" i="7" s="1"/>
  <c r="H372" i="7"/>
  <c r="I372" i="7" s="1"/>
  <c r="H373" i="7"/>
  <c r="I373" i="7" s="1"/>
  <c r="H374" i="7"/>
  <c r="I374" i="7" s="1"/>
  <c r="H375" i="7"/>
  <c r="I375" i="7" s="1"/>
  <c r="H376" i="7"/>
  <c r="I376" i="7" s="1"/>
  <c r="H377" i="7"/>
  <c r="I377" i="7" s="1"/>
  <c r="H378" i="7"/>
  <c r="I378" i="7" s="1"/>
  <c r="H379" i="7"/>
  <c r="I379" i="7" s="1"/>
  <c r="H380" i="7"/>
  <c r="I380" i="7" s="1"/>
  <c r="H381" i="7"/>
  <c r="I381" i="7" s="1"/>
  <c r="H382" i="7"/>
  <c r="I382" i="7" s="1"/>
  <c r="H383" i="7"/>
  <c r="I383" i="7" s="1"/>
  <c r="H384" i="7"/>
  <c r="I384" i="7" s="1"/>
  <c r="H385" i="7"/>
  <c r="I385" i="7" s="1"/>
  <c r="H386" i="7"/>
  <c r="I386" i="7" s="1"/>
  <c r="H387" i="7"/>
  <c r="I387" i="7" s="1"/>
  <c r="H388" i="7"/>
  <c r="I388" i="7" s="1"/>
  <c r="H389" i="7"/>
  <c r="I389" i="7" s="1"/>
  <c r="H390" i="7"/>
  <c r="I390" i="7" s="1"/>
  <c r="H391" i="7"/>
  <c r="I391" i="7" s="1"/>
  <c r="H392" i="7"/>
  <c r="I392" i="7" s="1"/>
  <c r="H393" i="7"/>
  <c r="I393" i="7" s="1"/>
  <c r="H394" i="7"/>
  <c r="I394" i="7" s="1"/>
  <c r="H395" i="7"/>
  <c r="I395" i="7" s="1"/>
  <c r="H396" i="7"/>
  <c r="I396" i="7" s="1"/>
  <c r="H397" i="7"/>
  <c r="I397" i="7" s="1"/>
  <c r="H398" i="7"/>
  <c r="I398" i="7" s="1"/>
  <c r="H399" i="7"/>
  <c r="I399" i="7" s="1"/>
  <c r="H400" i="7"/>
  <c r="I400" i="7" s="1"/>
  <c r="H401" i="7"/>
  <c r="I401" i="7" s="1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 s="1"/>
  <c r="H408" i="7"/>
  <c r="I408" i="7" s="1"/>
  <c r="H409" i="7"/>
  <c r="I409" i="7" s="1"/>
  <c r="H410" i="7"/>
  <c r="I410" i="7" s="1"/>
  <c r="H411" i="7"/>
  <c r="I411" i="7" s="1"/>
  <c r="H412" i="7"/>
  <c r="I412" i="7" s="1"/>
  <c r="H413" i="7"/>
  <c r="I413" i="7" s="1"/>
  <c r="H414" i="7"/>
  <c r="I414" i="7" s="1"/>
  <c r="H415" i="7"/>
  <c r="I415" i="7" s="1"/>
  <c r="H416" i="7"/>
  <c r="I416" i="7" s="1"/>
  <c r="H417" i="7"/>
  <c r="I417" i="7" s="1"/>
  <c r="H418" i="7"/>
  <c r="I418" i="7" s="1"/>
  <c r="H419" i="7"/>
  <c r="I419" i="7" s="1"/>
  <c r="H420" i="7"/>
  <c r="I420" i="7" s="1"/>
  <c r="H421" i="7"/>
  <c r="I421" i="7" s="1"/>
  <c r="H422" i="7"/>
  <c r="I422" i="7" s="1"/>
  <c r="H423" i="7"/>
  <c r="I423" i="7" s="1"/>
  <c r="H424" i="7"/>
  <c r="I424" i="7" s="1"/>
  <c r="H425" i="7"/>
  <c r="I425" i="7" s="1"/>
  <c r="H426" i="7"/>
  <c r="I426" i="7" s="1"/>
  <c r="H427" i="7"/>
  <c r="I427" i="7" s="1"/>
  <c r="H428" i="7"/>
  <c r="I428" i="7" s="1"/>
  <c r="H429" i="7"/>
  <c r="I429" i="7" s="1"/>
  <c r="H430" i="7"/>
  <c r="I430" i="7" s="1"/>
  <c r="H431" i="7"/>
  <c r="I431" i="7" s="1"/>
  <c r="H432" i="7"/>
  <c r="I432" i="7" s="1"/>
  <c r="H433" i="7"/>
  <c r="I433" i="7" s="1"/>
  <c r="H434" i="7"/>
  <c r="I434" i="7" s="1"/>
  <c r="H435" i="7"/>
  <c r="I435" i="7" s="1"/>
  <c r="H436" i="7"/>
  <c r="I436" i="7" s="1"/>
  <c r="H437" i="7"/>
  <c r="I437" i="7" s="1"/>
  <c r="H438" i="7"/>
  <c r="I438" i="7" s="1"/>
  <c r="H439" i="7"/>
  <c r="I439" i="7" s="1"/>
  <c r="H440" i="7"/>
  <c r="I440" i="7" s="1"/>
  <c r="H441" i="7"/>
  <c r="I441" i="7" s="1"/>
  <c r="H442" i="7"/>
  <c r="I442" i="7" s="1"/>
  <c r="H443" i="7"/>
  <c r="I443" i="7" s="1"/>
  <c r="H444" i="7"/>
  <c r="I444" i="7" s="1"/>
  <c r="H445" i="7"/>
  <c r="I445" i="7" s="1"/>
  <c r="H446" i="7"/>
  <c r="I446" i="7" s="1"/>
  <c r="H447" i="7"/>
  <c r="I447" i="7" s="1"/>
  <c r="H448" i="7"/>
  <c r="I448" i="7" s="1"/>
  <c r="H449" i="7"/>
  <c r="I449" i="7" s="1"/>
  <c r="H450" i="7"/>
  <c r="I450" i="7" s="1"/>
  <c r="H451" i="7"/>
  <c r="I451" i="7" s="1"/>
  <c r="H452" i="7"/>
  <c r="I452" i="7" s="1"/>
  <c r="H453" i="7"/>
  <c r="I453" i="7" s="1"/>
  <c r="H454" i="7"/>
  <c r="I454" i="7" s="1"/>
  <c r="H455" i="7"/>
  <c r="I455" i="7" s="1"/>
  <c r="H456" i="7"/>
  <c r="I456" i="7" s="1"/>
  <c r="H457" i="7"/>
  <c r="I457" i="7" s="1"/>
  <c r="H458" i="7"/>
  <c r="I458" i="7" s="1"/>
  <c r="H459" i="7"/>
  <c r="I459" i="7" s="1"/>
  <c r="H460" i="7"/>
  <c r="I460" i="7" s="1"/>
  <c r="H461" i="7"/>
  <c r="I461" i="7" s="1"/>
  <c r="H462" i="7"/>
  <c r="I462" i="7" s="1"/>
  <c r="H463" i="7"/>
  <c r="I463" i="7" s="1"/>
  <c r="H464" i="7"/>
  <c r="I464" i="7" s="1"/>
  <c r="H465" i="7"/>
  <c r="I465" i="7" s="1"/>
  <c r="H466" i="7"/>
  <c r="I466" i="7" s="1"/>
  <c r="H467" i="7"/>
  <c r="I467" i="7" s="1"/>
  <c r="H468" i="7"/>
  <c r="I468" i="7" s="1"/>
  <c r="H469" i="7"/>
  <c r="I469" i="7" s="1"/>
  <c r="H470" i="7"/>
  <c r="I470" i="7" s="1"/>
  <c r="H471" i="7"/>
  <c r="I471" i="7" s="1"/>
  <c r="H472" i="7"/>
  <c r="I472" i="7" s="1"/>
  <c r="H473" i="7"/>
  <c r="I473" i="7" s="1"/>
  <c r="H474" i="7"/>
  <c r="I474" i="7" s="1"/>
  <c r="H475" i="7"/>
  <c r="I475" i="7" s="1"/>
  <c r="H476" i="7"/>
  <c r="I476" i="7" s="1"/>
  <c r="H477" i="7"/>
  <c r="I477" i="7" s="1"/>
  <c r="H478" i="7"/>
  <c r="I478" i="7" s="1"/>
  <c r="H479" i="7"/>
  <c r="I479" i="7" s="1"/>
  <c r="H480" i="7"/>
  <c r="I480" i="7" s="1"/>
  <c r="H481" i="7"/>
  <c r="I481" i="7" s="1"/>
  <c r="H482" i="7"/>
  <c r="I482" i="7" s="1"/>
  <c r="H483" i="7"/>
  <c r="I483" i="7" s="1"/>
  <c r="H484" i="7"/>
  <c r="I484" i="7" s="1"/>
  <c r="H485" i="7"/>
  <c r="I485" i="7" s="1"/>
  <c r="H486" i="7"/>
  <c r="I486" i="7" s="1"/>
  <c r="H487" i="7"/>
  <c r="I487" i="7" s="1"/>
  <c r="H488" i="7"/>
  <c r="I488" i="7" s="1"/>
  <c r="H489" i="7"/>
  <c r="I489" i="7" s="1"/>
  <c r="H490" i="7"/>
  <c r="I490" i="7" s="1"/>
  <c r="H491" i="7"/>
  <c r="I491" i="7" s="1"/>
  <c r="H492" i="7"/>
  <c r="I492" i="7" s="1"/>
  <c r="H493" i="7"/>
  <c r="I493" i="7" s="1"/>
  <c r="H494" i="7"/>
  <c r="I494" i="7" s="1"/>
  <c r="H495" i="7"/>
  <c r="I495" i="7" s="1"/>
  <c r="H496" i="7"/>
  <c r="I496" i="7" s="1"/>
  <c r="H497" i="7"/>
  <c r="I497" i="7" s="1"/>
  <c r="H498" i="7"/>
  <c r="I498" i="7" s="1"/>
  <c r="H499" i="7"/>
  <c r="I499" i="7" s="1"/>
  <c r="H500" i="7"/>
  <c r="I500" i="7" s="1"/>
  <c r="H501" i="7"/>
  <c r="I501" i="7" s="1"/>
  <c r="H502" i="7"/>
  <c r="I502" i="7" s="1"/>
  <c r="H503" i="7"/>
  <c r="I503" i="7" s="1"/>
  <c r="H504" i="7"/>
  <c r="I504" i="7" s="1"/>
  <c r="H505" i="7"/>
  <c r="I505" i="7" s="1"/>
  <c r="H506" i="7"/>
  <c r="I506" i="7" s="1"/>
  <c r="H507" i="7"/>
  <c r="I507" i="7" s="1"/>
  <c r="H508" i="7"/>
  <c r="I508" i="7" s="1"/>
  <c r="H509" i="7"/>
  <c r="I509" i="7" s="1"/>
  <c r="H510" i="7"/>
  <c r="I510" i="7" s="1"/>
  <c r="H511" i="7"/>
  <c r="I511" i="7" s="1"/>
  <c r="H512" i="7"/>
  <c r="I512" i="7" s="1"/>
  <c r="H513" i="7"/>
  <c r="I513" i="7" s="1"/>
  <c r="H514" i="7"/>
  <c r="I514" i="7" s="1"/>
  <c r="H515" i="7"/>
  <c r="I515" i="7" s="1"/>
  <c r="H516" i="7"/>
  <c r="I516" i="7" s="1"/>
  <c r="H517" i="7"/>
  <c r="I517" i="7" s="1"/>
  <c r="H518" i="7"/>
  <c r="I518" i="7" s="1"/>
  <c r="H519" i="7"/>
  <c r="I519" i="7" s="1"/>
  <c r="H520" i="7"/>
  <c r="I520" i="7" s="1"/>
  <c r="H521" i="7"/>
  <c r="I521" i="7" s="1"/>
  <c r="H522" i="7"/>
  <c r="I522" i="7" s="1"/>
  <c r="H523" i="7"/>
  <c r="I523" i="7" s="1"/>
  <c r="H524" i="7"/>
  <c r="I524" i="7" s="1"/>
  <c r="H525" i="7"/>
  <c r="I525" i="7" s="1"/>
  <c r="H526" i="7"/>
  <c r="I526" i="7" s="1"/>
  <c r="H527" i="7"/>
  <c r="I527" i="7" s="1"/>
  <c r="H528" i="7"/>
  <c r="I528" i="7" s="1"/>
  <c r="H529" i="7"/>
  <c r="I529" i="7" s="1"/>
  <c r="H530" i="7"/>
  <c r="I530" i="7" s="1"/>
  <c r="H531" i="7"/>
  <c r="I531" i="7" s="1"/>
  <c r="H532" i="7"/>
  <c r="I532" i="7" s="1"/>
  <c r="H533" i="7"/>
  <c r="I533" i="7" s="1"/>
  <c r="H534" i="7"/>
  <c r="I534" i="7" s="1"/>
  <c r="H535" i="7"/>
  <c r="I535" i="7" s="1"/>
  <c r="H536" i="7"/>
  <c r="I536" i="7" s="1"/>
  <c r="H537" i="7"/>
  <c r="I537" i="7" s="1"/>
  <c r="H538" i="7"/>
  <c r="I538" i="7" s="1"/>
  <c r="H539" i="7"/>
  <c r="I539" i="7" s="1"/>
  <c r="H540" i="7"/>
  <c r="I540" i="7" s="1"/>
  <c r="H541" i="7"/>
  <c r="I541" i="7" s="1"/>
  <c r="H542" i="7"/>
  <c r="I542" i="7" s="1"/>
  <c r="H543" i="7"/>
  <c r="I543" i="7" s="1"/>
  <c r="H544" i="7"/>
  <c r="I544" i="7" s="1"/>
  <c r="H545" i="7"/>
  <c r="I545" i="7" s="1"/>
  <c r="H546" i="7"/>
  <c r="I546" i="7" s="1"/>
  <c r="H547" i="7"/>
  <c r="I547" i="7" s="1"/>
  <c r="H548" i="7"/>
  <c r="I548" i="7" s="1"/>
  <c r="H549" i="7"/>
  <c r="I549" i="7" s="1"/>
  <c r="H550" i="7"/>
  <c r="I550" i="7" s="1"/>
  <c r="H551" i="7"/>
  <c r="I551" i="7" s="1"/>
  <c r="H552" i="7"/>
  <c r="I552" i="7" s="1"/>
  <c r="H553" i="7"/>
  <c r="I553" i="7" s="1"/>
  <c r="H554" i="7"/>
  <c r="I554" i="7" s="1"/>
  <c r="H555" i="7"/>
  <c r="I555" i="7" s="1"/>
  <c r="H556" i="7"/>
  <c r="I556" i="7" s="1"/>
  <c r="H557" i="7"/>
  <c r="I557" i="7" s="1"/>
  <c r="H558" i="7"/>
  <c r="I558" i="7" s="1"/>
  <c r="H559" i="7"/>
  <c r="I559" i="7" s="1"/>
  <c r="H560" i="7"/>
  <c r="I560" i="7" s="1"/>
  <c r="H561" i="7"/>
  <c r="I561" i="7" s="1"/>
  <c r="H562" i="7"/>
  <c r="I562" i="7" s="1"/>
  <c r="H563" i="7"/>
  <c r="I563" i="7" s="1"/>
  <c r="H564" i="7"/>
  <c r="I564" i="7" s="1"/>
  <c r="H565" i="7"/>
  <c r="I565" i="7" s="1"/>
  <c r="H566" i="7"/>
  <c r="I566" i="7" s="1"/>
  <c r="H567" i="7"/>
  <c r="I567" i="7" s="1"/>
  <c r="H568" i="7"/>
  <c r="I568" i="7" s="1"/>
  <c r="H569" i="7"/>
  <c r="I569" i="7" s="1"/>
  <c r="H570" i="7"/>
  <c r="I570" i="7" s="1"/>
  <c r="H571" i="7"/>
  <c r="I571" i="7" s="1"/>
  <c r="H572" i="7"/>
  <c r="I572" i="7" s="1"/>
  <c r="H573" i="7"/>
  <c r="I573" i="7" s="1"/>
  <c r="H574" i="7"/>
  <c r="I574" i="7" s="1"/>
  <c r="H575" i="7"/>
  <c r="I575" i="7" s="1"/>
  <c r="H576" i="7"/>
  <c r="I576" i="7" s="1"/>
  <c r="H577" i="7"/>
  <c r="I577" i="7" s="1"/>
  <c r="H578" i="7"/>
  <c r="I578" i="7" s="1"/>
  <c r="H579" i="7"/>
  <c r="I579" i="7" s="1"/>
  <c r="H580" i="7"/>
  <c r="I580" i="7" s="1"/>
  <c r="H581" i="7"/>
  <c r="I581" i="7" s="1"/>
  <c r="H582" i="7"/>
  <c r="I582" i="7" s="1"/>
  <c r="H583" i="7"/>
  <c r="I583" i="7" s="1"/>
  <c r="H584" i="7"/>
  <c r="I584" i="7" s="1"/>
  <c r="H585" i="7"/>
  <c r="I585" i="7" s="1"/>
  <c r="H586" i="7"/>
  <c r="I586" i="7" s="1"/>
  <c r="H587" i="7"/>
  <c r="I587" i="7" s="1"/>
  <c r="H588" i="7"/>
  <c r="I588" i="7" s="1"/>
  <c r="H589" i="7"/>
  <c r="I589" i="7" s="1"/>
  <c r="H590" i="7"/>
  <c r="I590" i="7" s="1"/>
  <c r="H591" i="7"/>
  <c r="I591" i="7" s="1"/>
  <c r="H592" i="7"/>
  <c r="I592" i="7" s="1"/>
  <c r="H593" i="7"/>
  <c r="I593" i="7" s="1"/>
  <c r="H594" i="7"/>
  <c r="I594" i="7" s="1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 s="1"/>
  <c r="H603" i="7"/>
  <c r="I603" i="7" s="1"/>
  <c r="H604" i="7"/>
  <c r="I604" i="7" s="1"/>
  <c r="H605" i="7"/>
  <c r="I605" i="7" s="1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 s="1"/>
  <c r="H612" i="7"/>
  <c r="I612" i="7" s="1"/>
  <c r="H613" i="7"/>
  <c r="I613" i="7" s="1"/>
  <c r="H614" i="7"/>
  <c r="I614" i="7" s="1"/>
  <c r="H615" i="7"/>
  <c r="I615" i="7" s="1"/>
  <c r="H616" i="7"/>
  <c r="I616" i="7" s="1"/>
  <c r="H617" i="7"/>
  <c r="I617" i="7" s="1"/>
  <c r="H618" i="7"/>
  <c r="I618" i="7" s="1"/>
  <c r="H619" i="7"/>
  <c r="I619" i="7" s="1"/>
  <c r="H620" i="7"/>
  <c r="I620" i="7" s="1"/>
  <c r="H621" i="7"/>
  <c r="I621" i="7" s="1"/>
  <c r="H622" i="7"/>
  <c r="I622" i="7" s="1"/>
  <c r="H623" i="7"/>
  <c r="I623" i="7" s="1"/>
  <c r="H624" i="7"/>
  <c r="I624" i="7" s="1"/>
  <c r="H625" i="7"/>
  <c r="I625" i="7" s="1"/>
  <c r="H626" i="7"/>
  <c r="I626" i="7" s="1"/>
  <c r="H627" i="7"/>
  <c r="I627" i="7" s="1"/>
  <c r="H628" i="7"/>
  <c r="I628" i="7" s="1"/>
  <c r="H629" i="7"/>
  <c r="I629" i="7" s="1"/>
  <c r="H630" i="7"/>
  <c r="I630" i="7" s="1"/>
  <c r="H631" i="7"/>
  <c r="I631" i="7" s="1"/>
  <c r="H632" i="7"/>
  <c r="I632" i="7" s="1"/>
  <c r="H633" i="7"/>
  <c r="I633" i="7" s="1"/>
  <c r="H634" i="7"/>
  <c r="I634" i="7" s="1"/>
  <c r="H635" i="7"/>
  <c r="I635" i="7" s="1"/>
  <c r="H636" i="7"/>
  <c r="I636" i="7" s="1"/>
  <c r="H637" i="7"/>
  <c r="I637" i="7" s="1"/>
  <c r="H638" i="7"/>
  <c r="I638" i="7" s="1"/>
  <c r="H639" i="7"/>
  <c r="I639" i="7" s="1"/>
  <c r="H640" i="7"/>
  <c r="I640" i="7" s="1"/>
  <c r="H641" i="7"/>
  <c r="I641" i="7" s="1"/>
  <c r="H642" i="7"/>
  <c r="I642" i="7" s="1"/>
  <c r="H643" i="7"/>
  <c r="I643" i="7" s="1"/>
  <c r="H644" i="7"/>
  <c r="I644" i="7" s="1"/>
  <c r="H645" i="7"/>
  <c r="I645" i="7" s="1"/>
  <c r="H646" i="7"/>
  <c r="I646" i="7" s="1"/>
  <c r="H647" i="7"/>
  <c r="I647" i="7" s="1"/>
  <c r="H648" i="7"/>
  <c r="I648" i="7" s="1"/>
  <c r="H649" i="7"/>
  <c r="I649" i="7" s="1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 s="1"/>
  <c r="H656" i="7"/>
  <c r="I656" i="7" s="1"/>
  <c r="H657" i="7"/>
  <c r="I657" i="7" s="1"/>
  <c r="H658" i="7"/>
  <c r="I658" i="7" s="1"/>
  <c r="H659" i="7"/>
  <c r="I659" i="7" s="1"/>
  <c r="H660" i="7"/>
  <c r="I660" i="7" s="1"/>
  <c r="H661" i="7"/>
  <c r="I661" i="7" s="1"/>
  <c r="H662" i="7"/>
  <c r="I662" i="7" s="1"/>
  <c r="H663" i="7"/>
  <c r="I663" i="7" s="1"/>
  <c r="H664" i="7"/>
  <c r="I664" i="7" s="1"/>
  <c r="H665" i="7"/>
  <c r="I665" i="7" s="1"/>
  <c r="H666" i="7"/>
  <c r="I666" i="7" s="1"/>
  <c r="H667" i="7"/>
  <c r="I667" i="7" s="1"/>
  <c r="H668" i="7"/>
  <c r="I668" i="7" s="1"/>
  <c r="H669" i="7"/>
  <c r="I669" i="7" s="1"/>
  <c r="H670" i="7"/>
  <c r="I670" i="7" s="1"/>
  <c r="H671" i="7"/>
  <c r="I671" i="7" s="1"/>
  <c r="H672" i="7"/>
  <c r="I672" i="7" s="1"/>
  <c r="H673" i="7"/>
  <c r="I673" i="7" s="1"/>
  <c r="H674" i="7"/>
  <c r="I674" i="7" s="1"/>
  <c r="H675" i="7"/>
  <c r="I675" i="7" s="1"/>
  <c r="H676" i="7"/>
  <c r="I676" i="7" s="1"/>
  <c r="H677" i="7"/>
  <c r="I677" i="7" s="1"/>
  <c r="H678" i="7"/>
  <c r="I678" i="7" s="1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I685" i="7" s="1"/>
  <c r="H686" i="7"/>
  <c r="I686" i="7" s="1"/>
  <c r="H687" i="7"/>
  <c r="I687" i="7" s="1"/>
  <c r="H688" i="7"/>
  <c r="I688" i="7" s="1"/>
  <c r="H689" i="7"/>
  <c r="I689" i="7" s="1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 s="1"/>
  <c r="H696" i="7"/>
  <c r="I696" i="7" s="1"/>
  <c r="H697" i="7"/>
  <c r="I697" i="7" s="1"/>
  <c r="H698" i="7"/>
  <c r="I698" i="7" s="1"/>
  <c r="H699" i="7"/>
  <c r="I699" i="7" s="1"/>
  <c r="H700" i="7"/>
  <c r="I700" i="7" s="1"/>
  <c r="H701" i="7"/>
  <c r="I701" i="7" s="1"/>
  <c r="H702" i="7"/>
  <c r="I702" i="7" s="1"/>
  <c r="H703" i="7"/>
  <c r="I703" i="7" s="1"/>
  <c r="H704" i="7"/>
  <c r="I704" i="7" s="1"/>
  <c r="H705" i="7"/>
  <c r="I705" i="7" s="1"/>
  <c r="H706" i="7"/>
  <c r="I706" i="7" s="1"/>
  <c r="H707" i="7"/>
  <c r="I707" i="7" s="1"/>
  <c r="H708" i="7"/>
  <c r="I708" i="7" s="1"/>
  <c r="H709" i="7"/>
  <c r="I709" i="7" s="1"/>
  <c r="H710" i="7"/>
  <c r="I710" i="7" s="1"/>
  <c r="H711" i="7"/>
  <c r="I711" i="7" s="1"/>
  <c r="H712" i="7"/>
  <c r="I712" i="7" s="1"/>
  <c r="H713" i="7"/>
  <c r="I713" i="7" s="1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 s="1"/>
  <c r="H720" i="7"/>
  <c r="I720" i="7" s="1"/>
  <c r="H721" i="7"/>
  <c r="I721" i="7" s="1"/>
  <c r="H722" i="7"/>
  <c r="I722" i="7" s="1"/>
  <c r="H723" i="7"/>
  <c r="I723" i="7" s="1"/>
  <c r="H724" i="7"/>
  <c r="I724" i="7" s="1"/>
  <c r="H725" i="7"/>
  <c r="I725" i="7" s="1"/>
  <c r="H726" i="7"/>
  <c r="I726" i="7" s="1"/>
  <c r="H727" i="7"/>
  <c r="I727" i="7" s="1"/>
  <c r="H728" i="7"/>
  <c r="I728" i="7" s="1"/>
  <c r="H729" i="7"/>
  <c r="I729" i="7" s="1"/>
  <c r="H730" i="7"/>
  <c r="I730" i="7" s="1"/>
  <c r="H731" i="7"/>
  <c r="I731" i="7" s="1"/>
  <c r="H732" i="7"/>
  <c r="I732" i="7" s="1"/>
  <c r="H733" i="7"/>
  <c r="I733" i="7" s="1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 s="1"/>
  <c r="H740" i="7"/>
  <c r="I740" i="7" s="1"/>
  <c r="H741" i="7"/>
  <c r="I741" i="7" s="1"/>
  <c r="H742" i="7"/>
  <c r="I742" i="7" s="1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 s="1"/>
  <c r="H751" i="7"/>
  <c r="I751" i="7" s="1"/>
  <c r="H752" i="7"/>
  <c r="I752" i="7" s="1"/>
  <c r="H753" i="7"/>
  <c r="I753" i="7" s="1"/>
  <c r="H754" i="7"/>
  <c r="I754" i="7" s="1"/>
  <c r="H755" i="7"/>
  <c r="I755" i="7" s="1"/>
  <c r="H756" i="7"/>
  <c r="I756" i="7" s="1"/>
  <c r="H757" i="7"/>
  <c r="I757" i="7" s="1"/>
  <c r="H758" i="7"/>
  <c r="I758" i="7" s="1"/>
  <c r="H759" i="7"/>
  <c r="I759" i="7" s="1"/>
  <c r="H760" i="7"/>
  <c r="I760" i="7" s="1"/>
  <c r="H761" i="7"/>
  <c r="I761" i="7" s="1"/>
  <c r="H762" i="7"/>
  <c r="I762" i="7" s="1"/>
  <c r="H763" i="7"/>
  <c r="I763" i="7" s="1"/>
  <c r="H764" i="7"/>
  <c r="I764" i="7" s="1"/>
  <c r="H765" i="7"/>
  <c r="I765" i="7" s="1"/>
  <c r="H766" i="7"/>
  <c r="I766" i="7" s="1"/>
  <c r="H767" i="7"/>
  <c r="I767" i="7" s="1"/>
  <c r="H768" i="7"/>
  <c r="I768" i="7" s="1"/>
  <c r="H769" i="7"/>
  <c r="I769" i="7" s="1"/>
  <c r="H770" i="7"/>
  <c r="I770" i="7" s="1"/>
  <c r="H771" i="7"/>
  <c r="I771" i="7" s="1"/>
  <c r="H772" i="7"/>
  <c r="I772" i="7" s="1"/>
  <c r="H773" i="7"/>
  <c r="I773" i="7" s="1"/>
  <c r="H774" i="7"/>
  <c r="I774" i="7" s="1"/>
  <c r="H775" i="7"/>
  <c r="I775" i="7" s="1"/>
  <c r="H776" i="7"/>
  <c r="I776" i="7" s="1"/>
  <c r="H777" i="7"/>
  <c r="I777" i="7" s="1"/>
  <c r="H778" i="7"/>
  <c r="I778" i="7" s="1"/>
  <c r="H779" i="7"/>
  <c r="I779" i="7" s="1"/>
  <c r="H780" i="7"/>
  <c r="I780" i="7" s="1"/>
  <c r="H781" i="7"/>
  <c r="I781" i="7" s="1"/>
  <c r="H782" i="7"/>
  <c r="I782" i="7" s="1"/>
  <c r="H783" i="7"/>
  <c r="I783" i="7" s="1"/>
  <c r="H784" i="7"/>
  <c r="I784" i="7" s="1"/>
  <c r="H785" i="7"/>
  <c r="I785" i="7" s="1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 s="1"/>
  <c r="H792" i="7"/>
  <c r="I792" i="7" s="1"/>
  <c r="H793" i="7"/>
  <c r="I793" i="7" s="1"/>
  <c r="H794" i="7"/>
  <c r="I794" i="7" s="1"/>
  <c r="H795" i="7"/>
  <c r="I795" i="7" s="1"/>
  <c r="H796" i="7"/>
  <c r="I796" i="7" s="1"/>
  <c r="H797" i="7"/>
  <c r="I797" i="7" s="1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 s="1"/>
  <c r="H804" i="7"/>
  <c r="I804" i="7" s="1"/>
  <c r="H805" i="7"/>
  <c r="I805" i="7" s="1"/>
  <c r="H806" i="7"/>
  <c r="I806" i="7" s="1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 s="1"/>
  <c r="H814" i="7"/>
  <c r="I814" i="7" s="1"/>
  <c r="H815" i="7"/>
  <c r="I815" i="7" s="1"/>
  <c r="H816" i="7"/>
  <c r="I816" i="7" s="1"/>
  <c r="H817" i="7"/>
  <c r="I817" i="7" s="1"/>
  <c r="H818" i="7"/>
  <c r="I818" i="7" s="1"/>
  <c r="H819" i="7"/>
  <c r="I819" i="7" s="1"/>
  <c r="H820" i="7"/>
  <c r="I820" i="7" s="1"/>
  <c r="H821" i="7"/>
  <c r="I821" i="7" s="1"/>
  <c r="H822" i="7"/>
  <c r="I822" i="7" s="1"/>
  <c r="H823" i="7"/>
  <c r="I823" i="7" s="1"/>
  <c r="H824" i="7"/>
  <c r="I824" i="7" s="1"/>
  <c r="H825" i="7"/>
  <c r="I825" i="7" s="1"/>
  <c r="H826" i="7"/>
  <c r="I826" i="7" s="1"/>
  <c r="H827" i="7"/>
  <c r="I827" i="7" s="1"/>
  <c r="H828" i="7"/>
  <c r="I828" i="7" s="1"/>
  <c r="H829" i="7"/>
  <c r="I829" i="7" s="1"/>
  <c r="H830" i="7"/>
  <c r="I830" i="7" s="1"/>
  <c r="H831" i="7"/>
  <c r="I831" i="7" s="1"/>
  <c r="H832" i="7"/>
  <c r="I832" i="7" s="1"/>
  <c r="H833" i="7"/>
  <c r="I833" i="7" s="1"/>
  <c r="H834" i="7"/>
  <c r="I834" i="7" s="1"/>
  <c r="H835" i="7"/>
  <c r="I835" i="7" s="1"/>
  <c r="H836" i="7"/>
  <c r="I836" i="7" s="1"/>
  <c r="H837" i="7"/>
  <c r="I837" i="7" s="1"/>
  <c r="H838" i="7"/>
  <c r="I838" i="7" s="1"/>
  <c r="H839" i="7"/>
  <c r="I839" i="7" s="1"/>
  <c r="H840" i="7"/>
  <c r="I840" i="7" s="1"/>
  <c r="H841" i="7"/>
  <c r="I841" i="7" s="1"/>
  <c r="H842" i="7"/>
  <c r="I842" i="7" s="1"/>
  <c r="H843" i="7"/>
  <c r="I843" i="7" s="1"/>
  <c r="H844" i="7"/>
  <c r="I844" i="7" s="1"/>
  <c r="H845" i="7"/>
  <c r="I845" i="7" s="1"/>
  <c r="H846" i="7"/>
  <c r="I846" i="7" s="1"/>
  <c r="H847" i="7"/>
  <c r="I847" i="7" s="1"/>
  <c r="H848" i="7"/>
  <c r="I848" i="7" s="1"/>
  <c r="H849" i="7"/>
  <c r="I849" i="7" s="1"/>
  <c r="H850" i="7"/>
  <c r="I850" i="7" s="1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 s="1"/>
  <c r="H859" i="7"/>
  <c r="I859" i="7" s="1"/>
  <c r="H860" i="7"/>
  <c r="I860" i="7" s="1"/>
  <c r="H861" i="7"/>
  <c r="I861" i="7" s="1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 s="1"/>
  <c r="H868" i="7"/>
  <c r="I868" i="7" s="1"/>
  <c r="H869" i="7"/>
  <c r="I869" i="7" s="1"/>
  <c r="H870" i="7"/>
  <c r="I870" i="7" s="1"/>
  <c r="H871" i="7"/>
  <c r="I871" i="7" s="1"/>
  <c r="H872" i="7"/>
  <c r="I872" i="7" s="1"/>
  <c r="H873" i="7"/>
  <c r="I873" i="7" s="1"/>
  <c r="H874" i="7"/>
  <c r="I874" i="7" s="1"/>
  <c r="H875" i="7"/>
  <c r="I875" i="7" s="1"/>
  <c r="H876" i="7"/>
  <c r="I876" i="7" s="1"/>
  <c r="H877" i="7"/>
  <c r="I877" i="7" s="1"/>
  <c r="H878" i="7"/>
  <c r="I878" i="7" s="1"/>
  <c r="H879" i="7"/>
  <c r="I879" i="7" s="1"/>
  <c r="H880" i="7"/>
  <c r="I880" i="7" s="1"/>
  <c r="H881" i="7"/>
  <c r="I881" i="7" s="1"/>
  <c r="H882" i="7"/>
  <c r="I882" i="7" s="1"/>
  <c r="H883" i="7"/>
  <c r="I883" i="7" s="1"/>
  <c r="H884" i="7"/>
  <c r="I884" i="7" s="1"/>
  <c r="H885" i="7"/>
  <c r="I885" i="7" s="1"/>
  <c r="H886" i="7"/>
  <c r="I886" i="7" s="1"/>
  <c r="H887" i="7"/>
  <c r="I887" i="7" s="1"/>
  <c r="H888" i="7"/>
  <c r="I888" i="7" s="1"/>
  <c r="H889" i="7"/>
  <c r="I889" i="7" s="1"/>
  <c r="H890" i="7"/>
  <c r="I890" i="7" s="1"/>
  <c r="H891" i="7"/>
  <c r="I891" i="7" s="1"/>
  <c r="H892" i="7"/>
  <c r="I892" i="7" s="1"/>
  <c r="H893" i="7"/>
  <c r="I893" i="7" s="1"/>
  <c r="H894" i="7"/>
  <c r="I894" i="7" s="1"/>
  <c r="H895" i="7"/>
  <c r="I895" i="7" s="1"/>
  <c r="H896" i="7"/>
  <c r="I896" i="7" s="1"/>
  <c r="H897" i="7"/>
  <c r="I897" i="7" s="1"/>
  <c r="H898" i="7"/>
  <c r="I898" i="7" s="1"/>
  <c r="H899" i="7"/>
  <c r="I899" i="7" s="1"/>
  <c r="H900" i="7"/>
  <c r="I900" i="7" s="1"/>
  <c r="H901" i="7"/>
  <c r="I901" i="7" s="1"/>
  <c r="H902" i="7"/>
  <c r="I902" i="7" s="1"/>
  <c r="H903" i="7"/>
  <c r="I903" i="7" s="1"/>
  <c r="H904" i="7"/>
  <c r="I904" i="7" s="1"/>
  <c r="H905" i="7"/>
  <c r="I905" i="7" s="1"/>
  <c r="H906" i="7"/>
  <c r="I906" i="7" s="1"/>
  <c r="H907" i="7"/>
  <c r="I907" i="7" s="1"/>
  <c r="H908" i="7"/>
  <c r="I908" i="7" s="1"/>
  <c r="H909" i="7"/>
  <c r="I909" i="7" s="1"/>
  <c r="H910" i="7"/>
  <c r="I910" i="7" s="1"/>
  <c r="H911" i="7"/>
  <c r="I911" i="7" s="1"/>
  <c r="H912" i="7"/>
  <c r="I912" i="7" s="1"/>
  <c r="H913" i="7"/>
  <c r="I913" i="7" s="1"/>
  <c r="H914" i="7"/>
  <c r="I914" i="7" s="1"/>
  <c r="H915" i="7"/>
  <c r="I915" i="7" s="1"/>
  <c r="H916" i="7"/>
  <c r="I916" i="7" s="1"/>
  <c r="H917" i="7"/>
  <c r="I917" i="7" s="1"/>
  <c r="H918" i="7"/>
  <c r="I918" i="7" s="1"/>
  <c r="H919" i="7"/>
  <c r="I919" i="7" s="1"/>
  <c r="H920" i="7"/>
  <c r="I920" i="7" s="1"/>
  <c r="H921" i="7"/>
  <c r="I921" i="7" s="1"/>
  <c r="H922" i="7"/>
  <c r="I922" i="7" s="1"/>
  <c r="H923" i="7"/>
  <c r="I923" i="7" s="1"/>
  <c r="H924" i="7"/>
  <c r="I924" i="7" s="1"/>
  <c r="H925" i="7"/>
  <c r="I925" i="7" s="1"/>
  <c r="H926" i="7"/>
  <c r="I926" i="7" s="1"/>
  <c r="H927" i="7"/>
  <c r="I927" i="7" s="1"/>
  <c r="H928" i="7"/>
  <c r="I928" i="7" s="1"/>
  <c r="H929" i="7"/>
  <c r="I929" i="7" s="1"/>
  <c r="H930" i="7"/>
  <c r="I930" i="7" s="1"/>
  <c r="H931" i="7"/>
  <c r="I931" i="7" s="1"/>
  <c r="H932" i="7"/>
  <c r="I932" i="7" s="1"/>
  <c r="H933" i="7"/>
  <c r="I933" i="7" s="1"/>
  <c r="H934" i="7"/>
  <c r="I934" i="7" s="1"/>
  <c r="H935" i="7"/>
  <c r="I935" i="7" s="1"/>
  <c r="H936" i="7"/>
  <c r="I936" i="7" s="1"/>
  <c r="H937" i="7"/>
  <c r="I937" i="7" s="1"/>
  <c r="H938" i="7"/>
  <c r="I938" i="7" s="1"/>
  <c r="H939" i="7"/>
  <c r="I939" i="7" s="1"/>
  <c r="H940" i="7"/>
  <c r="I940" i="7" s="1"/>
  <c r="H941" i="7"/>
  <c r="I941" i="7" s="1"/>
  <c r="H942" i="7"/>
  <c r="I942" i="7" s="1"/>
  <c r="H943" i="7"/>
  <c r="I943" i="7" s="1"/>
  <c r="H944" i="7"/>
  <c r="I944" i="7" s="1"/>
  <c r="H945" i="7"/>
  <c r="I945" i="7" s="1"/>
  <c r="H946" i="7"/>
  <c r="I946" i="7" s="1"/>
  <c r="H947" i="7"/>
  <c r="I947" i="7" s="1"/>
  <c r="H948" i="7"/>
  <c r="I948" i="7" s="1"/>
  <c r="H949" i="7"/>
  <c r="I949" i="7" s="1"/>
  <c r="H950" i="7"/>
  <c r="I950" i="7" s="1"/>
  <c r="H951" i="7"/>
  <c r="I951" i="7" s="1"/>
  <c r="H952" i="7"/>
  <c r="I952" i="7" s="1"/>
  <c r="H953" i="7"/>
  <c r="I953" i="7" s="1"/>
  <c r="H954" i="7"/>
  <c r="I954" i="7" s="1"/>
  <c r="H955" i="7"/>
  <c r="I955" i="7" s="1"/>
  <c r="H956" i="7"/>
  <c r="I956" i="7" s="1"/>
  <c r="H957" i="7"/>
  <c r="I957" i="7" s="1"/>
  <c r="H958" i="7"/>
  <c r="I958" i="7" s="1"/>
  <c r="H959" i="7"/>
  <c r="I959" i="7" s="1"/>
  <c r="H960" i="7"/>
  <c r="I960" i="7" s="1"/>
  <c r="H961" i="7"/>
  <c r="I961" i="7" s="1"/>
  <c r="H962" i="7"/>
  <c r="I962" i="7" s="1"/>
  <c r="H963" i="7"/>
  <c r="I963" i="7" s="1"/>
  <c r="H964" i="7"/>
  <c r="I964" i="7" s="1"/>
  <c r="H965" i="7"/>
  <c r="I965" i="7" s="1"/>
  <c r="H966" i="7"/>
  <c r="I966" i="7" s="1"/>
  <c r="H967" i="7"/>
  <c r="I967" i="7" s="1"/>
  <c r="H968" i="7"/>
  <c r="I968" i="7" s="1"/>
  <c r="H969" i="7"/>
  <c r="I969" i="7" s="1"/>
  <c r="H970" i="7"/>
  <c r="I970" i="7" s="1"/>
  <c r="H971" i="7"/>
  <c r="I971" i="7" s="1"/>
  <c r="H972" i="7"/>
  <c r="I972" i="7" s="1"/>
  <c r="H973" i="7"/>
  <c r="I973" i="7" s="1"/>
  <c r="H974" i="7"/>
  <c r="I974" i="7" s="1"/>
  <c r="H975" i="7"/>
  <c r="I975" i="7" s="1"/>
  <c r="H976" i="7"/>
  <c r="I976" i="7" s="1"/>
  <c r="H977" i="7"/>
  <c r="I977" i="7" s="1"/>
  <c r="H978" i="7"/>
  <c r="I978" i="7" s="1"/>
  <c r="H979" i="7"/>
  <c r="I979" i="7" s="1"/>
  <c r="H980" i="7"/>
  <c r="I980" i="7" s="1"/>
  <c r="H981" i="7"/>
  <c r="I981" i="7" s="1"/>
  <c r="H982" i="7"/>
  <c r="I982" i="7" s="1"/>
  <c r="H983" i="7"/>
  <c r="I983" i="7" s="1"/>
  <c r="H984" i="7"/>
  <c r="I984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 s="1"/>
  <c r="H991" i="7"/>
  <c r="I991" i="7" s="1"/>
  <c r="H992" i="7"/>
  <c r="I992" i="7" s="1"/>
  <c r="H993" i="7"/>
  <c r="I993" i="7" s="1"/>
  <c r="H994" i="7"/>
  <c r="I994" i="7" s="1"/>
  <c r="H995" i="7"/>
  <c r="I995" i="7" s="1"/>
  <c r="H996" i="7"/>
  <c r="I996" i="7" s="1"/>
  <c r="H997" i="7"/>
  <c r="I997" i="7" s="1"/>
  <c r="H998" i="7"/>
  <c r="I998" i="7" s="1"/>
  <c r="H999" i="7"/>
  <c r="I999" i="7" s="1"/>
  <c r="H1000" i="7"/>
  <c r="I1000" i="7" s="1"/>
  <c r="H1001" i="7"/>
  <c r="I1001" i="7" s="1"/>
  <c r="H1002" i="7"/>
  <c r="I1002" i="7" s="1"/>
  <c r="H1003" i="7"/>
  <c r="I1003" i="7" s="1"/>
  <c r="H1004" i="7"/>
  <c r="I1004" i="7" s="1"/>
  <c r="H1005" i="7"/>
  <c r="I1005" i="7" s="1"/>
  <c r="H1006" i="7"/>
  <c r="I1006" i="7" s="1"/>
  <c r="H1007" i="7"/>
  <c r="I1007" i="7" s="1"/>
  <c r="H1008" i="7"/>
  <c r="I1008" i="7" s="1"/>
  <c r="H1009" i="7"/>
  <c r="I1009" i="7" s="1"/>
  <c r="H1010" i="7"/>
  <c r="I1010" i="7" s="1"/>
  <c r="H1011" i="7"/>
  <c r="I1011" i="7" s="1"/>
  <c r="H1012" i="7"/>
  <c r="I1012" i="7" s="1"/>
  <c r="H1013" i="7"/>
  <c r="I1013" i="7" s="1"/>
  <c r="H1014" i="7"/>
  <c r="I1014" i="7" s="1"/>
  <c r="H1015" i="7"/>
  <c r="I1015" i="7" s="1"/>
  <c r="H1016" i="7"/>
  <c r="I1016" i="7" s="1"/>
  <c r="H1017" i="7"/>
  <c r="I1017" i="7" s="1"/>
  <c r="H1018" i="7"/>
  <c r="I1018" i="7" s="1"/>
  <c r="H1019" i="7"/>
  <c r="I1019" i="7" s="1"/>
  <c r="H1020" i="7"/>
  <c r="I1020" i="7" s="1"/>
  <c r="H1021" i="7"/>
  <c r="I1021" i="7" s="1"/>
  <c r="H1022" i="7"/>
  <c r="I1022" i="7" s="1"/>
  <c r="H1023" i="7"/>
  <c r="I1023" i="7" s="1"/>
  <c r="H1024" i="7"/>
  <c r="I1024" i="7" s="1"/>
  <c r="H1025" i="7"/>
  <c r="I1025" i="7" s="1"/>
  <c r="H1026" i="7"/>
  <c r="I1026" i="7" s="1"/>
  <c r="H1027" i="7"/>
  <c r="I1027" i="7" s="1"/>
  <c r="H1028" i="7"/>
  <c r="I1028" i="7" s="1"/>
  <c r="H1029" i="7"/>
  <c r="I1029" i="7" s="1"/>
  <c r="H1030" i="7"/>
  <c r="I1030" i="7" s="1"/>
  <c r="H1031" i="7"/>
  <c r="I1031" i="7" s="1"/>
  <c r="H1032" i="7"/>
  <c r="I1032" i="7" s="1"/>
  <c r="H1033" i="7"/>
  <c r="I1033" i="7" s="1"/>
  <c r="H1034" i="7"/>
  <c r="I1034" i="7" s="1"/>
  <c r="H1035" i="7"/>
  <c r="I1035" i="7" s="1"/>
  <c r="H1036" i="7"/>
  <c r="I1036" i="7" s="1"/>
  <c r="H1037" i="7"/>
  <c r="I1037" i="7" s="1"/>
  <c r="H1038" i="7"/>
  <c r="I1038" i="7" s="1"/>
  <c r="H1039" i="7"/>
  <c r="I1039" i="7" s="1"/>
  <c r="H1040" i="7"/>
  <c r="I1040" i="7" s="1"/>
  <c r="H1041" i="7"/>
  <c r="I1041" i="7" s="1"/>
  <c r="H1042" i="7"/>
  <c r="I1042" i="7" s="1"/>
  <c r="H1043" i="7"/>
  <c r="I1043" i="7" s="1"/>
  <c r="H1044" i="7"/>
  <c r="I1044" i="7" s="1"/>
  <c r="H1045" i="7"/>
  <c r="I1045" i="7" s="1"/>
  <c r="H1046" i="7"/>
  <c r="I1046" i="7" s="1"/>
  <c r="H1047" i="7"/>
  <c r="I1047" i="7" s="1"/>
  <c r="H1048" i="7"/>
  <c r="I1048" i="7" s="1"/>
  <c r="H1049" i="7"/>
  <c r="I1049" i="7" s="1"/>
  <c r="H1050" i="7"/>
  <c r="I1050" i="7" s="1"/>
  <c r="H1051" i="7"/>
  <c r="I1051" i="7" s="1"/>
  <c r="H1052" i="7"/>
  <c r="I1052" i="7" s="1"/>
  <c r="H1053" i="7"/>
  <c r="I1053" i="7" s="1"/>
  <c r="H1054" i="7"/>
  <c r="I1054" i="7" s="1"/>
  <c r="H1055" i="7"/>
  <c r="I1055" i="7" s="1"/>
  <c r="H1056" i="7"/>
  <c r="I1056" i="7" s="1"/>
  <c r="H1057" i="7"/>
  <c r="I1057" i="7" s="1"/>
  <c r="H1058" i="7"/>
  <c r="I1058" i="7" s="1"/>
  <c r="H1059" i="7"/>
  <c r="I1059" i="7" s="1"/>
  <c r="H1060" i="7"/>
  <c r="I1060" i="7" s="1"/>
  <c r="H1061" i="7"/>
  <c r="I1061" i="7" s="1"/>
  <c r="H1062" i="7"/>
  <c r="I1062" i="7" s="1"/>
  <c r="H1063" i="7"/>
  <c r="I1063" i="7" s="1"/>
  <c r="H1064" i="7"/>
  <c r="I1064" i="7" s="1"/>
  <c r="H1065" i="7"/>
  <c r="I1065" i="7" s="1"/>
  <c r="H1066" i="7"/>
  <c r="I1066" i="7" s="1"/>
  <c r="H1067" i="7"/>
  <c r="I1067" i="7" s="1"/>
  <c r="H1068" i="7"/>
  <c r="I1068" i="7" s="1"/>
  <c r="H1069" i="7"/>
  <c r="I1069" i="7" s="1"/>
  <c r="H1070" i="7"/>
  <c r="I1070" i="7" s="1"/>
  <c r="H1071" i="7"/>
  <c r="I1071" i="7" s="1"/>
  <c r="H1072" i="7"/>
  <c r="I1072" i="7" s="1"/>
  <c r="H1073" i="7"/>
  <c r="I1073" i="7" s="1"/>
  <c r="H1074" i="7"/>
  <c r="I1074" i="7" s="1"/>
  <c r="H1075" i="7"/>
  <c r="I1075" i="7" s="1"/>
  <c r="H1076" i="7"/>
  <c r="I1076" i="7" s="1"/>
  <c r="H1077" i="7"/>
  <c r="I1077" i="7" s="1"/>
  <c r="H1078" i="7"/>
  <c r="I1078" i="7" s="1"/>
  <c r="H1079" i="7"/>
  <c r="I1079" i="7" s="1"/>
  <c r="H1080" i="7"/>
  <c r="I1080" i="7" s="1"/>
  <c r="H1081" i="7"/>
  <c r="I1081" i="7" s="1"/>
  <c r="H1082" i="7"/>
  <c r="I1082" i="7" s="1"/>
  <c r="H1083" i="7"/>
  <c r="I1083" i="7" s="1"/>
  <c r="H1084" i="7"/>
  <c r="I1084" i="7" s="1"/>
  <c r="H1085" i="7"/>
  <c r="I1085" i="7" s="1"/>
  <c r="H1086" i="7"/>
  <c r="I1086" i="7" s="1"/>
  <c r="H1087" i="7"/>
  <c r="I1087" i="7" s="1"/>
  <c r="H1088" i="7"/>
  <c r="I1088" i="7" s="1"/>
  <c r="H1089" i="7"/>
  <c r="I1089" i="7" s="1"/>
  <c r="H1090" i="7"/>
  <c r="I1090" i="7" s="1"/>
  <c r="H1091" i="7"/>
  <c r="I1091" i="7" s="1"/>
  <c r="H1092" i="7"/>
  <c r="I1092" i="7" s="1"/>
  <c r="H1093" i="7"/>
  <c r="I1093" i="7" s="1"/>
  <c r="H1094" i="7"/>
  <c r="I1094" i="7" s="1"/>
  <c r="H1095" i="7"/>
  <c r="I1095" i="7" s="1"/>
  <c r="H1096" i="7"/>
  <c r="I1096" i="7" s="1"/>
  <c r="H1097" i="7"/>
  <c r="I1097" i="7" s="1"/>
  <c r="H1098" i="7"/>
  <c r="I1098" i="7" s="1"/>
  <c r="H1099" i="7"/>
  <c r="I1099" i="7" s="1"/>
  <c r="H1100" i="7"/>
  <c r="I1100" i="7" s="1"/>
  <c r="H1101" i="7"/>
  <c r="I1101" i="7" s="1"/>
  <c r="H1102" i="7"/>
  <c r="I1102" i="7" s="1"/>
  <c r="H1103" i="7"/>
  <c r="I1103" i="7" s="1"/>
  <c r="H1104" i="7"/>
  <c r="I1104" i="7" s="1"/>
  <c r="H1105" i="7"/>
  <c r="I1105" i="7" s="1"/>
  <c r="H1106" i="7"/>
  <c r="I1106" i="7" s="1"/>
  <c r="H1107" i="7"/>
  <c r="I1107" i="7" s="1"/>
  <c r="H1108" i="7"/>
  <c r="I1108" i="7" s="1"/>
  <c r="H1109" i="7"/>
  <c r="I1109" i="7" s="1"/>
  <c r="H1110" i="7"/>
  <c r="I1110" i="7" s="1"/>
  <c r="H1111" i="7"/>
  <c r="I1111" i="7" s="1"/>
  <c r="H1112" i="7"/>
  <c r="I1112" i="7" s="1"/>
  <c r="H1113" i="7"/>
  <c r="I1113" i="7" s="1"/>
  <c r="H1114" i="7"/>
  <c r="I1114" i="7" s="1"/>
  <c r="H1115" i="7"/>
  <c r="I1115" i="7" s="1"/>
  <c r="H1116" i="7"/>
  <c r="I1116" i="7" s="1"/>
  <c r="H1117" i="7"/>
  <c r="I1117" i="7" s="1"/>
  <c r="H1118" i="7"/>
  <c r="I1118" i="7" s="1"/>
  <c r="H1119" i="7"/>
  <c r="I1119" i="7" s="1"/>
  <c r="H1120" i="7"/>
  <c r="I1120" i="7" s="1"/>
  <c r="H1121" i="7"/>
  <c r="I1121" i="7" s="1"/>
  <c r="H1122" i="7"/>
  <c r="I1122" i="7" s="1"/>
  <c r="H1123" i="7"/>
  <c r="I1123" i="7" s="1"/>
  <c r="H1124" i="7"/>
  <c r="I1124" i="7" s="1"/>
  <c r="H1125" i="7"/>
  <c r="I1125" i="7" s="1"/>
  <c r="H1126" i="7"/>
  <c r="I1126" i="7" s="1"/>
  <c r="H1127" i="7"/>
  <c r="I1127" i="7" s="1"/>
  <c r="H1128" i="7"/>
  <c r="I1128" i="7" s="1"/>
  <c r="H1129" i="7"/>
  <c r="I1129" i="7" s="1"/>
  <c r="H1130" i="7"/>
  <c r="I1130" i="7" s="1"/>
  <c r="H1131" i="7"/>
  <c r="I1131" i="7" s="1"/>
  <c r="H1132" i="7"/>
  <c r="I1132" i="7" s="1"/>
  <c r="H1133" i="7"/>
  <c r="I1133" i="7" s="1"/>
  <c r="H1134" i="7"/>
  <c r="I1134" i="7" s="1"/>
  <c r="H1135" i="7"/>
  <c r="I1135" i="7" s="1"/>
  <c r="H1136" i="7"/>
  <c r="I1136" i="7" s="1"/>
  <c r="H1137" i="7"/>
  <c r="I1137" i="7" s="1"/>
  <c r="H1138" i="7"/>
  <c r="I1138" i="7" s="1"/>
  <c r="H1139" i="7"/>
  <c r="I1139" i="7" s="1"/>
  <c r="H1140" i="7"/>
  <c r="I1140" i="7" s="1"/>
  <c r="H1141" i="7"/>
  <c r="I1141" i="7" s="1"/>
  <c r="H1142" i="7"/>
  <c r="I1142" i="7" s="1"/>
  <c r="H1143" i="7"/>
  <c r="I1143" i="7" s="1"/>
  <c r="H1144" i="7"/>
  <c r="I1144" i="7" s="1"/>
  <c r="H1145" i="7"/>
  <c r="I1145" i="7" s="1"/>
  <c r="H1146" i="7"/>
  <c r="I1146" i="7" s="1"/>
  <c r="H1147" i="7"/>
  <c r="I1147" i="7" s="1"/>
  <c r="H1148" i="7"/>
  <c r="I1148" i="7" s="1"/>
  <c r="H1149" i="7"/>
  <c r="I1149" i="7" s="1"/>
  <c r="H1150" i="7"/>
  <c r="I1150" i="7" s="1"/>
  <c r="H1151" i="7"/>
  <c r="I1151" i="7" s="1"/>
  <c r="H1152" i="7"/>
  <c r="I1152" i="7" s="1"/>
  <c r="H1153" i="7"/>
  <c r="I1153" i="7" s="1"/>
  <c r="H1154" i="7"/>
  <c r="I1154" i="7" s="1"/>
  <c r="H1155" i="7"/>
  <c r="I1155" i="7" s="1"/>
  <c r="H1156" i="7"/>
  <c r="I1156" i="7" s="1"/>
  <c r="H1157" i="7"/>
  <c r="I1157" i="7" s="1"/>
  <c r="H1158" i="7"/>
  <c r="I1158" i="7" s="1"/>
  <c r="H1159" i="7"/>
  <c r="I1159" i="7" s="1"/>
  <c r="H1160" i="7"/>
  <c r="I1160" i="7" s="1"/>
  <c r="H1161" i="7"/>
  <c r="I1161" i="7" s="1"/>
  <c r="H1162" i="7"/>
  <c r="I1162" i="7" s="1"/>
  <c r="H1163" i="7"/>
  <c r="I1163" i="7" s="1"/>
  <c r="H1164" i="7"/>
  <c r="I1164" i="7" s="1"/>
  <c r="H1165" i="7"/>
  <c r="I1165" i="7" s="1"/>
  <c r="H1166" i="7"/>
  <c r="I1166" i="7" s="1"/>
  <c r="H1167" i="7"/>
  <c r="I1167" i="7" s="1"/>
  <c r="H1168" i="7"/>
  <c r="I1168" i="7" s="1"/>
  <c r="H1169" i="7"/>
  <c r="I1169" i="7" s="1"/>
  <c r="H1170" i="7"/>
  <c r="I1170" i="7" s="1"/>
  <c r="H1171" i="7"/>
  <c r="I1171" i="7" s="1"/>
  <c r="H1172" i="7"/>
  <c r="I1172" i="7" s="1"/>
  <c r="H1173" i="7"/>
  <c r="I1173" i="7" s="1"/>
  <c r="H1174" i="7"/>
  <c r="I1174" i="7" s="1"/>
  <c r="H1175" i="7"/>
  <c r="I1175" i="7" s="1"/>
  <c r="H1176" i="7"/>
  <c r="I1176" i="7" s="1"/>
  <c r="H1177" i="7"/>
  <c r="I1177" i="7" s="1"/>
  <c r="H1178" i="7"/>
  <c r="I1178" i="7" s="1"/>
  <c r="H1179" i="7"/>
  <c r="I1179" i="7" s="1"/>
  <c r="H1180" i="7"/>
  <c r="I1180" i="7" s="1"/>
  <c r="H1181" i="7"/>
  <c r="I1181" i="7" s="1"/>
  <c r="H1182" i="7"/>
  <c r="I1182" i="7" s="1"/>
  <c r="H1183" i="7"/>
  <c r="I1183" i="7" s="1"/>
  <c r="H1184" i="7"/>
  <c r="I1184" i="7" s="1"/>
  <c r="H1185" i="7"/>
  <c r="I1185" i="7" s="1"/>
  <c r="H1186" i="7"/>
  <c r="I1186" i="7" s="1"/>
  <c r="H1187" i="7"/>
  <c r="I1187" i="7" s="1"/>
  <c r="H1188" i="7"/>
  <c r="I1188" i="7" s="1"/>
  <c r="H1189" i="7"/>
  <c r="I1189" i="7" s="1"/>
  <c r="H1190" i="7"/>
  <c r="I1190" i="7" s="1"/>
  <c r="H1191" i="7"/>
  <c r="I1191" i="7" s="1"/>
  <c r="H1192" i="7"/>
  <c r="I1192" i="7" s="1"/>
  <c r="H1193" i="7"/>
  <c r="I1193" i="7" s="1"/>
  <c r="H1194" i="7"/>
  <c r="I1194" i="7" s="1"/>
  <c r="H1195" i="7"/>
  <c r="I1195" i="7" s="1"/>
  <c r="H1196" i="7"/>
  <c r="I1196" i="7" s="1"/>
  <c r="H1197" i="7"/>
  <c r="I1197" i="7" s="1"/>
  <c r="H1198" i="7"/>
  <c r="I1198" i="7" s="1"/>
  <c r="H1199" i="7"/>
  <c r="I1199" i="7" s="1"/>
  <c r="H1200" i="7"/>
  <c r="I1200" i="7" s="1"/>
  <c r="H1201" i="7"/>
  <c r="I1201" i="7" s="1"/>
  <c r="H1202" i="7"/>
  <c r="I1202" i="7" s="1"/>
  <c r="H1203" i="7"/>
  <c r="I1203" i="7" s="1"/>
  <c r="H1204" i="7"/>
  <c r="I1204" i="7" s="1"/>
  <c r="H1205" i="7"/>
  <c r="I1205" i="7" s="1"/>
  <c r="H1206" i="7"/>
  <c r="I1206" i="7" s="1"/>
  <c r="H1207" i="7"/>
  <c r="I1207" i="7" s="1"/>
  <c r="H1208" i="7"/>
  <c r="I1208" i="7" s="1"/>
  <c r="H1209" i="7"/>
  <c r="I1209" i="7" s="1"/>
  <c r="H1210" i="7"/>
  <c r="I1210" i="7" s="1"/>
  <c r="H1211" i="7"/>
  <c r="I1211" i="7" s="1"/>
  <c r="H1212" i="7"/>
  <c r="I1212" i="7" s="1"/>
  <c r="H1213" i="7"/>
  <c r="I1213" i="7" s="1"/>
  <c r="H1214" i="7"/>
  <c r="I1214" i="7" s="1"/>
  <c r="H1215" i="7"/>
  <c r="I1215" i="7" s="1"/>
  <c r="H1216" i="7"/>
  <c r="I1216" i="7" s="1"/>
  <c r="H1217" i="7"/>
  <c r="I1217" i="7" s="1"/>
  <c r="H1218" i="7"/>
  <c r="I1218" i="7" s="1"/>
  <c r="H1219" i="7"/>
  <c r="I1219" i="7" s="1"/>
  <c r="H1220" i="7"/>
  <c r="I1220" i="7" s="1"/>
  <c r="H1221" i="7"/>
  <c r="I1221" i="7" s="1"/>
  <c r="H1222" i="7"/>
  <c r="I1222" i="7" s="1"/>
  <c r="H1223" i="7"/>
  <c r="I1223" i="7" s="1"/>
  <c r="H1224" i="7"/>
  <c r="I1224" i="7" s="1"/>
  <c r="H1225" i="7"/>
  <c r="I1225" i="7" s="1"/>
  <c r="H1226" i="7"/>
  <c r="I1226" i="7" s="1"/>
  <c r="H1227" i="7"/>
  <c r="I1227" i="7" s="1"/>
  <c r="H1228" i="7"/>
  <c r="I1228" i="7" s="1"/>
  <c r="H1229" i="7"/>
  <c r="I1229" i="7" s="1"/>
  <c r="H1230" i="7"/>
  <c r="I1230" i="7" s="1"/>
  <c r="H1231" i="7"/>
  <c r="I1231" i="7" s="1"/>
  <c r="H1232" i="7"/>
  <c r="I1232" i="7" s="1"/>
  <c r="H1233" i="7"/>
  <c r="I1233" i="7" s="1"/>
  <c r="H1234" i="7"/>
  <c r="I1234" i="7" s="1"/>
  <c r="H1235" i="7"/>
  <c r="I1235" i="7" s="1"/>
  <c r="H1236" i="7"/>
  <c r="I1236" i="7" s="1"/>
  <c r="H1237" i="7"/>
  <c r="I1237" i="7" s="1"/>
  <c r="H1238" i="7"/>
  <c r="I1238" i="7" s="1"/>
  <c r="H1239" i="7"/>
  <c r="I1239" i="7" s="1"/>
  <c r="H1240" i="7"/>
  <c r="I1240" i="7" s="1"/>
  <c r="H1241" i="7"/>
  <c r="I1241" i="7" s="1"/>
  <c r="H1242" i="7"/>
  <c r="I1242" i="7" s="1"/>
  <c r="H1243" i="7"/>
  <c r="I1243" i="7" s="1"/>
  <c r="H1244" i="7"/>
  <c r="I1244" i="7" s="1"/>
  <c r="H1245" i="7"/>
  <c r="I1245" i="7" s="1"/>
  <c r="H1246" i="7"/>
  <c r="I1246" i="7" s="1"/>
  <c r="H1247" i="7"/>
  <c r="I1247" i="7" s="1"/>
  <c r="H1248" i="7"/>
  <c r="I1248" i="7" s="1"/>
  <c r="H1249" i="7"/>
  <c r="I1249" i="7" s="1"/>
  <c r="H1250" i="7"/>
  <c r="I1250" i="7" s="1"/>
  <c r="H1251" i="7"/>
  <c r="I1251" i="7" s="1"/>
  <c r="H1252" i="7"/>
  <c r="I1252" i="7" s="1"/>
  <c r="H1253" i="7"/>
  <c r="I1253" i="7" s="1"/>
  <c r="H1254" i="7"/>
  <c r="I1254" i="7" s="1"/>
  <c r="H1255" i="7"/>
  <c r="I1255" i="7" s="1"/>
  <c r="H1256" i="7"/>
  <c r="I1256" i="7" s="1"/>
  <c r="H1257" i="7"/>
  <c r="I1257" i="7" s="1"/>
  <c r="H1258" i="7"/>
  <c r="I1258" i="7" s="1"/>
  <c r="H1259" i="7"/>
  <c r="I1259" i="7" s="1"/>
  <c r="H1260" i="7"/>
  <c r="I1260" i="7" s="1"/>
  <c r="H1261" i="7"/>
  <c r="I1261" i="7" s="1"/>
  <c r="H1262" i="7"/>
  <c r="I1262" i="7" s="1"/>
  <c r="H1263" i="7"/>
  <c r="I1263" i="7" s="1"/>
  <c r="H1264" i="7"/>
  <c r="I1264" i="7" s="1"/>
  <c r="H1265" i="7"/>
  <c r="I1265" i="7" s="1"/>
  <c r="H1266" i="7"/>
  <c r="I1266" i="7" s="1"/>
  <c r="H1267" i="7"/>
  <c r="I1267" i="7" s="1"/>
  <c r="H1268" i="7"/>
  <c r="I1268" i="7" s="1"/>
  <c r="H1269" i="7"/>
  <c r="I1269" i="7" s="1"/>
  <c r="H1270" i="7"/>
  <c r="I1270" i="7" s="1"/>
  <c r="H1271" i="7"/>
  <c r="I1271" i="7" s="1"/>
  <c r="H1272" i="7"/>
  <c r="I1272" i="7" s="1"/>
  <c r="H1273" i="7"/>
  <c r="I1273" i="7" s="1"/>
  <c r="H1274" i="7"/>
  <c r="I1274" i="7" s="1"/>
  <c r="H1275" i="7"/>
  <c r="I1275" i="7" s="1"/>
  <c r="H1276" i="7"/>
  <c r="I1276" i="7" s="1"/>
  <c r="H1277" i="7"/>
  <c r="I1277" i="7" s="1"/>
  <c r="H1278" i="7"/>
  <c r="I1278" i="7" s="1"/>
  <c r="H1279" i="7"/>
  <c r="I1279" i="7" s="1"/>
  <c r="H1280" i="7"/>
  <c r="I1280" i="7" s="1"/>
  <c r="H1281" i="7"/>
  <c r="I1281" i="7" s="1"/>
  <c r="H1282" i="7"/>
  <c r="I1282" i="7" s="1"/>
  <c r="H1283" i="7"/>
  <c r="I1283" i="7" s="1"/>
  <c r="H1284" i="7"/>
  <c r="I1284" i="7" s="1"/>
  <c r="H1285" i="7"/>
  <c r="I1285" i="7" s="1"/>
  <c r="H1286" i="7"/>
  <c r="I1286" i="7" s="1"/>
  <c r="H1287" i="7"/>
  <c r="I1287" i="7" s="1"/>
  <c r="H1288" i="7"/>
  <c r="I1288" i="7" s="1"/>
  <c r="H1289" i="7"/>
  <c r="I1289" i="7" s="1"/>
  <c r="H1290" i="7"/>
  <c r="I1290" i="7" s="1"/>
  <c r="H1291" i="7"/>
  <c r="I1291" i="7" s="1"/>
  <c r="H1292" i="7"/>
  <c r="I1292" i="7" s="1"/>
  <c r="H1293" i="7"/>
  <c r="I1293" i="7" s="1"/>
  <c r="H1294" i="7"/>
  <c r="I1294" i="7" s="1"/>
  <c r="H1295" i="7"/>
  <c r="I1295" i="7" s="1"/>
  <c r="H1296" i="7"/>
  <c r="I1296" i="7" s="1"/>
  <c r="H1297" i="7"/>
  <c r="I1297" i="7" s="1"/>
  <c r="H1298" i="7"/>
  <c r="I1298" i="7" s="1"/>
  <c r="H1299" i="7"/>
  <c r="I1299" i="7" s="1"/>
  <c r="H1300" i="7"/>
  <c r="I1300" i="7" s="1"/>
  <c r="H1301" i="7"/>
  <c r="I1301" i="7" s="1"/>
  <c r="H1302" i="7"/>
  <c r="I1302" i="7" s="1"/>
  <c r="H1303" i="7"/>
  <c r="I1303" i="7" s="1"/>
  <c r="H1304" i="7"/>
  <c r="I1304" i="7" s="1"/>
  <c r="H1305" i="7"/>
  <c r="I1305" i="7" s="1"/>
  <c r="H1306" i="7"/>
  <c r="I1306" i="7" s="1"/>
  <c r="H1307" i="7"/>
  <c r="I1307" i="7" s="1"/>
  <c r="H1308" i="7"/>
  <c r="I1308" i="7" s="1"/>
  <c r="H1309" i="7"/>
  <c r="I1309" i="7" s="1"/>
  <c r="H1310" i="7"/>
  <c r="I1310" i="7" s="1"/>
  <c r="H1311" i="7"/>
  <c r="I1311" i="7" s="1"/>
  <c r="H1312" i="7"/>
  <c r="I1312" i="7" s="1"/>
  <c r="H1313" i="7"/>
  <c r="I1313" i="7" s="1"/>
  <c r="H1314" i="7"/>
  <c r="I1314" i="7" s="1"/>
  <c r="H1315" i="7"/>
  <c r="I1315" i="7" s="1"/>
  <c r="H1316" i="7"/>
  <c r="I1316" i="7" s="1"/>
  <c r="H1317" i="7"/>
  <c r="I1317" i="7" s="1"/>
  <c r="H1318" i="7"/>
  <c r="I1318" i="7" s="1"/>
  <c r="H1319" i="7"/>
  <c r="I1319" i="7" s="1"/>
  <c r="H1320" i="7"/>
  <c r="I1320" i="7" s="1"/>
  <c r="H1321" i="7"/>
  <c r="I1321" i="7" s="1"/>
  <c r="H1322" i="7"/>
  <c r="I1322" i="7" s="1"/>
  <c r="H1323" i="7"/>
  <c r="I1323" i="7" s="1"/>
  <c r="H1324" i="7"/>
  <c r="I1324" i="7" s="1"/>
  <c r="H1325" i="7"/>
  <c r="I1325" i="7" s="1"/>
  <c r="H1326" i="7"/>
  <c r="I1326" i="7" s="1"/>
  <c r="H1327" i="7"/>
  <c r="I1327" i="7" s="1"/>
  <c r="H1328" i="7"/>
  <c r="I1328" i="7" s="1"/>
  <c r="H1329" i="7"/>
  <c r="I1329" i="7" s="1"/>
  <c r="H1330" i="7"/>
  <c r="I1330" i="7" s="1"/>
  <c r="H1331" i="7"/>
  <c r="I1331" i="7" s="1"/>
  <c r="H1332" i="7"/>
  <c r="I1332" i="7" s="1"/>
  <c r="H1333" i="7"/>
  <c r="I1333" i="7" s="1"/>
  <c r="H1334" i="7"/>
  <c r="I1334" i="7" s="1"/>
  <c r="H1335" i="7"/>
  <c r="I1335" i="7" s="1"/>
  <c r="H1336" i="7"/>
  <c r="I1336" i="7" s="1"/>
  <c r="H1337" i="7"/>
  <c r="I1337" i="7" s="1"/>
  <c r="H1338" i="7"/>
  <c r="I1338" i="7" s="1"/>
  <c r="H1339" i="7"/>
  <c r="I1339" i="7" s="1"/>
  <c r="H1340" i="7"/>
  <c r="I1340" i="7" s="1"/>
  <c r="H1341" i="7"/>
  <c r="I1341" i="7" s="1"/>
  <c r="H1342" i="7"/>
  <c r="I1342" i="7" s="1"/>
  <c r="H1343" i="7"/>
  <c r="I1343" i="7" s="1"/>
  <c r="H1344" i="7"/>
  <c r="I1344" i="7" s="1"/>
  <c r="H1345" i="7"/>
  <c r="I1345" i="7" s="1"/>
  <c r="H1346" i="7"/>
  <c r="I1346" i="7" s="1"/>
  <c r="H1347" i="7"/>
  <c r="I1347" i="7" s="1"/>
  <c r="H1348" i="7"/>
  <c r="I1348" i="7" s="1"/>
  <c r="H1349" i="7"/>
  <c r="I1349" i="7" s="1"/>
  <c r="H1350" i="7"/>
  <c r="I1350" i="7" s="1"/>
  <c r="H1351" i="7"/>
  <c r="I1351" i="7" s="1"/>
  <c r="H1352" i="7"/>
  <c r="I1352" i="7" s="1"/>
  <c r="H1353" i="7"/>
  <c r="I1353" i="7" s="1"/>
  <c r="H1354" i="7"/>
  <c r="I1354" i="7" s="1"/>
  <c r="H1355" i="7"/>
  <c r="I1355" i="7" s="1"/>
  <c r="H1356" i="7"/>
  <c r="I1356" i="7" s="1"/>
  <c r="H1357" i="7"/>
  <c r="I1357" i="7" s="1"/>
  <c r="H1358" i="7"/>
  <c r="I1358" i="7" s="1"/>
  <c r="H1359" i="7"/>
  <c r="I1359" i="7" s="1"/>
  <c r="H1360" i="7"/>
  <c r="I1360" i="7" s="1"/>
  <c r="H1361" i="7"/>
  <c r="I1361" i="7" s="1"/>
  <c r="H1362" i="7"/>
  <c r="I1362" i="7" s="1"/>
  <c r="H1363" i="7"/>
  <c r="I1363" i="7" s="1"/>
  <c r="H1364" i="7"/>
  <c r="I1364" i="7" s="1"/>
  <c r="H1365" i="7"/>
  <c r="I1365" i="7" s="1"/>
  <c r="H1366" i="7"/>
  <c r="I1366" i="7" s="1"/>
  <c r="H1367" i="7"/>
  <c r="I1367" i="7" s="1"/>
  <c r="H1368" i="7"/>
  <c r="I1368" i="7" s="1"/>
  <c r="H1369" i="7"/>
  <c r="I1369" i="7" s="1"/>
  <c r="H1370" i="7"/>
  <c r="I1370" i="7" s="1"/>
  <c r="H1371" i="7"/>
  <c r="I1371" i="7" s="1"/>
  <c r="H1372" i="7"/>
  <c r="I1372" i="7" s="1"/>
  <c r="H1373" i="7"/>
  <c r="I1373" i="7" s="1"/>
  <c r="H1374" i="7"/>
  <c r="I1374" i="7" s="1"/>
  <c r="H1375" i="7"/>
  <c r="I1375" i="7" s="1"/>
  <c r="H1376" i="7"/>
  <c r="I1376" i="7" s="1"/>
  <c r="H1377" i="7"/>
  <c r="I1377" i="7" s="1"/>
  <c r="H1378" i="7"/>
  <c r="I1378" i="7" s="1"/>
  <c r="H1379" i="7"/>
  <c r="I1379" i="7" s="1"/>
  <c r="H1380" i="7"/>
  <c r="I1380" i="7" s="1"/>
  <c r="H1381" i="7"/>
  <c r="I1381" i="7" s="1"/>
  <c r="H1382" i="7"/>
  <c r="I1382" i="7" s="1"/>
  <c r="H1383" i="7"/>
  <c r="I1383" i="7" s="1"/>
  <c r="H1384" i="7"/>
  <c r="I1384" i="7" s="1"/>
  <c r="H1385" i="7"/>
  <c r="I1385" i="7" s="1"/>
  <c r="H1386" i="7"/>
  <c r="I1386" i="7" s="1"/>
  <c r="H1387" i="7"/>
  <c r="I1387" i="7" s="1"/>
  <c r="H1388" i="7"/>
  <c r="I1388" i="7" s="1"/>
  <c r="H1389" i="7"/>
  <c r="I1389" i="7" s="1"/>
  <c r="H1390" i="7"/>
  <c r="I1390" i="7" s="1"/>
  <c r="H1391" i="7"/>
  <c r="I1391" i="7" s="1"/>
  <c r="H1392" i="7"/>
  <c r="I1392" i="7" s="1"/>
  <c r="H1393" i="7"/>
  <c r="I1393" i="7" s="1"/>
  <c r="H1394" i="7"/>
  <c r="I1394" i="7" s="1"/>
  <c r="H1395" i="7"/>
  <c r="I1395" i="7" s="1"/>
  <c r="H1396" i="7"/>
  <c r="I1396" i="7" s="1"/>
  <c r="H1397" i="7"/>
  <c r="I1397" i="7" s="1"/>
  <c r="H1398" i="7"/>
  <c r="I1398" i="7" s="1"/>
  <c r="H1399" i="7"/>
  <c r="I1399" i="7" s="1"/>
  <c r="H1400" i="7"/>
  <c r="I1400" i="7" s="1"/>
  <c r="H1401" i="7"/>
  <c r="I1401" i="7" s="1"/>
  <c r="H1402" i="7"/>
  <c r="I1402" i="7" s="1"/>
  <c r="H1403" i="7"/>
  <c r="I1403" i="7" s="1"/>
  <c r="H1404" i="7"/>
  <c r="I1404" i="7" s="1"/>
  <c r="H1405" i="7"/>
  <c r="I1405" i="7" s="1"/>
  <c r="H1406" i="7"/>
  <c r="I1406" i="7" s="1"/>
  <c r="H1407" i="7"/>
  <c r="I1407" i="7" s="1"/>
  <c r="H1408" i="7"/>
  <c r="I1408" i="7" s="1"/>
  <c r="H1409" i="7"/>
  <c r="I1409" i="7" s="1"/>
  <c r="H1410" i="7"/>
  <c r="I1410" i="7" s="1"/>
  <c r="H1411" i="7"/>
  <c r="I1411" i="7" s="1"/>
  <c r="H1412" i="7"/>
  <c r="I1412" i="7" s="1"/>
  <c r="H1413" i="7"/>
  <c r="I1413" i="7" s="1"/>
  <c r="H1414" i="7"/>
  <c r="I1414" i="7" s="1"/>
  <c r="H1415" i="7"/>
  <c r="I1415" i="7" s="1"/>
  <c r="H1416" i="7"/>
  <c r="I1416" i="7" s="1"/>
  <c r="H1417" i="7"/>
  <c r="I1417" i="7" s="1"/>
  <c r="H1418" i="7"/>
  <c r="I1418" i="7" s="1"/>
  <c r="H1419" i="7"/>
  <c r="I1419" i="7" s="1"/>
  <c r="H1420" i="7"/>
  <c r="I1420" i="7" s="1"/>
  <c r="H1421" i="7"/>
  <c r="I1421" i="7" s="1"/>
  <c r="H1422" i="7"/>
  <c r="I1422" i="7" s="1"/>
  <c r="H1423" i="7"/>
  <c r="I1423" i="7" s="1"/>
  <c r="H1424" i="7"/>
  <c r="I1424" i="7" s="1"/>
  <c r="H1425" i="7"/>
  <c r="I1425" i="7" s="1"/>
  <c r="H1426" i="7"/>
  <c r="I1426" i="7" s="1"/>
  <c r="H1427" i="7"/>
  <c r="I1427" i="7" s="1"/>
  <c r="H1428" i="7"/>
  <c r="I1428" i="7" s="1"/>
  <c r="H1429" i="7"/>
  <c r="I1429" i="7" s="1"/>
  <c r="H1430" i="7"/>
  <c r="I1430" i="7" s="1"/>
  <c r="H1431" i="7"/>
  <c r="I1431" i="7" s="1"/>
  <c r="H1432" i="7"/>
  <c r="I1432" i="7" s="1"/>
  <c r="H1433" i="7"/>
  <c r="I1433" i="7" s="1"/>
  <c r="H1434" i="7"/>
  <c r="I1434" i="7" s="1"/>
  <c r="H1435" i="7"/>
  <c r="I1435" i="7" s="1"/>
  <c r="H1436" i="7"/>
  <c r="I1436" i="7" s="1"/>
  <c r="H1437" i="7"/>
  <c r="I1437" i="7" s="1"/>
  <c r="H1438" i="7"/>
  <c r="I1438" i="7" s="1"/>
  <c r="H1439" i="7"/>
  <c r="I1439" i="7" s="1"/>
  <c r="H1440" i="7"/>
  <c r="I1440" i="7" s="1"/>
  <c r="H1441" i="7"/>
  <c r="I1441" i="7" s="1"/>
  <c r="H1442" i="7"/>
  <c r="I1442" i="7" s="1"/>
  <c r="H1443" i="7"/>
  <c r="I1443" i="7" s="1"/>
  <c r="H1444" i="7"/>
  <c r="I1444" i="7" s="1"/>
  <c r="H1445" i="7"/>
  <c r="I1445" i="7" s="1"/>
  <c r="H1446" i="7"/>
  <c r="I1446" i="7" s="1"/>
  <c r="H1447" i="7"/>
  <c r="I1447" i="7" s="1"/>
  <c r="H1448" i="7"/>
  <c r="I1448" i="7" s="1"/>
  <c r="H1449" i="7"/>
  <c r="I1449" i="7" s="1"/>
  <c r="H1450" i="7"/>
  <c r="I1450" i="7" s="1"/>
  <c r="H1451" i="7"/>
  <c r="I1451" i="7" s="1"/>
  <c r="H1452" i="7"/>
  <c r="I1452" i="7" s="1"/>
  <c r="H1453" i="7"/>
  <c r="I1453" i="7" s="1"/>
  <c r="H1454" i="7"/>
  <c r="I1454" i="7" s="1"/>
  <c r="H1455" i="7"/>
  <c r="I1455" i="7" s="1"/>
  <c r="H1456" i="7"/>
  <c r="I1456" i="7" s="1"/>
  <c r="H1457" i="7"/>
  <c r="I1457" i="7" s="1"/>
  <c r="H1458" i="7"/>
  <c r="I1458" i="7" s="1"/>
  <c r="H1459" i="7"/>
  <c r="I1459" i="7" s="1"/>
  <c r="H1460" i="7"/>
  <c r="I1460" i="7" s="1"/>
  <c r="H1461" i="7"/>
  <c r="I1461" i="7" s="1"/>
  <c r="H1462" i="7"/>
  <c r="I1462" i="7" s="1"/>
  <c r="H1463" i="7"/>
  <c r="I1463" i="7" s="1"/>
  <c r="H1464" i="7"/>
  <c r="I1464" i="7" s="1"/>
  <c r="H1465" i="7"/>
  <c r="I1465" i="7" s="1"/>
  <c r="H1466" i="7"/>
  <c r="I1466" i="7" s="1"/>
  <c r="H1467" i="7"/>
  <c r="I1467" i="7" s="1"/>
  <c r="H1468" i="7"/>
  <c r="I1468" i="7" s="1"/>
  <c r="H1469" i="7"/>
  <c r="I1469" i="7" s="1"/>
  <c r="H1470" i="7"/>
  <c r="I1470" i="7" s="1"/>
  <c r="H1471" i="7"/>
  <c r="I1471" i="7" s="1"/>
  <c r="H1472" i="7"/>
  <c r="I1472" i="7" s="1"/>
  <c r="H1473" i="7"/>
  <c r="I1473" i="7" s="1"/>
  <c r="H1474" i="7"/>
  <c r="I1474" i="7" s="1"/>
  <c r="H1475" i="7"/>
  <c r="I1475" i="7" s="1"/>
  <c r="H1476" i="7"/>
  <c r="I1476" i="7" s="1"/>
  <c r="H1477" i="7"/>
  <c r="I1477" i="7" s="1"/>
  <c r="H1478" i="7"/>
  <c r="I1478" i="7" s="1"/>
  <c r="H1479" i="7"/>
  <c r="I1479" i="7" s="1"/>
  <c r="H1480" i="7"/>
  <c r="I1480" i="7" s="1"/>
  <c r="H1481" i="7"/>
  <c r="I1481" i="7" s="1"/>
  <c r="H1482" i="7"/>
  <c r="I1482" i="7" s="1"/>
  <c r="H1483" i="7"/>
  <c r="I1483" i="7" s="1"/>
  <c r="H1484" i="7"/>
  <c r="I1484" i="7" s="1"/>
  <c r="H1485" i="7"/>
  <c r="I1485" i="7" s="1"/>
  <c r="H1486" i="7"/>
  <c r="I1486" i="7" s="1"/>
  <c r="H1487" i="7"/>
  <c r="I1487" i="7" s="1"/>
  <c r="H1488" i="7"/>
  <c r="I1488" i="7" s="1"/>
  <c r="H1489" i="7"/>
  <c r="I1489" i="7" s="1"/>
  <c r="H1490" i="7"/>
  <c r="I1490" i="7" s="1"/>
  <c r="H1491" i="7"/>
  <c r="I1491" i="7" s="1"/>
  <c r="H1492" i="7"/>
  <c r="I1492" i="7" s="1"/>
  <c r="H1493" i="7"/>
  <c r="I1493" i="7" s="1"/>
  <c r="H1494" i="7"/>
  <c r="I1494" i="7" s="1"/>
  <c r="H1495" i="7"/>
  <c r="I1495" i="7" s="1"/>
  <c r="H1496" i="7"/>
  <c r="I1496" i="7" s="1"/>
  <c r="H1497" i="7"/>
  <c r="I1497" i="7" s="1"/>
  <c r="H1498" i="7"/>
  <c r="I1498" i="7" s="1"/>
  <c r="H1499" i="7"/>
  <c r="I1499" i="7" s="1"/>
  <c r="H1500" i="7"/>
  <c r="I1500" i="7" s="1"/>
  <c r="H1501" i="7"/>
  <c r="I1501" i="7" s="1"/>
  <c r="H1502" i="7"/>
  <c r="I1502" i="7" s="1"/>
  <c r="H1503" i="7"/>
  <c r="I1503" i="7" s="1"/>
  <c r="H1504" i="7"/>
  <c r="I1504" i="7" s="1"/>
  <c r="H1505" i="7"/>
  <c r="I1505" i="7" s="1"/>
  <c r="H1506" i="7"/>
  <c r="I1506" i="7" s="1"/>
  <c r="H1507" i="7"/>
  <c r="I1507" i="7" s="1"/>
  <c r="H1508" i="7"/>
  <c r="I1508" i="7" s="1"/>
  <c r="H1509" i="7"/>
  <c r="I1509" i="7" s="1"/>
  <c r="H1510" i="7"/>
  <c r="I1510" i="7" s="1"/>
  <c r="H1511" i="7"/>
  <c r="I1511" i="7" s="1"/>
  <c r="H1512" i="7"/>
  <c r="I1512" i="7" s="1"/>
  <c r="H1513" i="7"/>
  <c r="I1513" i="7" s="1"/>
  <c r="H1514" i="7"/>
  <c r="I1514" i="7" s="1"/>
  <c r="H1515" i="7"/>
  <c r="I1515" i="7" s="1"/>
  <c r="H1516" i="7"/>
  <c r="I1516" i="7" s="1"/>
  <c r="H1517" i="7"/>
  <c r="I1517" i="7" s="1"/>
  <c r="H1518" i="7"/>
  <c r="I1518" i="7" s="1"/>
  <c r="H1519" i="7"/>
  <c r="I1519" i="7" s="1"/>
  <c r="H1520" i="7"/>
  <c r="I1520" i="7" s="1"/>
  <c r="H1521" i="7"/>
  <c r="I1521" i="7" s="1"/>
  <c r="H1522" i="7"/>
  <c r="I1522" i="7" s="1"/>
  <c r="H1523" i="7"/>
  <c r="I1523" i="7" s="1"/>
  <c r="H1524" i="7"/>
  <c r="I1524" i="7" s="1"/>
  <c r="H1525" i="7"/>
  <c r="I1525" i="7" s="1"/>
  <c r="H1526" i="7"/>
  <c r="I1526" i="7" s="1"/>
  <c r="H1527" i="7"/>
  <c r="I1527" i="7" s="1"/>
  <c r="H1528" i="7"/>
  <c r="I1528" i="7" s="1"/>
  <c r="H1529" i="7"/>
  <c r="I1529" i="7" s="1"/>
  <c r="H1530" i="7"/>
  <c r="I1530" i="7" s="1"/>
  <c r="H1531" i="7"/>
  <c r="I1531" i="7" s="1"/>
  <c r="H1532" i="7"/>
  <c r="I1532" i="7" s="1"/>
  <c r="H1533" i="7"/>
  <c r="I1533" i="7" s="1"/>
  <c r="H1534" i="7"/>
  <c r="I1534" i="7" s="1"/>
  <c r="H1535" i="7"/>
  <c r="I1535" i="7" s="1"/>
  <c r="H1536" i="7"/>
  <c r="I1536" i="7" s="1"/>
  <c r="H1537" i="7"/>
  <c r="I1537" i="7" s="1"/>
  <c r="H1538" i="7"/>
  <c r="I1538" i="7" s="1"/>
  <c r="H1539" i="7"/>
  <c r="I1539" i="7" s="1"/>
  <c r="H1540" i="7"/>
  <c r="I1540" i="7" s="1"/>
  <c r="H1541" i="7"/>
  <c r="I1541" i="7" s="1"/>
  <c r="H1542" i="7"/>
  <c r="I1542" i="7" s="1"/>
  <c r="H1543" i="7"/>
  <c r="I1543" i="7" s="1"/>
  <c r="H1544" i="7"/>
  <c r="I1544" i="7" s="1"/>
  <c r="H1545" i="7"/>
  <c r="I1545" i="7" s="1"/>
  <c r="H1546" i="7"/>
  <c r="I1546" i="7" s="1"/>
  <c r="H1547" i="7"/>
  <c r="I1547" i="7" s="1"/>
  <c r="H1548" i="7"/>
  <c r="I1548" i="7" s="1"/>
  <c r="H1549" i="7"/>
  <c r="I1549" i="7" s="1"/>
  <c r="H1550" i="7"/>
  <c r="I1550" i="7" s="1"/>
  <c r="H1551" i="7"/>
  <c r="I1551" i="7" s="1"/>
  <c r="H1552" i="7"/>
  <c r="I1552" i="7" s="1"/>
  <c r="H1553" i="7"/>
  <c r="I1553" i="7" s="1"/>
  <c r="H1554" i="7"/>
  <c r="I1554" i="7" s="1"/>
  <c r="H1555" i="7"/>
  <c r="I1555" i="7" s="1"/>
  <c r="H1556" i="7"/>
  <c r="I1556" i="7" s="1"/>
  <c r="H1557" i="7"/>
  <c r="I1557" i="7" s="1"/>
  <c r="H1558" i="7"/>
  <c r="I1558" i="7" s="1"/>
  <c r="H1559" i="7"/>
  <c r="I1559" i="7" s="1"/>
  <c r="H1560" i="7"/>
  <c r="I1560" i="7" s="1"/>
  <c r="H1561" i="7"/>
  <c r="I1561" i="7" s="1"/>
  <c r="H1562" i="7"/>
  <c r="I1562" i="7" s="1"/>
  <c r="H1563" i="7"/>
  <c r="I1563" i="7" s="1"/>
  <c r="H1564" i="7"/>
  <c r="I1564" i="7" s="1"/>
  <c r="H1565" i="7"/>
  <c r="I1565" i="7" s="1"/>
  <c r="H1566" i="7"/>
  <c r="I1566" i="7" s="1"/>
  <c r="H1567" i="7"/>
  <c r="I1567" i="7" s="1"/>
  <c r="H1568" i="7"/>
  <c r="I1568" i="7" s="1"/>
  <c r="H1569" i="7"/>
  <c r="I1569" i="7" s="1"/>
  <c r="H1570" i="7"/>
  <c r="I1570" i="7" s="1"/>
  <c r="H1571" i="7"/>
  <c r="I1571" i="7" s="1"/>
  <c r="H1572" i="7"/>
  <c r="I1572" i="7" s="1"/>
  <c r="H1573" i="7"/>
  <c r="I1573" i="7" s="1"/>
  <c r="H1574" i="7"/>
  <c r="I1574" i="7" s="1"/>
  <c r="H1575" i="7"/>
  <c r="I1575" i="7" s="1"/>
  <c r="H1576" i="7"/>
  <c r="I1576" i="7" s="1"/>
  <c r="H1577" i="7"/>
  <c r="I1577" i="7" s="1"/>
  <c r="H1578" i="7"/>
  <c r="I1578" i="7" s="1"/>
  <c r="H1579" i="7"/>
  <c r="I1579" i="7" s="1"/>
  <c r="H1580" i="7"/>
  <c r="I1580" i="7" s="1"/>
  <c r="H1581" i="7"/>
  <c r="I1581" i="7" s="1"/>
  <c r="H1582" i="7"/>
  <c r="I1582" i="7" s="1"/>
  <c r="H1583" i="7"/>
  <c r="I1583" i="7" s="1"/>
  <c r="H1584" i="7"/>
  <c r="I1584" i="7" s="1"/>
  <c r="H1585" i="7"/>
  <c r="I1585" i="7" s="1"/>
  <c r="H1586" i="7"/>
  <c r="I1586" i="7" s="1"/>
  <c r="H1587" i="7"/>
  <c r="I1587" i="7" s="1"/>
  <c r="H1588" i="7"/>
  <c r="I1588" i="7" s="1"/>
  <c r="H1589" i="7"/>
  <c r="I1589" i="7" s="1"/>
  <c r="H1590" i="7"/>
  <c r="I1590" i="7" s="1"/>
  <c r="H1591" i="7"/>
  <c r="I1591" i="7" s="1"/>
  <c r="H1592" i="7"/>
  <c r="I1592" i="7" s="1"/>
  <c r="H1593" i="7"/>
  <c r="I1593" i="7" s="1"/>
  <c r="H1594" i="7"/>
  <c r="I1594" i="7" s="1"/>
  <c r="H1595" i="7"/>
  <c r="I1595" i="7" s="1"/>
  <c r="H1596" i="7"/>
  <c r="I1596" i="7" s="1"/>
  <c r="H1597" i="7"/>
  <c r="I1597" i="7" s="1"/>
  <c r="H1598" i="7"/>
  <c r="I1598" i="7" s="1"/>
  <c r="H1599" i="7"/>
  <c r="I1599" i="7" s="1"/>
  <c r="H1600" i="7"/>
  <c r="I1600" i="7" s="1"/>
  <c r="H1601" i="7"/>
  <c r="I1601" i="7" s="1"/>
  <c r="H1602" i="7"/>
  <c r="I1602" i="7" s="1"/>
  <c r="H1603" i="7"/>
  <c r="I1603" i="7" s="1"/>
  <c r="H1604" i="7"/>
  <c r="I1604" i="7" s="1"/>
  <c r="H1605" i="7"/>
  <c r="I1605" i="7" s="1"/>
  <c r="H1606" i="7"/>
  <c r="I1606" i="7" s="1"/>
  <c r="H1607" i="7"/>
  <c r="I1607" i="7" s="1"/>
  <c r="H1608" i="7"/>
  <c r="I1608" i="7" s="1"/>
  <c r="H1609" i="7"/>
  <c r="I1609" i="7" s="1"/>
  <c r="H1610" i="7"/>
  <c r="I1610" i="7" s="1"/>
  <c r="H1611" i="7"/>
  <c r="I1611" i="7" s="1"/>
  <c r="H1612" i="7"/>
  <c r="I1612" i="7" s="1"/>
  <c r="H1613" i="7"/>
  <c r="I1613" i="7" s="1"/>
  <c r="H1614" i="7"/>
  <c r="I1614" i="7" s="1"/>
  <c r="H1615" i="7"/>
  <c r="I1615" i="7" s="1"/>
  <c r="H1616" i="7"/>
  <c r="I1616" i="7" s="1"/>
  <c r="H1617" i="7"/>
  <c r="I1617" i="7" s="1"/>
  <c r="H1618" i="7"/>
  <c r="I1618" i="7" s="1"/>
  <c r="H1619" i="7"/>
  <c r="I1619" i="7" s="1"/>
  <c r="H1620" i="7"/>
  <c r="I1620" i="7" s="1"/>
  <c r="H1621" i="7"/>
  <c r="I1621" i="7" s="1"/>
  <c r="H1622" i="7"/>
  <c r="I1622" i="7" s="1"/>
  <c r="H1623" i="7"/>
  <c r="I1623" i="7" s="1"/>
  <c r="H1624" i="7"/>
  <c r="I1624" i="7" s="1"/>
  <c r="H1625" i="7"/>
  <c r="I1625" i="7" s="1"/>
  <c r="H1626" i="7"/>
  <c r="I1626" i="7" s="1"/>
  <c r="H1627" i="7"/>
  <c r="I1627" i="7" s="1"/>
  <c r="H1628" i="7"/>
  <c r="I1628" i="7" s="1"/>
  <c r="H1629" i="7"/>
  <c r="I1629" i="7" s="1"/>
  <c r="H1630" i="7"/>
  <c r="I1630" i="7" s="1"/>
  <c r="H1631" i="7"/>
  <c r="I1631" i="7" s="1"/>
  <c r="H1632" i="7"/>
  <c r="I1632" i="7" s="1"/>
  <c r="H1633" i="7"/>
  <c r="I1633" i="7" s="1"/>
  <c r="H1634" i="7"/>
  <c r="I1634" i="7" s="1"/>
  <c r="H1635" i="7"/>
  <c r="I1635" i="7" s="1"/>
  <c r="H1636" i="7"/>
  <c r="I1636" i="7" s="1"/>
  <c r="H1637" i="7"/>
  <c r="I1637" i="7" s="1"/>
  <c r="H1638" i="7"/>
  <c r="I1638" i="7" s="1"/>
  <c r="H1639" i="7"/>
  <c r="I1639" i="7" s="1"/>
  <c r="H1640" i="7"/>
  <c r="I1640" i="7" s="1"/>
  <c r="H1641" i="7"/>
  <c r="I1641" i="7" s="1"/>
  <c r="H1642" i="7"/>
  <c r="I1642" i="7" s="1"/>
  <c r="H1643" i="7"/>
  <c r="I1643" i="7" s="1"/>
  <c r="H1644" i="7"/>
  <c r="I1644" i="7" s="1"/>
  <c r="H1645" i="7"/>
  <c r="I1645" i="7" s="1"/>
  <c r="H1646" i="7"/>
  <c r="I1646" i="7" s="1"/>
  <c r="H1647" i="7"/>
  <c r="I1647" i="7" s="1"/>
  <c r="H1648" i="7"/>
  <c r="I1648" i="7" s="1"/>
  <c r="H1649" i="7"/>
  <c r="I1649" i="7" s="1"/>
  <c r="H1650" i="7"/>
  <c r="I1650" i="7" s="1"/>
  <c r="H1651" i="7"/>
  <c r="I1651" i="7" s="1"/>
  <c r="H1652" i="7"/>
  <c r="I1652" i="7" s="1"/>
  <c r="H2" i="7"/>
  <c r="I2" i="7" s="1"/>
  <c r="E3" i="8"/>
  <c r="E4" i="8"/>
  <c r="E2" i="8"/>
</calcChain>
</file>

<file path=xl/sharedStrings.xml><?xml version="1.0" encoding="utf-8"?>
<sst xmlns="http://schemas.openxmlformats.org/spreadsheetml/2006/main" count="24624" uniqueCount="12048">
  <si>
    <t>კოდი</t>
  </si>
  <si>
    <t>საქონელი, მომსახურება</t>
  </si>
  <si>
    <t>მუხლი D820*14 90გრ 1.5D (მეორადი)</t>
  </si>
  <si>
    <t>გადამყვანი D800-700*12</t>
  </si>
  <si>
    <t>მილი D820*9 (მეორადი)</t>
  </si>
  <si>
    <t>მილი D820*10 (მეორადი)</t>
  </si>
  <si>
    <t>ბურთულოვანი ონკანი D40 P64 მილტუჩა</t>
  </si>
  <si>
    <t>დიაფრაგმა კამერული</t>
  </si>
  <si>
    <t>დამცავი სარქველის ზამბარა</t>
  </si>
  <si>
    <t>ვენტილი D15 P160</t>
  </si>
  <si>
    <t>რეგულატორი D80</t>
  </si>
  <si>
    <t>ლურსმანი 150მმ</t>
  </si>
  <si>
    <t>შლანგი მ/წ ზოლურის საჭრელი აპარატის</t>
  </si>
  <si>
    <t>ჰელიუმი 50ლ ბალონით</t>
  </si>
  <si>
    <t>ელ. სადენი 2*6 სპილენძის მრავალწვერა ორმ. იზოლ.</t>
  </si>
  <si>
    <t>ელ. სადენი 2*2.5 სპილენძის მრავალწვერა ორმ. იზოლ.</t>
  </si>
  <si>
    <t>ელ. ავტომატის კოლოფი</t>
  </si>
  <si>
    <t>ა/მ ღვედი ამწე 5ტ 10მ დამჭიმით</t>
  </si>
  <si>
    <t>ჭანჭიკი 4*25</t>
  </si>
  <si>
    <t>ჭანჭიკი 16*100</t>
  </si>
  <si>
    <t>ჭანჭიკი 18*120</t>
  </si>
  <si>
    <t>ჭანჭიკი 20*80</t>
  </si>
  <si>
    <t>ჭანჭიკი 20*120</t>
  </si>
  <si>
    <t>ჭანჭიკი 20*150</t>
  </si>
  <si>
    <t>ჭანჭიკი 24*120</t>
  </si>
  <si>
    <t>ჭანჭიკი 30*150</t>
  </si>
  <si>
    <t>ჭანჭიკი 36*150</t>
  </si>
  <si>
    <t>ურდული</t>
  </si>
  <si>
    <t>ხამუთი D325 მილისთვის ნამზ.</t>
  </si>
  <si>
    <t>ძუძუკა DN50 (სასოკი) ნამზ.</t>
  </si>
  <si>
    <t>ანტენა LTE</t>
  </si>
  <si>
    <t>თოკი 5მმ</t>
  </si>
  <si>
    <t>ელ. სადენი 4*2.5 სპილენძის მრავალწვერა ორმ. იზოლ.</t>
  </si>
  <si>
    <t>ელ. სადენის ბუნიკი 25კვ.მმ სპილენძის</t>
  </si>
  <si>
    <t>მილტუჩი DN150 PN40 ბრტყელი</t>
  </si>
  <si>
    <t>ელ. სადენის ბუნიკი 15კვ.მმ სპილენძის</t>
  </si>
  <si>
    <t>ელ. სადენი 2*1.5 სპილენძის მრავალწვერა ორმ. იზოლ.</t>
  </si>
  <si>
    <t>სათვალე ულტრაიისფერი სხივებისგან დასაცავად</t>
  </si>
  <si>
    <t>საწვიმარი ორეული</t>
  </si>
  <si>
    <t>ამომჭიმი მილში ფანჯრის შესადუღებლად ნამზ.</t>
  </si>
  <si>
    <t>დამამძიმებელი D720 მილის ბრეზენტის ქსოვილი</t>
  </si>
  <si>
    <t>ბორბალი ურიკის</t>
  </si>
  <si>
    <t>თერმომეტრის ბუდე DN300 (გილზა) ნამზ.</t>
  </si>
  <si>
    <t>პრინტერი მრავალფუნქციური-ფერადი A4 ფორმატის</t>
  </si>
  <si>
    <t>კონდიციონერი</t>
  </si>
  <si>
    <t>მილკვადრატი 150*150*4</t>
  </si>
  <si>
    <t>სამღებრო მიქსერი (თავი)</t>
  </si>
  <si>
    <t>სათლი (ვედრო) რეზინის</t>
  </si>
  <si>
    <t>ელ. როზეტი გარე</t>
  </si>
  <si>
    <t>ელ. ჩამრთველი 1 კლავიშიანი გარე</t>
  </si>
  <si>
    <t>ელ. როზეტი + ჩამრთველი გარე</t>
  </si>
  <si>
    <t>აირმჭრელი (გაზის რეზაკი) მოკლე ტარით</t>
  </si>
  <si>
    <t>ა/მ საბურავი 245/70 R17.5</t>
  </si>
  <si>
    <t>დიაფრაგმა DN200 ნამზ.</t>
  </si>
  <si>
    <t>ოდორიზაციის ავტ. სისტემის გულანა ზედა</t>
  </si>
  <si>
    <t>ოდორიზაციის ავტ. სისტემის გულანა ქვედა</t>
  </si>
  <si>
    <t>ზოლოვანა 80*10 ლითონის</t>
  </si>
  <si>
    <t>ა/მ საბურავი 440/80-28 (16.9-28)-12PR TL R-4 SLR4</t>
  </si>
  <si>
    <t>შემრევი ონკანის კარტრიჯი</t>
  </si>
  <si>
    <t>გენერატორი ბენზინზე 6.5კვტ</t>
  </si>
  <si>
    <t>გენერატორი ბენზინზე 2.5კვტ</t>
  </si>
  <si>
    <t>ა/მ საბურავი 315/80 R22.5 POWER WST 616</t>
  </si>
  <si>
    <t>ა/მ საბურავი WELLEPLUS 13R22.5 WAM666</t>
  </si>
  <si>
    <t>ა/მ საწვავის ტუმბო გადასაქაჩი 12/24v</t>
  </si>
  <si>
    <t>გაზის ფილტრის კარტრიჯი D50-80 მ/წნ ნამზ.</t>
  </si>
  <si>
    <t>ა/მ მოცურების საწინააღმდეგო ჯაჭვი 12.5/80-18</t>
  </si>
  <si>
    <t>ა/მ მოცურების საწინააღმდეგო ჯაჭვი 16.9/28-125</t>
  </si>
  <si>
    <t>ა/მ მოცურების საწინააღმდეგო ჯაჭვი 440/80-28</t>
  </si>
  <si>
    <t>ა/მ მოცურების საწინააღმდეგო ჯაჭვი 20.5-25</t>
  </si>
  <si>
    <t>ელ. ჩამრთველი 2 კლავიშიანი</t>
  </si>
  <si>
    <t>შლანგი წყლის D15 600მმ</t>
  </si>
  <si>
    <t>კანალიზაციის საწმენდი ტროსი 3 მეტრიანი</t>
  </si>
  <si>
    <t>გაზის ფილტრი DN80 PN40 ნამზ.</t>
  </si>
  <si>
    <t>დამცავი უკუსარქველი ჟანგბადის ბალონის</t>
  </si>
  <si>
    <t>დამცავი უკუსარქველი თხევადი გაზის ბალონის</t>
  </si>
  <si>
    <t>რეგულატორი DN300 Class 300</t>
  </si>
  <si>
    <t>დამცავი სარქველი DN25 PN16 2-4</t>
  </si>
  <si>
    <t>დამცავი სარქველი DN50 PN16 2.5-4</t>
  </si>
  <si>
    <t>დამცავი სარქველი DN50 PN16 4-8</t>
  </si>
  <si>
    <t>დამცავი სარქველი DN50 PN16 8-16</t>
  </si>
  <si>
    <t>დამცავი სარქველი DN80 PN16 8-16</t>
  </si>
  <si>
    <t>დამცავი სარქველი DN100 PN16 8-16</t>
  </si>
  <si>
    <t>გაზის გამათბობელი (კონვექტორი) 30მ2</t>
  </si>
  <si>
    <t>ელ. სადენი 2*2.5 მრავალწვერა სპილენძის სამ. იზოლაციით</t>
  </si>
  <si>
    <t>რედუქტორი გაზის უკუსარქველით</t>
  </si>
  <si>
    <t>ჩაფხუტი ყავისფერი</t>
  </si>
  <si>
    <t>ბრტყელტუჩა გრძელცხვირა 180მმ</t>
  </si>
  <si>
    <t>მილტუჩი DN50 PN40 საყელურიანი</t>
  </si>
  <si>
    <t>ელ. სადენის ბუნიკი 50კვ.მმ სპილენძის</t>
  </si>
  <si>
    <t>ელ. სადენი 1*4 სპილენძის ერთწვერა იზოლ.</t>
  </si>
  <si>
    <t>საყელური (შაიბა) 10</t>
  </si>
  <si>
    <t>ელ. კორექტორი ELSTER Ek-280 (0-5bar)</t>
  </si>
  <si>
    <t>საღებავი აეროზოლი სპრეი წითელი</t>
  </si>
  <si>
    <t>საღებავი აეროზოლი სპრეი ყვითელი</t>
  </si>
  <si>
    <t>გაზის ტურბინული მრიცხველი DN250 G2500 PN25</t>
  </si>
  <si>
    <t>ვაზნა 250მმ 1K62 სახარატო ჩარხის კომპლექტში</t>
  </si>
  <si>
    <t>მილის საიზოლაციო მანჟეტი 450*3მმ</t>
  </si>
  <si>
    <t>ა/მ საბურავი 205/55 R16</t>
  </si>
  <si>
    <t>ა/მ საბურავი 215/65 R17</t>
  </si>
  <si>
    <t>ა/მ საბურავი 215/65 R16</t>
  </si>
  <si>
    <t>ა/მ საბურავი 255/45 R20</t>
  </si>
  <si>
    <t>ა/მ საბურავი 205/70 R15</t>
  </si>
  <si>
    <t>ა/მ საბურავი 20.5-25</t>
  </si>
  <si>
    <t>ა/მ საბურავი 10-16.5</t>
  </si>
  <si>
    <t>ა/მ საბურავი 10.00-20</t>
  </si>
  <si>
    <t>ა/მ აკუმულატორი 75 A/h შებრუნებული პოლირების</t>
  </si>
  <si>
    <t>ა/მ აკუმულატორი 225 A/h</t>
  </si>
  <si>
    <t>ჩექმა სამუშაო ტყავის თასმიანი უსაფრთხოების</t>
  </si>
  <si>
    <t>ნაკადის გამათანაბრებელი DN300 PN64 ნამზ.</t>
  </si>
  <si>
    <t>ღორღი (ფრაქცია 10მმ)</t>
  </si>
  <si>
    <t>კარადა საოფისე ბაინდერების დახურული</t>
  </si>
  <si>
    <t>სარჭი ხრახნით (შპილკა) M42 L300</t>
  </si>
  <si>
    <t>ქანჩი 42</t>
  </si>
  <si>
    <t>საყელური (გროვერი) 42</t>
  </si>
  <si>
    <t>საყელური (შაიბა) 42</t>
  </si>
  <si>
    <t>აკუმულატორი AGM 105 A/h</t>
  </si>
  <si>
    <t>რელე ძაბვის D25A</t>
  </si>
  <si>
    <t>სფერული ონკანი DN50 PN16 შედუღებით</t>
  </si>
  <si>
    <t>ქანჩის გასაღები პნევმატური</t>
  </si>
  <si>
    <t>შლანგი წყლის/ჰაერის მ/წნ.D13</t>
  </si>
  <si>
    <t>ნედლი რეზინი შემჭიდროვებული (არავულკანიზებული) 5მმ</t>
  </si>
  <si>
    <t>მილტუჩი DN700 PN40 საყელურიანი</t>
  </si>
  <si>
    <t>სფერული დამხშობი D720*18</t>
  </si>
  <si>
    <t>დამხშობი ბრტყელი DN150 PN64</t>
  </si>
  <si>
    <t>შტანგელ-ცირკული 300 ნონიუსი 0.02მმ</t>
  </si>
  <si>
    <t>ჩაქუჩი 2კგ</t>
  </si>
  <si>
    <t>ღოჯი (ზუბილა) წაწვეტებული თავით</t>
  </si>
  <si>
    <t>სახრახნისი ფიგურული</t>
  </si>
  <si>
    <t>მილი D500*6.5 (მეორადი)</t>
  </si>
  <si>
    <t>პრინტერი ერთფუნქციური-ფერადი ჭავლური A4 ფორმატის</t>
  </si>
  <si>
    <t>ნედლი რეზინი შემჭიდროვებული (არავულკანიზებული) 20მმ</t>
  </si>
  <si>
    <t>მილტუჩი DN80 PN25 საყელურიანი</t>
  </si>
  <si>
    <t>მილტუჩი DN100 PN63 საყელურიანი</t>
  </si>
  <si>
    <t>მილტუჩი DN150 PN25 საყელურიანი</t>
  </si>
  <si>
    <t>მილტუჩი DN200 PN63 საყელურიანი</t>
  </si>
  <si>
    <t>მილტუჩი DN150 PN63 საყელურიანი</t>
  </si>
  <si>
    <t>მილტუჩი DN300 PN25 საყელურიანი</t>
  </si>
  <si>
    <t>მილტუჩი DN300 PN63 საყელურიანი</t>
  </si>
  <si>
    <t>მყარი დისკი 8TB</t>
  </si>
  <si>
    <t>მეხსიერების ბარათი microSD 512GB CCTV</t>
  </si>
  <si>
    <t>გონიო მასიური რკინის 600მმ</t>
  </si>
  <si>
    <t>გონიო მასიური რკინის 140მმ</t>
  </si>
  <si>
    <t>ლურსმანი 80მმ</t>
  </si>
  <si>
    <t>ელ. ავტომატური ამომრთველი 3P 160A</t>
  </si>
  <si>
    <t>ელ. სადენი 1*50 სპილენძის  მრავალწვერა იზოლ. შედუღების K400</t>
  </si>
  <si>
    <t>გადამყვანი D15-15 გარე ხრახნით ნამზ.</t>
  </si>
  <si>
    <t>მილი D1000*13 სამმაგი იზოლაციით</t>
  </si>
  <si>
    <t>გოგირდწყალბადის ანალიზატორის სტანდარტი (H2S-N2) ბალონით</t>
  </si>
  <si>
    <t>მილი D168 სამმაგი იზოლაციით (მეორადი)</t>
  </si>
  <si>
    <t>სფერული ონკანი DN200 PN16 შედუღებით მიწისქვეშა</t>
  </si>
  <si>
    <t>ჭანჭიკი 5*10</t>
  </si>
  <si>
    <t>ქანჩი 5</t>
  </si>
  <si>
    <t>საყელური (შაიბა) 5</t>
  </si>
  <si>
    <t>ლუქი ქაღალდის თვითწებვადი (ლოგოთი და სერ.ნომრით) 40*200</t>
  </si>
  <si>
    <t>ლუქი ქაღალდის თვითწებვადი (ლოგოთი და სერ.ნომრით) 25*60</t>
  </si>
  <si>
    <t>გაზის როტაციული მრიცხველი DN80 G100 PN16</t>
  </si>
  <si>
    <t>ღორღი 10-20</t>
  </si>
  <si>
    <t>კვების ბლოკი 220v- 13.5v</t>
  </si>
  <si>
    <t>ა/მ მოცურების საწინააღმდეგო ჯაჭვი 245/70 R16</t>
  </si>
  <si>
    <t>ა/მ მოცურების საწინააღმდეგო ჯაჭვი 265/65 R17</t>
  </si>
  <si>
    <t>ა/მ მოცურების საწინააღმდეგო ჯაჭვი 215/60 R16</t>
  </si>
  <si>
    <t>ა/მ მოცურების საწინააღმდეგო ჯაჭვი 215/65 R16</t>
  </si>
  <si>
    <t>მილი D1016*12.7 სამმაგი იზოლაციით</t>
  </si>
  <si>
    <t>ორგმინა გამჭირვალე 1მმ</t>
  </si>
  <si>
    <t>ქანჩის გასაღები იმპულსური 20V აკუმულატორზე</t>
  </si>
  <si>
    <t>ონკანი სამსვლიანი D100 P25</t>
  </si>
  <si>
    <t>მანომეტრი 100bar გლიცერინით</t>
  </si>
  <si>
    <t>სფერული ონკანი DN200 PN40 მილტუჩა</t>
  </si>
  <si>
    <t>სფერული ონკანი DN200 PN16 მილტუჩა</t>
  </si>
  <si>
    <t>სფერული ონკანი DN200 PN64 მილტუჩა</t>
  </si>
  <si>
    <t>ა/მ აკუმულატორი 45 A/h</t>
  </si>
  <si>
    <t>ა/მ აკუმულატორი 80A/h</t>
  </si>
  <si>
    <t>მილი D219.08*8.18</t>
  </si>
  <si>
    <t>სათადარიგო გგს ფოთი წარმ.5000</t>
  </si>
  <si>
    <t>სამკაპი D720-720-720*12</t>
  </si>
  <si>
    <t>სამკაპი D720-530-720*12</t>
  </si>
  <si>
    <t>მუხლი D720*12 90გრ 1.5D (მეორადი)</t>
  </si>
  <si>
    <t>ბაგირი 22მმ</t>
  </si>
  <si>
    <t>სარქველი ჩამკეტი D25 P160</t>
  </si>
  <si>
    <t>ელექტროდი 4მმ</t>
  </si>
  <si>
    <t>მუხლი D325 90გრ 1.5D (მეორადი)</t>
  </si>
  <si>
    <t>ონკანი D50</t>
  </si>
  <si>
    <t>მუხლი D530*12 90გრ 1.5D</t>
  </si>
  <si>
    <t>ფანარი ჰალოგენი.</t>
  </si>
  <si>
    <t>ბურღი (დრელი) ხელის</t>
  </si>
  <si>
    <t>რკინის საჭრელი ხერხის პირი</t>
  </si>
  <si>
    <t>სამკაპი</t>
  </si>
  <si>
    <t>მილის საყრდენი D720</t>
  </si>
  <si>
    <t>შუასადები 1მმ პარანიტი</t>
  </si>
  <si>
    <t>მილის D720 საწმენდი პარალონური ცილინდრი</t>
  </si>
  <si>
    <t>ვენტილი D25 PN40 მილტუჩა</t>
  </si>
  <si>
    <t>ქვიშაჭავლური აპარატი "სოპლო" D8.0</t>
  </si>
  <si>
    <t>ჟანგბადი</t>
  </si>
  <si>
    <t>ა/მ საბურავი 265/65 R17</t>
  </si>
  <si>
    <t>ფეხსაცმელი სამუშაო უსაფრთხოების</t>
  </si>
  <si>
    <t>ა/მ ზეთი ძრავის 20/50 ბენზინის</t>
  </si>
  <si>
    <t>ელ. სადენის ბუნიკი 0.5 კვ.მმ</t>
  </si>
  <si>
    <t>ა/მ აკუმულატორის მომჭერი (კლემა)</t>
  </si>
  <si>
    <t>ელ. როზეტი</t>
  </si>
  <si>
    <t>ბრტყელტუჩა</t>
  </si>
  <si>
    <t>სახრახნისი</t>
  </si>
  <si>
    <t>ურო</t>
  </si>
  <si>
    <t>ნემსა ვენტილი DN15 PN64 შიდა ხრანხით</t>
  </si>
  <si>
    <t>მანომეტრი</t>
  </si>
  <si>
    <t>ანჯამა (პეტლი) პატარა</t>
  </si>
  <si>
    <t>ჩექმა სამუშაო ტყავის უსაფრთხოების</t>
  </si>
  <si>
    <t>ქურთუკი შუქამრეკლი</t>
  </si>
  <si>
    <t>ქამარი დამცავი</t>
  </si>
  <si>
    <t>ხელთათმანი საყოფაცხოვრებო რეზინის</t>
  </si>
  <si>
    <t>მილკვადრატი 80*80*2</t>
  </si>
  <si>
    <t>სფერული ონკანი DN100 PN16 შედუღებით</t>
  </si>
  <si>
    <t>სფერული დამხშობი D325*8</t>
  </si>
  <si>
    <t>მილი D57*3</t>
  </si>
  <si>
    <t>კუთხოვანა 50*50*4</t>
  </si>
  <si>
    <t>მილი D76*3</t>
  </si>
  <si>
    <t>შლანგი D3/4 წყლის</t>
  </si>
  <si>
    <t>მილი D114*6</t>
  </si>
  <si>
    <t>გამხსნელი საღებავის</t>
  </si>
  <si>
    <t>ფუნჯი ბრტყელი</t>
  </si>
  <si>
    <t>ხელთათმანი სამუშაო</t>
  </si>
  <si>
    <t>ბოქლომი დახურული</t>
  </si>
  <si>
    <t>რედუქტორი ჟანგბადის ბალონის</t>
  </si>
  <si>
    <t>სახეხი ქვა 230*6 ლითონის</t>
  </si>
  <si>
    <t>თარაზო 1000მმ</t>
  </si>
  <si>
    <t>გონიო სტანდარტული</t>
  </si>
  <si>
    <t>ჯაჭვი რკინის</t>
  </si>
  <si>
    <t>ბადე მავთულის ცხაურა 2000*50*50*3</t>
  </si>
  <si>
    <t>ალუმინის პუდრა (ბრონზა)</t>
  </si>
  <si>
    <t>რულეტკა 5მ</t>
  </si>
  <si>
    <t>სკოჩი</t>
  </si>
  <si>
    <t>საიზოლაციო ლენტი (საყოფაცხოვრებო)</t>
  </si>
  <si>
    <t>ბარი</t>
  </si>
  <si>
    <t>ნიჩაბი</t>
  </si>
  <si>
    <t>წერაქვი</t>
  </si>
  <si>
    <t>ძალაყინი</t>
  </si>
  <si>
    <t>სათლი (ვედრო)</t>
  </si>
  <si>
    <t>ხერხი ლითონის ხელის</t>
  </si>
  <si>
    <t>თარაზო 600მმ</t>
  </si>
  <si>
    <t>თარაზო 800მმ</t>
  </si>
  <si>
    <t>ხერხი ხის დისკური ელექტრო</t>
  </si>
  <si>
    <t>ღოჯი (ზუბილა)</t>
  </si>
  <si>
    <t>ჩაქუჩი</t>
  </si>
  <si>
    <t>ელექტროდის დამჭერი</t>
  </si>
  <si>
    <t>სანტექნიკური პაკლი (ძენძი)</t>
  </si>
  <si>
    <t>ბიტუმი</t>
  </si>
  <si>
    <t>შემდუღებლის დამცავი მუქი შუშა</t>
  </si>
  <si>
    <t>სფერული დამხშობი D530*10</t>
  </si>
  <si>
    <t>მილტუჩი DN80 PN40 ბრტყელი</t>
  </si>
  <si>
    <t>სფერული დამხშობი D325*10</t>
  </si>
  <si>
    <t>ელ. ჩანგალი</t>
  </si>
  <si>
    <t>თხევადი გაზის ბალონი 20ლ</t>
  </si>
  <si>
    <t>ჯაგრისი 115-125 ბალგარკის</t>
  </si>
  <si>
    <t>რედუქტორი გაზის</t>
  </si>
  <si>
    <t>ფანარი</t>
  </si>
  <si>
    <t>შლანგი წყლის</t>
  </si>
  <si>
    <t>ტომარა</t>
  </si>
  <si>
    <t>ნაჯახი</t>
  </si>
  <si>
    <t>ლილვაკი (კატოკი) 300მმ</t>
  </si>
  <si>
    <t>მილი D219*4</t>
  </si>
  <si>
    <t>ბალგარკა ელექტრო 125</t>
  </si>
  <si>
    <t>მაკრატელი (სეკატორი) ვაზის</t>
  </si>
  <si>
    <t>თოხი</t>
  </si>
  <si>
    <t>მაკრატელი (სეკატორი) ბუჩქის</t>
  </si>
  <si>
    <t>საჭრელი დისკი 125*2 ლითონის</t>
  </si>
  <si>
    <t>ნათურის ვაზნა 100</t>
  </si>
  <si>
    <t>ელ. ჩამრთველი 1 კლავიშიანი</t>
  </si>
  <si>
    <t>თხევადი გაზი</t>
  </si>
  <si>
    <t>ხელთათმანი სამუშაო ლატექსის</t>
  </si>
  <si>
    <t>ხელთათმანი შემდუღებლის</t>
  </si>
  <si>
    <t>კომბინიზონი სქელი სამუშაო</t>
  </si>
  <si>
    <t>ტროსი გვარლი 12მმ</t>
  </si>
  <si>
    <t>ცემენტი</t>
  </si>
  <si>
    <t>ვენტილი ჟანგბადის ბალონის</t>
  </si>
  <si>
    <t>აირმჭრელი (გაზის რეზაკი)</t>
  </si>
  <si>
    <t>ლურსმანი</t>
  </si>
  <si>
    <t>შტანგელი 150</t>
  </si>
  <si>
    <t>ა/მ საბურისი (მანტიროვკა) მსუბუქი</t>
  </si>
  <si>
    <t>ცეცხლმაქრი 2კგ</t>
  </si>
  <si>
    <t>ჩექმა რეზინის უსაფრთხოების</t>
  </si>
  <si>
    <t>ფუსფუსა (გარელკა)</t>
  </si>
  <si>
    <t>კარბიდი</t>
  </si>
  <si>
    <t>ზუმფარა (შკურკა)</t>
  </si>
  <si>
    <t>საწვიმარი ლაბადა</t>
  </si>
  <si>
    <t>ფიწალი</t>
  </si>
  <si>
    <t>ა/მ შლანგი მ/წნ ჰიდრავლიკის</t>
  </si>
  <si>
    <t>ბატარეა ლითიუმის ცილინდრული</t>
  </si>
  <si>
    <t>ზოლოვანა 80*5 ლითონის</t>
  </si>
  <si>
    <t>ფუნჯი მრგვალი</t>
  </si>
  <si>
    <t>სახეხი ქვა 115*22 ლითონის</t>
  </si>
  <si>
    <t>საჭრელი დისკი 230*2.2 ლითონის</t>
  </si>
  <si>
    <t>არმატურა 12მმ</t>
  </si>
  <si>
    <t>მკვნეტარა (კუსაჭკა)</t>
  </si>
  <si>
    <t>ოდორანტი</t>
  </si>
  <si>
    <t>ფურცელი ლითონის 2მმ</t>
  </si>
  <si>
    <t>არმატურა 18მმ</t>
  </si>
  <si>
    <t>ა/მ ზეთის ფილტრი</t>
  </si>
  <si>
    <t>მაკრატელი თუნუქის</t>
  </si>
  <si>
    <t>მილი D27*2.5</t>
  </si>
  <si>
    <t>სფერული ონკანი DN15 PN40 შიდა/გარე ხრახნით</t>
  </si>
  <si>
    <t>ღორღი გარეცხილი 20-40მმ</t>
  </si>
  <si>
    <t>გადამყვანი D89-57*8</t>
  </si>
  <si>
    <t>ა/მ საპოხი ლიტოლი-24</t>
  </si>
  <si>
    <t>ვენტილი გაზის ბალონის</t>
  </si>
  <si>
    <t>ხამუთი პლასტმასის სამეურნეო</t>
  </si>
  <si>
    <t>შტუცერი (გადამყვანი)</t>
  </si>
  <si>
    <t>შტეკერი</t>
  </si>
  <si>
    <t>ხრახნდამჭერი (ბურღი) აკუმულატორზე</t>
  </si>
  <si>
    <t>შლანგი ჟანგბადის</t>
  </si>
  <si>
    <t>თოკი</t>
  </si>
  <si>
    <t>ურიკა</t>
  </si>
  <si>
    <t>ა/მ დომკრატი 5ტ</t>
  </si>
  <si>
    <t>ა/მ აკუმულატორი 90 A/h</t>
  </si>
  <si>
    <t>ფოტოფირის გამომსახველი</t>
  </si>
  <si>
    <t>ფიქსატორი ფირის</t>
  </si>
  <si>
    <t>მავთული გლინულა 6.5მმ</t>
  </si>
  <si>
    <t>მუხლი D89*3 90გრ 1.5D</t>
  </si>
  <si>
    <t>მუხლი D159*8 90გრ 1.5D</t>
  </si>
  <si>
    <t>მინაბამბა ფოლგიანი</t>
  </si>
  <si>
    <t>რესპირატორი</t>
  </si>
  <si>
    <t>მილი D323*6.4 სამმაგი იზოლაციით</t>
  </si>
  <si>
    <t>გადამყვანი D530-325*30</t>
  </si>
  <si>
    <t>შემრევი ონკანის რეზინის მილი</t>
  </si>
  <si>
    <t>ა/მ ღვედი ამწე 2ტ 6მ</t>
  </si>
  <si>
    <t>ა/მ ღვედი ამწე 5ტ 10მ</t>
  </si>
  <si>
    <t>ტენტი ბრეზენტის</t>
  </si>
  <si>
    <t>გაზის ონკანის საპოხი</t>
  </si>
  <si>
    <t>ა/მ საბურავი 14.00-R20</t>
  </si>
  <si>
    <t>ა/მ სალონის საფენები კომპლ.</t>
  </si>
  <si>
    <t>ცეცხლმაქრი 4კგ</t>
  </si>
  <si>
    <t>ონკანი საცობიანი D50</t>
  </si>
  <si>
    <t>რეზინის ბურთი DN400</t>
  </si>
  <si>
    <t>რეზინის ბურთი DN300</t>
  </si>
  <si>
    <t>რეზინის ბურთი DN500</t>
  </si>
  <si>
    <t>რეზინის ბურთი DN700</t>
  </si>
  <si>
    <t>რეზინის ბურთი DN1200</t>
  </si>
  <si>
    <t>მანიშნებელი - უსაფრთხოების ლენტი</t>
  </si>
  <si>
    <t>ჩაფხუტი თეთრი</t>
  </si>
  <si>
    <t>ჟილეტი შუქამრეკლი</t>
  </si>
  <si>
    <t>შემდუღებლის შლემი ცეცხლგამძლე ნაჭრის</t>
  </si>
  <si>
    <t>ფანარი გადასატანი (პროჟექტორი)</t>
  </si>
  <si>
    <t>სფერული დამხშობი D219*12</t>
  </si>
  <si>
    <t>მილი D87*3</t>
  </si>
  <si>
    <t>ჰიდრავლიკური სითხე</t>
  </si>
  <si>
    <t>აცეტონი</t>
  </si>
  <si>
    <t>კალციუმის ქლორიდი</t>
  </si>
  <si>
    <t>კუთხოვანა 35*35*3</t>
  </si>
  <si>
    <t>ხამუთი წარმოება</t>
  </si>
  <si>
    <t>ონკანის შესაპოხი შპრიცი</t>
  </si>
  <si>
    <t>ქაფჩა</t>
  </si>
  <si>
    <t>ქაფი სამშენებლო</t>
  </si>
  <si>
    <t>ა/მ აკუმულატორი 60 A/h</t>
  </si>
  <si>
    <t>სამემბრანე მასალა Ufo</t>
  </si>
  <si>
    <t>ტროსი გვარლი</t>
  </si>
  <si>
    <t>ელ. სადენი 2*25 (სიპი)</t>
  </si>
  <si>
    <t>ლითონის მრგვალი ნამზადი 8მმ</t>
  </si>
  <si>
    <t>ა/მ ღვედი ამწე 2ტ 6მ დამჭიმით</t>
  </si>
  <si>
    <t>შუასადები 2მმ პარანიტი</t>
  </si>
  <si>
    <t>ა/მ აკუმულატორი 100 A/h</t>
  </si>
  <si>
    <t>გაზის ფილტრის კარტრიჯი FTP/5-320/390/800-G</t>
  </si>
  <si>
    <t>ქანჩი და ჭანჭიკი გაზის ფილტრის</t>
  </si>
  <si>
    <t>ხელსაბანი</t>
  </si>
  <si>
    <t>საკეტი კარის</t>
  </si>
  <si>
    <t>პლაფონი</t>
  </si>
  <si>
    <t>ელ. როზეტი 3 ფაზა დიდი</t>
  </si>
  <si>
    <t>გადამყვანი D219-159*6</t>
  </si>
  <si>
    <t>მილი D89*3</t>
  </si>
  <si>
    <t>კანისტრა 20ლ რკინის</t>
  </si>
  <si>
    <t>მილი D114.3*3</t>
  </si>
  <si>
    <t>მილკვადრატი 40*20*2</t>
  </si>
  <si>
    <t>კუთხოვანა 75*75*5</t>
  </si>
  <si>
    <t>ვენტილი D20 PN40 შიდა ხრახნით</t>
  </si>
  <si>
    <t>რულეტკა 50მ</t>
  </si>
  <si>
    <t>არმატურა 16მმ</t>
  </si>
  <si>
    <t>კუთხოვანა 40*40*3</t>
  </si>
  <si>
    <t>ელექტროდი ცელულოზა 2.5მმ</t>
  </si>
  <si>
    <t>ფურცელი ლითონის 6მმ</t>
  </si>
  <si>
    <t>მილმიმყვანი D25 (სგონი)</t>
  </si>
  <si>
    <t>ფურცელი ლითონის 10მმ</t>
  </si>
  <si>
    <t>ლინოლიუმი</t>
  </si>
  <si>
    <t>ქლიბების ნაკრები</t>
  </si>
  <si>
    <t>მავთული ეკლიანი</t>
  </si>
  <si>
    <t>ელ. სადენის ბუნიკი 1.5 კვ.მმ</t>
  </si>
  <si>
    <t>წყლის ტუმბო ხელის პლასტმასის</t>
  </si>
  <si>
    <t>ხერხი ხის ხელის</t>
  </si>
  <si>
    <t>ჭანჭიკი</t>
  </si>
  <si>
    <t>ზოლოვანა 50*4 ლითონის</t>
  </si>
  <si>
    <t>ცეცხლმაქრი 9კგ</t>
  </si>
  <si>
    <t>შუასადები 3მმ პარანიტი</t>
  </si>
  <si>
    <t>სფერული ონკანი DN40 PN16 შედუღებით</t>
  </si>
  <si>
    <t>სახანძრო სათლი (ვედრო)</t>
  </si>
  <si>
    <t>ქანჩის გასაღები ვარსკვლავა ნაკრები</t>
  </si>
  <si>
    <t>ქანჩის გასაღების ნაკრები ორმხრივი</t>
  </si>
  <si>
    <t>მანომეტრი 16bar ტექნიკური</t>
  </si>
  <si>
    <t>მანომეტრი 25bar ტექნიკური</t>
  </si>
  <si>
    <t>მასტიკა ანტიკოროზიული</t>
  </si>
  <si>
    <t>ქლორიანი კირი</t>
  </si>
  <si>
    <t>თოკი გრაფიტიანი (ჩეკანკის)</t>
  </si>
  <si>
    <t>თოკი გაჟღენთილი (ნაბივკა)</t>
  </si>
  <si>
    <t>სამკაპი D159-159-159*12</t>
  </si>
  <si>
    <t>მულტიმეტრი (ტესტერი)</t>
  </si>
  <si>
    <t>ხვრეტელა</t>
  </si>
  <si>
    <t>მანომეტრი ელექტრო</t>
  </si>
  <si>
    <t>სახანძრო სტენდი</t>
  </si>
  <si>
    <t>რეგულატორი D50 მ/წნ კომპლ.</t>
  </si>
  <si>
    <t>ელ. სადენი 4*4 სპილენძის მრავალწვერა ორმ. იზოლ.</t>
  </si>
  <si>
    <t>ლამპიონი გარე განათების</t>
  </si>
  <si>
    <t>ბოქლომი 80</t>
  </si>
  <si>
    <t>თერმოსი</t>
  </si>
  <si>
    <t>პლ. მუფტა 25 (3/4)</t>
  </si>
  <si>
    <t>გადამყვანი D25 პლ. მილის (ამერიკანკა )</t>
  </si>
  <si>
    <t>ბენზოხერხი ჯაჭვური</t>
  </si>
  <si>
    <t>ელ. ავტომატური ამომრთველი 2P 100A</t>
  </si>
  <si>
    <t>ელ. ავტომატური ამომრთველი 3P 100A</t>
  </si>
  <si>
    <t>ელ. გამანაწილებელი ფარი</t>
  </si>
  <si>
    <t>ა/მ ხელის ნასოსი</t>
  </si>
  <si>
    <t>ა/მ ღვედი ამწე 8ტ 10მ</t>
  </si>
  <si>
    <t>ა/მ ღვედი ამწე 10ტ 10მ</t>
  </si>
  <si>
    <t>გაზის ქურა 4 კომფორი</t>
  </si>
  <si>
    <t>ქანჩის გასაღები ექვსკუთხა ნაკრები</t>
  </si>
  <si>
    <t>საკერავი მანქანა ტომრებისთვის</t>
  </si>
  <si>
    <t>ზოლურის მოსაჭრელი ხელსაწყო</t>
  </si>
  <si>
    <t>უწყვეტი კვების წყარო UPS</t>
  </si>
  <si>
    <t>GPS ნავიგატორი საავტომობილო</t>
  </si>
  <si>
    <t>სტაბილიზატორი კორექტორის</t>
  </si>
  <si>
    <t>რეგულატორი DN50 Class 300</t>
  </si>
  <si>
    <t>ელ. კორექტორი ELSTER Ek-220 (2-10bar)</t>
  </si>
  <si>
    <t>მილის დეტექტორი მაძიებელი</t>
  </si>
  <si>
    <t>ანტენა მოდემის GSM</t>
  </si>
  <si>
    <t>ელ. სადენი შედუღების აგრეგატის KG 1*35</t>
  </si>
  <si>
    <t>სახეხი ქვა 180*6 ლითონის</t>
  </si>
  <si>
    <t>საჭრელი დისკი 180*2 ლითონის</t>
  </si>
  <si>
    <t>ქვიშა მილის აბრაზიული საწმენდი</t>
  </si>
  <si>
    <t>რულეტკა 100მ</t>
  </si>
  <si>
    <t>კარავი</t>
  </si>
  <si>
    <t>ნათურა პროჟექტორის</t>
  </si>
  <si>
    <t>სარჩილავი</t>
  </si>
  <si>
    <t>სახის დამცავი ფარი</t>
  </si>
  <si>
    <t>ბიტუმის მასტიკა</t>
  </si>
  <si>
    <t>ცელი</t>
  </si>
  <si>
    <t>ნამგალი</t>
  </si>
  <si>
    <t>ბალგარკის ნახშირი პატარა</t>
  </si>
  <si>
    <t>მილკვადრატი 80*40*3</t>
  </si>
  <si>
    <t>მილკვადრატი 60*40*2</t>
  </si>
  <si>
    <t>კანისტრა 20ლ პოლიეთილენის</t>
  </si>
  <si>
    <t>რეგულატორი DN80 Class 300</t>
  </si>
  <si>
    <t>ვარცლი (ტაშტი)</t>
  </si>
  <si>
    <t>მარკირების ნიშნები ¹6</t>
  </si>
  <si>
    <t>ელ. გამანაწილებელი კოლოფი</t>
  </si>
  <si>
    <t>ბალგარკის ნახშირი დიდი</t>
  </si>
  <si>
    <t>ა/მ დამტენი აკუმულატორის შოკით 12/24v</t>
  </si>
  <si>
    <t>ბენზოხერხის ჯაჭვური დანა</t>
  </si>
  <si>
    <t>მანომეტრი 160bar ტექნიკური</t>
  </si>
  <si>
    <t>ჰელიუმი</t>
  </si>
  <si>
    <t>ქანჩის გასაღების ნაკრები 8-32</t>
  </si>
  <si>
    <t>არმატურა 8მმ</t>
  </si>
  <si>
    <t>ბიტუმის პრაიმერი</t>
  </si>
  <si>
    <t>მილი D101.6*3 უნაკერო</t>
  </si>
  <si>
    <t>სფერული ონკანი DN50 PN40 შედუღებით</t>
  </si>
  <si>
    <t>ჯაგრისი რკინის ხელის</t>
  </si>
  <si>
    <t>ელ ვენტილის მართვის მოდული V2.0</t>
  </si>
  <si>
    <t>კაბელი ქსელის გარე გამოყენების ლითონის ბაგირით</t>
  </si>
  <si>
    <t>გამანოლებელი ერთარხიანი</t>
  </si>
  <si>
    <t>შემდუღებლის სპეც. ორეული</t>
  </si>
  <si>
    <t>არმატურა 10მმ</t>
  </si>
  <si>
    <t>მუხლი D25*3 90გრ 1.5D</t>
  </si>
  <si>
    <t>ხამუთი მილის D200 ლითონის</t>
  </si>
  <si>
    <t>ლურსმანი შიფერის 120მმ</t>
  </si>
  <si>
    <t>მილტუჩი DN200 PN16 ბრტყელი</t>
  </si>
  <si>
    <t>სფერული ონკანი DN32 PN16 შიდა ხრახნით</t>
  </si>
  <si>
    <t>ანჯამა (პეტლი) დიდი</t>
  </si>
  <si>
    <t>ფილტრი ჰაერის DP-IR გაზის დეტექტორის</t>
  </si>
  <si>
    <t>ნიმუშის ასაღები ზონდი</t>
  </si>
  <si>
    <t>ელ. სადენი 2*2.5 სპილენძის სპილენძის ერთწვერა სამ. იზოლაციით</t>
  </si>
  <si>
    <t>ხელთათმანი ქიმიური</t>
  </si>
  <si>
    <t>ფილტრი რესპირატორის</t>
  </si>
  <si>
    <t>ლურსმანი ბეტონის</t>
  </si>
  <si>
    <t>ხელთათმანი ელექტრიკოსის</t>
  </si>
  <si>
    <t>ბრა შიდა განათების</t>
  </si>
  <si>
    <t>ელ. ავტომატური ამომრთველი 4P 100A</t>
  </si>
  <si>
    <t>სილიკონის წებო</t>
  </si>
  <si>
    <t>მილაკი სპილენძის 12მმ</t>
  </si>
  <si>
    <t>სფერული ონკანი DN80 PN40 შედუღებით</t>
  </si>
  <si>
    <t>ჩექმა რეზინის (ბოტი)</t>
  </si>
  <si>
    <t>ხელსაწყოების ჩანთა</t>
  </si>
  <si>
    <t>მილტუჩი DN32 PN16 ბრტყელი</t>
  </si>
  <si>
    <t>ანჯამა (პეტლი) საშუალო</t>
  </si>
  <si>
    <t>მავთული ლუქის</t>
  </si>
  <si>
    <t>ლუქი პლასტმასის</t>
  </si>
  <si>
    <t>კარავი სპეც შემდუღებლის</t>
  </si>
  <si>
    <t>ელ. სადენი 1*2.5 მრავალწვერა</t>
  </si>
  <si>
    <t>ელ. დამაგრძელებელი დოლურით</t>
  </si>
  <si>
    <t>მასის სარჭი</t>
  </si>
  <si>
    <t>მანიშნებელი - გაზსადენის მანიშნებელი</t>
  </si>
  <si>
    <t>ფურცელი ლითონის 40მმ</t>
  </si>
  <si>
    <t>მილი D32*3</t>
  </si>
  <si>
    <t>დამჭერი თოკის 3მმ</t>
  </si>
  <si>
    <t>მილის საიზოლაციო მანჟეტი</t>
  </si>
  <si>
    <t>მილის საიზოლაციო მანჟეტის ჩამკეტი</t>
  </si>
  <si>
    <t>დამჭერი თოკის 32-40მმ</t>
  </si>
  <si>
    <t>ტროსი გვარლი 27მმ</t>
  </si>
  <si>
    <t>ქურო D25 (მუფთა)</t>
  </si>
  <si>
    <t>პინ ბრაიზინგის პინები 8მმ</t>
  </si>
  <si>
    <t>პინ ბრაიზინგის იზოლატორი 8მმ</t>
  </si>
  <si>
    <t>შხამქიმიკატი</t>
  </si>
  <si>
    <t>ა/მ საბურავი 245/70 R16</t>
  </si>
  <si>
    <t>ა/მ საბურავი 425/85 R21</t>
  </si>
  <si>
    <t>ა/მ საბურავი 315/80 R22.5</t>
  </si>
  <si>
    <t>ა/მ შესაპოხი შპრიცი შლანგით</t>
  </si>
  <si>
    <t>ა/მ დომკრატი 2ტ</t>
  </si>
  <si>
    <t>ა/მ მუხლუხოს გორგოლაჭი</t>
  </si>
  <si>
    <t>პლ. მუხლი D32</t>
  </si>
  <si>
    <t>პლ. სამკაპი D32</t>
  </si>
  <si>
    <t>პლ. ქურო 32</t>
  </si>
  <si>
    <t>ხრახნმჭრელი გარე M 25</t>
  </si>
  <si>
    <t>ხრახნმჭრელი გარე G 3/4</t>
  </si>
  <si>
    <t>სათვალე გამჭირვალე დამცავი</t>
  </si>
  <si>
    <t>წინსაფარი რეზინის</t>
  </si>
  <si>
    <t>ა/მ საბურავი 12.5-R20</t>
  </si>
  <si>
    <t>თოკი კაპრონის ალპინისტური 20მმ</t>
  </si>
  <si>
    <t>რეზინის ბურთი DN800</t>
  </si>
  <si>
    <t>რეზინის ბურთი DN1000</t>
  </si>
  <si>
    <t>სფერული დამხშობი D114*10</t>
  </si>
  <si>
    <t>ვენტილი ელექტრონული</t>
  </si>
  <si>
    <t>გოგირდმჟავა</t>
  </si>
  <si>
    <t>გადამყვანი მრიცხველის სპეციალური</t>
  </si>
  <si>
    <t>აზოტის ბალონი 40ლ</t>
  </si>
  <si>
    <t>თხევადი გაზის ბალონი 50ლ</t>
  </si>
  <si>
    <t>ჟანგბადის ბალონი 40ლ</t>
  </si>
  <si>
    <t>ავზი 150ლ პოლიეთილენის</t>
  </si>
  <si>
    <t>ფურცელი ლითონის 30მმ</t>
  </si>
  <si>
    <t>კაბელი ქსელის 4 წვერი</t>
  </si>
  <si>
    <t>მილი D62*3</t>
  </si>
  <si>
    <t>მილის საიზოლაციო პლასტირი</t>
  </si>
  <si>
    <t>მილის საიზოლაციო საფენი</t>
  </si>
  <si>
    <t>შველერი 80მმ</t>
  </si>
  <si>
    <t>სფერული ონკანი DN100 PN40 შედუღებით</t>
  </si>
  <si>
    <t>საზომი სარტყელი L-2.3მ</t>
  </si>
  <si>
    <t>დრეკადი კასეტა (7*24)</t>
  </si>
  <si>
    <t>კასეტების ჩასადები ქამარი</t>
  </si>
  <si>
    <t>მარკირების ნიშნები ¹2</t>
  </si>
  <si>
    <t>მილი D89*6 სამმაგი იზოლაციით</t>
  </si>
  <si>
    <t>მილი D219*6 სამმაგი იზოლაციით</t>
  </si>
  <si>
    <t>სელის ქსოვილი (ჭილოფი)</t>
  </si>
  <si>
    <t>გადამყვანი D114-57*6</t>
  </si>
  <si>
    <t>მილი D89*4</t>
  </si>
  <si>
    <t>მილმიმყვანი 3/4 ორმხრივი ხრახნით (სგონი)</t>
  </si>
  <si>
    <t>კუთხოვანა 30*30*2.5</t>
  </si>
  <si>
    <t>მანომეტრი 10bar ტექნიკური</t>
  </si>
  <si>
    <t>მილი D219*8 უნაკერო</t>
  </si>
  <si>
    <t>მილი D114*6 უნაკერო</t>
  </si>
  <si>
    <t>ტროსი გვარლი 5მმ</t>
  </si>
  <si>
    <t>ფურცელი ლითონის 25მმ</t>
  </si>
  <si>
    <t>სამაგრი ჭილოფის</t>
  </si>
  <si>
    <t>მილი D159*4.5</t>
  </si>
  <si>
    <t>პლ. მილი 160*6.2</t>
  </si>
  <si>
    <t>მილკვადრატი 50*50*3</t>
  </si>
  <si>
    <t>უნიტაზის გოფრირებული მილი</t>
  </si>
  <si>
    <t>ლითონის მრგვალი ნამზადი 80მმ (კგ)</t>
  </si>
  <si>
    <t>ჭანჭიკი 20 (კგ)</t>
  </si>
  <si>
    <t>ჭანჭიკი 12-16 (კგ)</t>
  </si>
  <si>
    <t>ქანჩი 12 (კგ)</t>
  </si>
  <si>
    <t>შველერი 100მმ</t>
  </si>
  <si>
    <t>დამჭიმი თოკის 16მმ</t>
  </si>
  <si>
    <t>პენოპლასტი</t>
  </si>
  <si>
    <t>ძუძუკა DN15 60მმ (სასოკი)</t>
  </si>
  <si>
    <t>საყელური (გროვერი) 12</t>
  </si>
  <si>
    <t>ხრახნი ღერო თავაკების გარეშე 24*2000</t>
  </si>
  <si>
    <t>ქანჩი 24 (კგ)</t>
  </si>
  <si>
    <t>საყელური (შაიბა) 24 (კგ)</t>
  </si>
  <si>
    <t>ლითონის მრგვალი ნამზადი 16მმ (კგ)</t>
  </si>
  <si>
    <t>ექვსკუთხა 22მმ ლითონის</t>
  </si>
  <si>
    <t>წყლის ტუმბო საყოფაცხოვრებო</t>
  </si>
  <si>
    <t>ვენტილი D15 ლატუნის</t>
  </si>
  <si>
    <t>ზოლოვანა 40*4 ლითონის</t>
  </si>
  <si>
    <t>მილი D32*2.5</t>
  </si>
  <si>
    <t>თერმომეტრი ელექტრო მეხსიერებით</t>
  </si>
  <si>
    <t>გაზის ულტრაბგერითი მრიცხველი G250</t>
  </si>
  <si>
    <t>სფერული ონკანი DN200 PN40 შედუღებით</t>
  </si>
  <si>
    <t>სფერული ონკანი DN150 PN16 მილტუჩა</t>
  </si>
  <si>
    <t>გაზის როტაციული მრიცხველი DN50 G65 PN16</t>
  </si>
  <si>
    <t>გაზის ტურბინული მრიცხველი DN80 G160 PN16</t>
  </si>
  <si>
    <t>გაზის ტურბინული მრიცხველი DN150 G650 PN16</t>
  </si>
  <si>
    <t>სფერული ონკანი DN300 PN64 შედუღებით</t>
  </si>
  <si>
    <t>მზის ელემენტი 50w</t>
  </si>
  <si>
    <t>მზის ელემენტი 20w</t>
  </si>
  <si>
    <t>გაზის ულტრაბგერითი მრიცხველი G65</t>
  </si>
  <si>
    <t>გაზის ულტრაბგერითი მრიცხველი G100</t>
  </si>
  <si>
    <t>მოდემი GSM</t>
  </si>
  <si>
    <t>სავარძელი საოფისე</t>
  </si>
  <si>
    <t>მზის ელემენტი 40w</t>
  </si>
  <si>
    <t>რეგულატორი DN150 Class 300</t>
  </si>
  <si>
    <t>გაზის ულტრაბგერითი მრიცხველი G400</t>
  </si>
  <si>
    <t>რეგულატორი DN200 Class 300</t>
  </si>
  <si>
    <t>მობილური ტელეფონი</t>
  </si>
  <si>
    <t>სფერული ონკანი DN50 PN40 მილტუჩა</t>
  </si>
  <si>
    <t>სფერული ონკანი DN80 PN40 მილტუჩა</t>
  </si>
  <si>
    <t>სფერული ონკანი DN100 PN40 მილტუჩა</t>
  </si>
  <si>
    <t>სფერული ონკანი DN150 PN40 მილტუჩა</t>
  </si>
  <si>
    <t>სფერული ონკანი DN300 PN40 მილტუჩა</t>
  </si>
  <si>
    <t>გაზის ულტრაბგერითი მრიცხველი G160</t>
  </si>
  <si>
    <t>გაზის სიმკვრივის საზომ-საკონტროლო ხელსაწყო</t>
  </si>
  <si>
    <t>სფერული ონკანი DN50 PN16 შიდა ხრახნით</t>
  </si>
  <si>
    <t>წინაღობის მაღაზია</t>
  </si>
  <si>
    <t>მაიზოლირ. კერამიკული ქურო DN80</t>
  </si>
  <si>
    <t>შლანგი მ/წნ 10მ</t>
  </si>
  <si>
    <t>ა/მ აკუმულატორი 75 A/h</t>
  </si>
  <si>
    <t>ბოქლომი ტროსიანი</t>
  </si>
  <si>
    <t>ზოლოვანა 100*28 ლითონის</t>
  </si>
  <si>
    <t>ზოლოვანა *35 ლითონის</t>
  </si>
  <si>
    <t>ზოლოვანა 68*40 ლითონის</t>
  </si>
  <si>
    <t>ქანჩი 22 (კგ)</t>
  </si>
  <si>
    <t>ჭანჭიკი 22 (კგ)</t>
  </si>
  <si>
    <t>ხრახნი ღერო თავაკების გარეშე 12*2000</t>
  </si>
  <si>
    <t>ქანჩი 18 (კგ)</t>
  </si>
  <si>
    <t>სახრახნისების ნაკრები</t>
  </si>
  <si>
    <t>ჭანჭიკი 16 (კგ)</t>
  </si>
  <si>
    <t>ქანჩი 16 (კგ)</t>
  </si>
  <si>
    <t>ჭანჭიკი 16*70 (კგ)</t>
  </si>
  <si>
    <t>ჭანჭიკი 10*50 (კგ)</t>
  </si>
  <si>
    <t>ელ. ავტომატური ამომრთველი 1P 25A</t>
  </si>
  <si>
    <t>ფურცელი ლითონის 3მმ</t>
  </si>
  <si>
    <t>ადაპტერი 8 პორტიანი PCI</t>
  </si>
  <si>
    <t>საყელური (შაიბა) 16 (კგ)</t>
  </si>
  <si>
    <t>ქანჩი 10 (კგ)</t>
  </si>
  <si>
    <t>საყელური (შაიბა) 10 (კგ)</t>
  </si>
  <si>
    <t>საყელური (გროვერი) 10 (კგ)</t>
  </si>
  <si>
    <t>საყელური (შაიბა) 12 (კგ)</t>
  </si>
  <si>
    <t>საყელური (შაიბა) 6 (კგ)</t>
  </si>
  <si>
    <t>საყელური (გროვერი) 6 (კგ)</t>
  </si>
  <si>
    <t>ექვსკუთხა 27მმ ლითონის</t>
  </si>
  <si>
    <t>მილმიმყვანი</t>
  </si>
  <si>
    <t>ბატარეა 12v/14Ah</t>
  </si>
  <si>
    <t>მილი D42*2.5</t>
  </si>
  <si>
    <t>ბანერი დაბეჭდილი</t>
  </si>
  <si>
    <t>მანომეტრი 6bar ტექნიკური</t>
  </si>
  <si>
    <t>ელ. სადენი 20 წვერი</t>
  </si>
  <si>
    <t>ლითონის კვადრატი მასიური 45*45</t>
  </si>
  <si>
    <t>კვების ბლოკი 220v-12V</t>
  </si>
  <si>
    <t>საღებავი რუხი</t>
  </si>
  <si>
    <t>მილი D42*5 უნაკერო</t>
  </si>
  <si>
    <t>მილი D57*6 უნაკერო</t>
  </si>
  <si>
    <t>მილი D159*6 უნაკერო</t>
  </si>
  <si>
    <t>მილი D325*8 უნაკერო</t>
  </si>
  <si>
    <t>ცელოფანი</t>
  </si>
  <si>
    <t>შესაწამლი აპარატი 16ლ</t>
  </si>
  <si>
    <t>მილი D102*3</t>
  </si>
  <si>
    <t>სფერული დამხშობი D76*6</t>
  </si>
  <si>
    <t>მილმიმყვანი D25</t>
  </si>
  <si>
    <t>გადამყვანი პლასტმასი-რკინა D110</t>
  </si>
  <si>
    <t>პლ. მილი 110 (100)</t>
  </si>
  <si>
    <t>ხრახნი ღერო თავაკების გარეშე 16*2000</t>
  </si>
  <si>
    <t>ქანჩი 27 (კგ)</t>
  </si>
  <si>
    <t>ხრახნი ღერო თავაკების გარეშე 20*2000</t>
  </si>
  <si>
    <t>ხრახნი ღერო თავაკების გარეშე 30*2000</t>
  </si>
  <si>
    <t>საყელური (შაიბა) 22 (კგ)</t>
  </si>
  <si>
    <t>საყელური (გროვერი) 16 (კგ)</t>
  </si>
  <si>
    <t>ქანჩი 20 (კგ)</t>
  </si>
  <si>
    <t>ლითონის მრგვალი ნამზადი 12მმ (კგ)</t>
  </si>
  <si>
    <t>ლითონის მრგვალი ნამზადი 20მმ (კგ)</t>
  </si>
  <si>
    <t>ექვსკუთხა 36მმ ლითონის</t>
  </si>
  <si>
    <t>ხრახნი მანომეტრის</t>
  </si>
  <si>
    <t>თერმომეტრის ბუდე DN100 (გილზა) ნამზ.</t>
  </si>
  <si>
    <t>სწორი მონაკვეთი DN80</t>
  </si>
  <si>
    <t>სწორი მონაკვეთი DN50</t>
  </si>
  <si>
    <t>კალა</t>
  </si>
  <si>
    <t>ფურცელი ლითონის 20მმ</t>
  </si>
  <si>
    <t>ბადე უჟანგავი მეტალის 0.4*0.4</t>
  </si>
  <si>
    <t>ლითონის მრგვალი ნამზადი 12მმ</t>
  </si>
  <si>
    <t>რულეტკა 10მ</t>
  </si>
  <si>
    <t>ელ. სადენის ბუნიკი</t>
  </si>
  <si>
    <t>პლ. მილი 160*14.6</t>
  </si>
  <si>
    <t>თერმომეტრის ბუდე DN200 (გილზა) ნამზ.</t>
  </si>
  <si>
    <t>თერმომეტრის ბუდე DN150 (გილზა) ნამზ.</t>
  </si>
  <si>
    <t>სწორი მონაკვეთი DN100</t>
  </si>
  <si>
    <t>თერმომეტრის ბუდე DN50 (გილზა) ნამზ.</t>
  </si>
  <si>
    <t>მილტუჩი DN50 PN25 ბრტყელი</t>
  </si>
  <si>
    <t>რკინაბეტონის ფილა 1500*1500*100</t>
  </si>
  <si>
    <t>ბურღი (დრელი) აკუმულატორზე</t>
  </si>
  <si>
    <t>ექვსკუთხა 19მმ ლითონის</t>
  </si>
  <si>
    <t>პრაიმერი საიზოლაციო მასალა</t>
  </si>
  <si>
    <t>დამცავი სარქველი DN80 PN16</t>
  </si>
  <si>
    <t>პლ. მილი 250*22.7</t>
  </si>
  <si>
    <t>ზოლოვანა 20*5 ლითონის</t>
  </si>
  <si>
    <t>მუხლი D108*6 90გრ 1.5D</t>
  </si>
  <si>
    <t>პლ. ქურო 250</t>
  </si>
  <si>
    <t>ქვიშა</t>
  </si>
  <si>
    <t>ფანარი პატარა</t>
  </si>
  <si>
    <t>ფოცხი</t>
  </si>
  <si>
    <t>თერმომეტრი ელექტრო მეხსიერებით და ტაიმერით</t>
  </si>
  <si>
    <t>ელ. სადენი 2*1.5 მრავალწვერა</t>
  </si>
  <si>
    <t>ხის დახერხილი მასალა 6000*200*40</t>
  </si>
  <si>
    <t>მილი D325 (მეორადი)</t>
  </si>
  <si>
    <t>სიპ დამკიდი ელ. სადენის (დამკიდი)</t>
  </si>
  <si>
    <t>სფერული ონკანი DN200 PN16 შედუღებით</t>
  </si>
  <si>
    <t>მუხლი D219*6 90გრ 1.5D (მეორადი)</t>
  </si>
  <si>
    <t>მილი D273 (მეორადი)</t>
  </si>
  <si>
    <t>მილმიმყვანი D3/4</t>
  </si>
  <si>
    <t>დამტენი რეგულატორი</t>
  </si>
  <si>
    <t>მუხლი D20*3 90გრ 1.5D</t>
  </si>
  <si>
    <t>გადამყვანი პლასტმასი-რკინა D90-90*3</t>
  </si>
  <si>
    <t>მილის საიზოლაციო ლენტი</t>
  </si>
  <si>
    <t>ელ. როზეტი დიდი კომპლ.</t>
  </si>
  <si>
    <t>მილი D219 (მეორადი)</t>
  </si>
  <si>
    <t>სამკაპი D57-57-57*6</t>
  </si>
  <si>
    <t>ელ. ავტომატური ამომრთველი 2P 32A</t>
  </si>
  <si>
    <t>მილი D219*5.15 სამმაგი იზოლაციით</t>
  </si>
  <si>
    <t>მილი D168.3*4.36 სამმაგი იზოლაციით</t>
  </si>
  <si>
    <t>მუხლი D219.1*4 15გრ 1.5D</t>
  </si>
  <si>
    <t>მუხლი D219.1*4 30გრ 1.5D</t>
  </si>
  <si>
    <t>მუხლი D219.1*4 75გრ 1.5D</t>
  </si>
  <si>
    <t>ნაგვის ურნა ბორბლებიანი</t>
  </si>
  <si>
    <t>სიფონი</t>
  </si>
  <si>
    <t>საღებავი აეროზოლი სპრეი ლურჯი</t>
  </si>
  <si>
    <t>შედუღების კაბელი K400 50 მმ2</t>
  </si>
  <si>
    <t>ებოქსიდის წებო</t>
  </si>
  <si>
    <t>პულივიზატორი</t>
  </si>
  <si>
    <t>მილტუჩი DN25 PN16 ბრტყელი</t>
  </si>
  <si>
    <t>სფერული ონკანი DN25 PN40 შიდა ხრახნით</t>
  </si>
  <si>
    <t>ფურცელი ლითონის 1250*2500*3</t>
  </si>
  <si>
    <t>ნათურა ლამპიონის</t>
  </si>
  <si>
    <t>მავთული გამომწვარი 3მმ</t>
  </si>
  <si>
    <t>სტიკერი</t>
  </si>
  <si>
    <t>პლ. სამკაპი D110</t>
  </si>
  <si>
    <t>გელა ლომი</t>
  </si>
  <si>
    <t>პლ. დუბელის ლურსმანი</t>
  </si>
  <si>
    <t>თერმომეტრი პირომეტრი</t>
  </si>
  <si>
    <t>ა/მ კავი მილის ასაწევი DN700</t>
  </si>
  <si>
    <t>მუხლი D168.3*4 30გრ 1.5D</t>
  </si>
  <si>
    <t>მუხლი D168.3*4 45გრ 1.5D</t>
  </si>
  <si>
    <t>მუხლი D168.3*4 75გრ 1.5D</t>
  </si>
  <si>
    <t>ელექტროდი 3.2*3.5</t>
  </si>
  <si>
    <t>ელექტროდი 2.5*3.5</t>
  </si>
  <si>
    <t>ბურღი მეტალის 6.5</t>
  </si>
  <si>
    <t>ბურღი მეტალის 80</t>
  </si>
  <si>
    <t>საყელური (შაიბა) 8 (კგ)</t>
  </si>
  <si>
    <t>ქანჩი 8 (კგ)</t>
  </si>
  <si>
    <t>მანომეტრი 40bar ტექნიკური</t>
  </si>
  <si>
    <t>ქურო D1/2 (მუფთა)</t>
  </si>
  <si>
    <t>გადამყვანი G4 გაზის საყ. მრიცხველი</t>
  </si>
  <si>
    <t>ძუძუკა DN20 (სასოკი)</t>
  </si>
  <si>
    <t>ძუძუკა DN32 (სასოკი)</t>
  </si>
  <si>
    <t>ძუძუკა DN40 (სასოკი)</t>
  </si>
  <si>
    <t>არმატურა 12მმ (ტონა)</t>
  </si>
  <si>
    <t>ჭანჭიკი 16*50</t>
  </si>
  <si>
    <t>სფერული დამხშობი D15*3</t>
  </si>
  <si>
    <t>კონტრგაიკა</t>
  </si>
  <si>
    <t>მუხლი D76*3 90გრ 1.5D</t>
  </si>
  <si>
    <t>შლანგი გაზის D9</t>
  </si>
  <si>
    <t>მილმიმყვანი 1/2 ორმხრივი ხრახნით (სგონი)</t>
  </si>
  <si>
    <t>მილი D88.9*3</t>
  </si>
  <si>
    <t>დამცავი სარქველი DN65 PN16</t>
  </si>
  <si>
    <t>მუხლი D32*3 90გრ 1.5D</t>
  </si>
  <si>
    <t>საყელური (შაიბა) 20 (კგ)</t>
  </si>
  <si>
    <t>ელ. ავტომატური ამომრთველი 3P 32A</t>
  </si>
  <si>
    <t>მილტუჩი DN50 PN16 ბრტყელი</t>
  </si>
  <si>
    <t>ქანჩი 15</t>
  </si>
  <si>
    <t>ხამუთი D13-19 უჟ. ლითონის სამეურნეო</t>
  </si>
  <si>
    <t>მილი D15*3 უნაკერო</t>
  </si>
  <si>
    <t>მილი D20*3 უნაკერო</t>
  </si>
  <si>
    <t>პლ. მილი 40</t>
  </si>
  <si>
    <t>ფლობოსის პროცესორი FSFASSVC-1/W38/79*0022</t>
  </si>
  <si>
    <t>ფლობოსის მთავარი პლატა FSFASSVC-1/W38216*0022</t>
  </si>
  <si>
    <t>ფლობოსის კვების ბლოკი FSFB-103/FB103 C1</t>
  </si>
  <si>
    <t>ფლობოსის საკომუნიკაციო პლატა FSFB-103/FBD3</t>
  </si>
  <si>
    <t>ფლობოსის ორპარამეტრიანი გადამწოდი DVS20SP (FS/SP-1/ISP23S)</t>
  </si>
  <si>
    <t>ფლობოსის დისპლეის კომპ. FSFASSVC-1/W11102*O012)</t>
  </si>
  <si>
    <t>ფლობოსის კონექტორი FSFASSVC-1/W18816*O012)</t>
  </si>
  <si>
    <t>კონტრგაიკა დ15</t>
  </si>
  <si>
    <t>პაკლი</t>
  </si>
  <si>
    <t>პლ. მილი 16</t>
  </si>
  <si>
    <t>ქურო D25-1/2 შიდა და გარე (მუფთა)</t>
  </si>
  <si>
    <t>შურუპი თვითმჭრელი 3.5*25</t>
  </si>
  <si>
    <t>ქანჩის გასაღები მილის (ბოკა 1)</t>
  </si>
  <si>
    <t>ლითონის მრგვალი ნამზადი 30მმ (კგ)</t>
  </si>
  <si>
    <t>ლითონის მრგვალი ნამზადი 35მმ (კგ)</t>
  </si>
  <si>
    <t>ფურცელი ლითონის 8მმ უჟანგავი (12X18H10T)</t>
  </si>
  <si>
    <t>კიბე ალუმინის</t>
  </si>
  <si>
    <t>მილი D26.9*2.5</t>
  </si>
  <si>
    <t>მილი D159 (მეორადი)</t>
  </si>
  <si>
    <t>სფერული დამხშობი D530*14</t>
  </si>
  <si>
    <t>მილი D114 (მეორადი)</t>
  </si>
  <si>
    <t>რეგულატორი DN100 Class 300</t>
  </si>
  <si>
    <t>გამანოლებელი ერთარხიანი ტაიმერით</t>
  </si>
  <si>
    <t>შტეკერი 224 AB</t>
  </si>
  <si>
    <t>სფერული ონკანი DN80 PN16 შედუღებით</t>
  </si>
  <si>
    <t>სწორი მონაკვეთი DN150</t>
  </si>
  <si>
    <t>გადამყვანი საიმპულსო მილაკისთვის</t>
  </si>
  <si>
    <t>გადამყვანი მანომეტრისათვის ნამზ.</t>
  </si>
  <si>
    <t>ტაიმერი ერთარხიანი გამანოლებელის</t>
  </si>
  <si>
    <t>ვენტილი D15 წყლის</t>
  </si>
  <si>
    <t>ბენზოცელის (ბრაშქათერის) ძუა</t>
  </si>
  <si>
    <t>ზეთი ბენზოცელის (ბრაშქათერის) ორტაქტიანი</t>
  </si>
  <si>
    <t>ბანერის სადგარი</t>
  </si>
  <si>
    <t>მრიცხველის კოჭა D100</t>
  </si>
  <si>
    <t>საპოხი ბალგარკის</t>
  </si>
  <si>
    <t>ცეცხლის ჩამქრობი ნაჭერი</t>
  </si>
  <si>
    <t>ჰელიუმის ბალონი 50ლ</t>
  </si>
  <si>
    <t>სადგარი მზის ელემენტი 20W</t>
  </si>
  <si>
    <t>ლითონის მრგვალი ნამზადი 40მმ (კგ)</t>
  </si>
  <si>
    <t>გადამყვანი D273-219*8</t>
  </si>
  <si>
    <t>პლ. მუხლი D90</t>
  </si>
  <si>
    <t>პლ. გადამყვანი D110-90</t>
  </si>
  <si>
    <t>პლ. დამხშობი ხუფი D250</t>
  </si>
  <si>
    <t>შველერი 300მმ</t>
  </si>
  <si>
    <t>სახელური მეტალოპლასტმასის კარის</t>
  </si>
  <si>
    <t>სახელური მეტალოპლასტმასის ფანჯრის</t>
  </si>
  <si>
    <t>ლითონის მრგვალი ნამზადი 160მმ (კგ)</t>
  </si>
  <si>
    <t>მილკვადრატი 40*40*2</t>
  </si>
  <si>
    <t>ელ. სადენი 2*4 სპილენძის მრავალწვერა ორმ. იზოლ.</t>
  </si>
  <si>
    <t>ფურცელი ლითონის 400*500*2 (ნიშნულების)</t>
  </si>
  <si>
    <t>მილი D114*3</t>
  </si>
  <si>
    <t>პლ. მილი 90*5.4</t>
  </si>
  <si>
    <t>პლ. მილი 110*6.6</t>
  </si>
  <si>
    <t>პლ. მუხლი D250</t>
  </si>
  <si>
    <t>მანომეტრი 60bar ტექნიკური</t>
  </si>
  <si>
    <t>მილი DN200 (მეორადი)</t>
  </si>
  <si>
    <t>მუხლი D530*12 90გრ 1.5D (მეორადი)</t>
  </si>
  <si>
    <t>მილი DN1200 (მეორადი)</t>
  </si>
  <si>
    <t>სამღებრო დამცავი კუთხოვანა ლითონის</t>
  </si>
  <si>
    <t>ელ. ავტომატური ამომრთველი 2P 63A</t>
  </si>
  <si>
    <t>მილი D26.7*2.9</t>
  </si>
  <si>
    <t>მილი D127*3</t>
  </si>
  <si>
    <t>მილი D88.9*4</t>
  </si>
  <si>
    <t>პლ. მილი 200*18.2</t>
  </si>
  <si>
    <t>ექვსკუთხა 14მმ ლითონის</t>
  </si>
  <si>
    <t>მუხლი D325*8 45გრ 1.5D</t>
  </si>
  <si>
    <t>გეოტექსტილი (ჯუდმატი)</t>
  </si>
  <si>
    <t>ა/მ ციცხვების დამჭერი ქანჩები</t>
  </si>
  <si>
    <t>ა/მ ციცხვების დამჭერი ჭანჭიკი</t>
  </si>
  <si>
    <t>მილმიმყვანი მ/წნ D15*60 გარე ხრახნით</t>
  </si>
  <si>
    <t>სფერული დამხშობი D57*6</t>
  </si>
  <si>
    <t>ყუთი პლასტმასის გერმეტული (ელ. კარადა)</t>
  </si>
  <si>
    <t>USB-COM ადაპტერი გადამყვანი</t>
  </si>
  <si>
    <t>სფერული დამხშობი D89*6</t>
  </si>
  <si>
    <t>დენის რეგულატორი სტაბილიზატორი</t>
  </si>
  <si>
    <t>ტარი ხის</t>
  </si>
  <si>
    <t>ონკანი კონუსები D20 საშ/წნ</t>
  </si>
  <si>
    <t>კარადა რეგულატორის S 2200 პკლ.</t>
  </si>
  <si>
    <t>ელ. სადენის შესასვლელი ჩობალი</t>
  </si>
  <si>
    <t>პლ. გადამყვანი D90-63 P16</t>
  </si>
  <si>
    <t>პლ. გადამყვანი D50-40 P16</t>
  </si>
  <si>
    <t>პლ. გადამყვანი D40-20 P16</t>
  </si>
  <si>
    <t>პლ. დამხშობი ხუფი D50 P16</t>
  </si>
  <si>
    <t>პლ. დამხშობი ხუფი D40</t>
  </si>
  <si>
    <t>პლ. სამკაპი გადამყვანი D63-40 P16</t>
  </si>
  <si>
    <t>პლ. უნაგირი 110-20 P16 ელ. ფუზიური</t>
  </si>
  <si>
    <t>პლ. უნაგირი 63-40 P16 ელ. ფუზიური</t>
  </si>
  <si>
    <t>პლ. უნაგირი 40-20 P16 ელ. ფუზიური</t>
  </si>
  <si>
    <t>პლ. უნაგირი 50-40 P16 ელ. ფუზიური</t>
  </si>
  <si>
    <t>პლ. უნაგირი 50-20 P16 ელ. ფუზიური</t>
  </si>
  <si>
    <t>მანიშნებელი - სასიგნალო ლენტი მილის</t>
  </si>
  <si>
    <t>პლ. ქურო 20 P16 ელ. ფუზიური</t>
  </si>
  <si>
    <t>პლ. ქურო 110 P16 ელ. ფუზიური</t>
  </si>
  <si>
    <t>პლ. ქურო 90-20 P16 ელ. ფუზიური</t>
  </si>
  <si>
    <t>პლ. ქურო 63-20 P16 ელ. ფუზიური</t>
  </si>
  <si>
    <t>პლ. ქურო 40 P16 ელ. ფუზიური</t>
  </si>
  <si>
    <t>პლ. სამკაპი D50 P16 ჩამოსხმული</t>
  </si>
  <si>
    <t>გადამყვანი ფლოუბოსის</t>
  </si>
  <si>
    <t>ნიპელი</t>
  </si>
  <si>
    <t>მრიცხველის კოჭა D150</t>
  </si>
  <si>
    <t>ფურცელი ლითონის 250*550*3</t>
  </si>
  <si>
    <t>ფურცელი ლითონის 60*60*3</t>
  </si>
  <si>
    <t>თერმოკუმშვადი საიზ. მილი 2მმ (კემბრიკი)</t>
  </si>
  <si>
    <t>თერმოკუმშვადი საიზ. მილი 4მმ (კემბრიკი)</t>
  </si>
  <si>
    <t>ფურცელი ლითონის 5მმ უჟანგავი (12X18H10T)</t>
  </si>
  <si>
    <t>მუხლი D168*4 90გრ 1.5D</t>
  </si>
  <si>
    <t>პლ. გადამყვანი D63-40 P16 ჩამოსხმული</t>
  </si>
  <si>
    <t>პლ. დამხშობი ხუფი D90 P16</t>
  </si>
  <si>
    <t>ელ. სადენი 2*16 (სიპი)</t>
  </si>
  <si>
    <t>ფურცელი ლითონის 6მმ უჟანგავი (12X18H10T)</t>
  </si>
  <si>
    <t>ფურცელი ლითონის 7მმ უჟანგავი (12X18H10T)</t>
  </si>
  <si>
    <t>ფურცელი ლითონის 9მმ უჟანგავი (12X18H10T)</t>
  </si>
  <si>
    <t>ფურცელი ლითონის 10მმ უჟანგავი (12X18H10T)</t>
  </si>
  <si>
    <t>მუხლი D529*10 90გრ 1.5D</t>
  </si>
  <si>
    <t>მ/გ საინფორმაციო დაფის ორგმინის შაბლონი</t>
  </si>
  <si>
    <t>ხრახნი ღერო თავაკების გარეშე 22*2000</t>
  </si>
  <si>
    <t>პლ. დამხშობი ხუფი D63 P16</t>
  </si>
  <si>
    <t>სატუცავი (კალოში)</t>
  </si>
  <si>
    <t>პლ. მილი 40*2.3 (SRD-17.6)</t>
  </si>
  <si>
    <t>პლ. მილი 63*3.6 (SRD-17.6)</t>
  </si>
  <si>
    <t>პლ. მუხლი D63 ელ. ფუზიური</t>
  </si>
  <si>
    <t>პლ. მუხლი D40 ელ. ფუზიური</t>
  </si>
  <si>
    <t>პლ. სამკაპი გადამყვანი D160-63 P10 ჩამოსხმული</t>
  </si>
  <si>
    <t>პლ. სამკაპი გადამყვანი D63-40 P16 ელ. ფუზიური</t>
  </si>
  <si>
    <t>პლ. სამკაპი D40 P16 ელ. ფუზიური</t>
  </si>
  <si>
    <t>პლ. მილტუჩა ადაპტორი D63 P16</t>
  </si>
  <si>
    <t>მილი D1220*19.1</t>
  </si>
  <si>
    <t>სფერული ონკანი DN20 PN40 შიდა ხრახნით</t>
  </si>
  <si>
    <t>ხრახნი ღერო თავაკების გარეშე 36*2000</t>
  </si>
  <si>
    <t>ქანჩი 36 (კგ)</t>
  </si>
  <si>
    <t>კომბინიზონი თხელი სამუშაო</t>
  </si>
  <si>
    <t>შტანგელ-ცირკული 150 ნონიუსი 0.1მმ</t>
  </si>
  <si>
    <t>ბურღი დამცენტრავი D6</t>
  </si>
  <si>
    <t>ექვსკუთხა 27მმ ბრინჯაოს</t>
  </si>
  <si>
    <t>ქრომის ანჰიდრიდი</t>
  </si>
  <si>
    <t>სფერული ონკანი DN32 PN40 მილტუჩა</t>
  </si>
  <si>
    <t>სფერული ონკანი DN15 PN16 შიდა ხრახნით</t>
  </si>
  <si>
    <t>სამკაპი D89-89-89*6</t>
  </si>
  <si>
    <t>პლ. მილი 400 გოფრირებული</t>
  </si>
  <si>
    <t>რკინაბეტონის ფილა 1000*500*100</t>
  </si>
  <si>
    <t>შველერი 240მმ</t>
  </si>
  <si>
    <t>ზოლოვანა 100*6 ლითონის</t>
  </si>
  <si>
    <t>სიმკვრივის ლოგერი</t>
  </si>
  <si>
    <t>მილი D108*6 უნაკერო სამმაგი იზოლაციით</t>
  </si>
  <si>
    <t>ქანჩის გასაღები გასაშლელი 100მმ</t>
  </si>
  <si>
    <t>ა/მ საბურავი 225/75 R16</t>
  </si>
  <si>
    <t>ფილტრი საწვავის MOSA TS200 შედ. აგრეგატის</t>
  </si>
  <si>
    <t>ა/მ საბურავი 285/60 R18</t>
  </si>
  <si>
    <t>ფილტრი ჰაერის MOSA TS200 შედ. აგრეგატის</t>
  </si>
  <si>
    <t>ფილტრი ჰაერის MOSA TS400 შედ. აგრეგატის</t>
  </si>
  <si>
    <t>გაზის ტურბინული მრიცხველი TZ</t>
  </si>
  <si>
    <t>კორექტორი SEVC-D</t>
  </si>
  <si>
    <t>ფლობოსს 103 კონტროლ იუნით</t>
  </si>
  <si>
    <t>გაზის მრიცხველის ტურბინა D80 G160</t>
  </si>
  <si>
    <t>გაზის მრიცხველი FloBoss 103 DP</t>
  </si>
  <si>
    <t>Fiting for turbine gas meter D80mm</t>
  </si>
  <si>
    <t>Fiting fot Orifice plate meter D100mm</t>
  </si>
  <si>
    <t>გაზის ტურბინული მრიცხველი TRZ2 G160</t>
  </si>
  <si>
    <t>სფერული დამხშობი D20*3</t>
  </si>
  <si>
    <t>ელ. შედუღების კაბელის შტეკერი (თავი)</t>
  </si>
  <si>
    <t>გამხსნელი ანტიკოროზიული საღებავის და გრუნტის</t>
  </si>
  <si>
    <t>მილტუჩი DN250 PN16 ბრტყელი</t>
  </si>
  <si>
    <t>მილტუჩი DN150 PN25 ბრტყელი</t>
  </si>
  <si>
    <t>მილი D325*8 სამმაგი იზოლაციით</t>
  </si>
  <si>
    <t>მილი D299*8</t>
  </si>
  <si>
    <t>მილი D159*8 უნაკერო</t>
  </si>
  <si>
    <t>მილი D114*7 უნაკერო</t>
  </si>
  <si>
    <t>მილი D219*12 უნაკერო</t>
  </si>
  <si>
    <t>მილი D219*14 უნაკერო</t>
  </si>
  <si>
    <t>მილი D325*14 უნაკერო</t>
  </si>
  <si>
    <t>მილი D95*8 უნაკერო</t>
  </si>
  <si>
    <t>ლითონის მრგვალი ნამზადი 60მმ (კგ)</t>
  </si>
  <si>
    <t>ლითონის მრგვალი ნამზადი 25მმ (კგ)</t>
  </si>
  <si>
    <t>მილი D159*8 სამმაგი იზოლაციით</t>
  </si>
  <si>
    <t>მილი D108*4 უნაკერო</t>
  </si>
  <si>
    <t>მილი D114*10 უნაკერო</t>
  </si>
  <si>
    <t>მილი D146*8 უნაკერო</t>
  </si>
  <si>
    <t>მილი D159*6</t>
  </si>
  <si>
    <t>მილი D325*8</t>
  </si>
  <si>
    <t>მილტუჩი DN500 PN64 ბრტყელი</t>
  </si>
  <si>
    <t>მილტუჩი DN200 PN64 ბრტყელი</t>
  </si>
  <si>
    <t>საღებავი ვერცხლისფერი ორკომპონენტიანი ანტიკოროზიული</t>
  </si>
  <si>
    <t>გრუნტი ანტიკოროზიული ორკომპონენტიანი</t>
  </si>
  <si>
    <t>საღებავი გრუნტი</t>
  </si>
  <si>
    <t>ჯაგრისი 230 ბალგარკის</t>
  </si>
  <si>
    <t>მავთულბადე 2000*1000*1000 გაბიონისათვის</t>
  </si>
  <si>
    <t>მილი D323.9*6.4 სამმაგი იზოლაციით</t>
  </si>
  <si>
    <t>ქანჩი 16</t>
  </si>
  <si>
    <t>საყელური (შაიბა) 16</t>
  </si>
  <si>
    <t>საყელური (გროვერი) 16</t>
  </si>
  <si>
    <t>ქანჩი 22</t>
  </si>
  <si>
    <t>ჭანჭიკი 24</t>
  </si>
  <si>
    <t>საყელური (შაიბა) 22</t>
  </si>
  <si>
    <t>საყელური (გროვერი) 6</t>
  </si>
  <si>
    <t>ქანჩი 20</t>
  </si>
  <si>
    <t>საყელური (შაიბა) 36</t>
  </si>
  <si>
    <t>სანათი მაგიდის</t>
  </si>
  <si>
    <t>საპოხი გაზის ონკანების (ვაშტაშის )</t>
  </si>
  <si>
    <t>ფტოროპლასტი (ტეფლონი)</t>
  </si>
  <si>
    <t>მილი D325*10 უნაკერო</t>
  </si>
  <si>
    <t>მუხლი D711.288*14 15გრ 5D იზოლირებული</t>
  </si>
  <si>
    <t>მუხლი D720*14 45გრ 1.5D იზოლირებული</t>
  </si>
  <si>
    <t>მილი D711.2*8.74 სამმაგი იზოლაციით</t>
  </si>
  <si>
    <t>მილი D127*6 უნაკერო</t>
  </si>
  <si>
    <t>მილი D102*8 უნაკერო</t>
  </si>
  <si>
    <t>ჟანგის მოსაცილებელი ანტიკოროზიული სითხე</t>
  </si>
  <si>
    <t>მანომეტრი 100bar ტექნიკური</t>
  </si>
  <si>
    <t>მილტუჩი DN300 PN40 საყელურიანი</t>
  </si>
  <si>
    <t>ელ. იზოლატორის საყრდენი კრონშტეინი</t>
  </si>
  <si>
    <t>ნათურა შუქდიოდის</t>
  </si>
  <si>
    <t>რკინაბეტონის დგარი</t>
  </si>
  <si>
    <t>ხრახნი ღერო თავაკების გარეშე 14*2000</t>
  </si>
  <si>
    <t>სანათი შეკიდული ჭერის</t>
  </si>
  <si>
    <t>სამაგრი უნიტაზის თავსახურის</t>
  </si>
  <si>
    <t>ლამპიონი შუქდიოდური 50w 12v</t>
  </si>
  <si>
    <t>ძაფი საკერავი მანქანის</t>
  </si>
  <si>
    <t>მუხლი D168*7 90გრ 1.5D</t>
  </si>
  <si>
    <t>მუხლი D114*4 90გრ 1.5D</t>
  </si>
  <si>
    <t>ექვსკუთხა 17მმ ლითონის</t>
  </si>
  <si>
    <t>ბუნებრივი გაზის სტანდარტი საკალიბრაციო გაზის ნარევით</t>
  </si>
  <si>
    <t>ლითონის მრგვალი ნამზადი 10მმ (კგ)</t>
  </si>
  <si>
    <t>ლითონის მრგვალი ნამზადი 24მმ (კგ)</t>
  </si>
  <si>
    <t>სფერული ონკანი DN300 PN40 შედუღებით</t>
  </si>
  <si>
    <t>კარადა საოფისე ბაინდერების</t>
  </si>
  <si>
    <t>სფერული ონკანი DN250 PN25 მილტუჩა</t>
  </si>
  <si>
    <t>სფერული ონკანი DN32 PN40 შიდა ხრახნით</t>
  </si>
  <si>
    <t>სფერული ონკანი DN50 PN64 შედუღებით</t>
  </si>
  <si>
    <t>სფერული ონკანი DN300 PN40 შედუღებით მიწისქვეშა</t>
  </si>
  <si>
    <t>გაზის როტაციული მრიცხველი DN80 G160 PN16</t>
  </si>
  <si>
    <t>სფერული ონკანი DN100 PN16 მილტუჩა</t>
  </si>
  <si>
    <t>სფერული ონკანი DN100 PN64 შედუღებით</t>
  </si>
  <si>
    <t>სფერული ონკანი DN15 PN25 შიდა ხრახნით</t>
  </si>
  <si>
    <t>სფერული ონკანი DN150 PN40 შედუღებით</t>
  </si>
  <si>
    <t>გაზის როტაციული მრიცხველი CGR-FX DN100 G400 PN16</t>
  </si>
  <si>
    <t>მილტუჩი DN100 PN16 ბრტყელი</t>
  </si>
  <si>
    <t>ჭანჭიკი 8 (კგ)</t>
  </si>
  <si>
    <t>შუასადები 4მმ პარანიტი</t>
  </si>
  <si>
    <t>სფერული ონკანი DN50 PN25 შედუღებით</t>
  </si>
  <si>
    <t>ჟანგბადის ბალონი 10ლ</t>
  </si>
  <si>
    <t>სახეხი ქვა 125*6 ლითონის</t>
  </si>
  <si>
    <t>ლამპიონის ვაზნა</t>
  </si>
  <si>
    <t>მილი D194*8 უნაკერო</t>
  </si>
  <si>
    <t>ელ. სადენი 2*10 (სიპი)</t>
  </si>
  <si>
    <t>მილი D530*8</t>
  </si>
  <si>
    <t>მილტუჩი DN300 PN25 ბრტყელი</t>
  </si>
  <si>
    <t>ჭანჭიკი 30</t>
  </si>
  <si>
    <t>ქანჩი 30</t>
  </si>
  <si>
    <t>საყელური (შაიბა) 30</t>
  </si>
  <si>
    <t>საყელური (გროვერი) 8</t>
  </si>
  <si>
    <t>საყელური (გროვერი) 30</t>
  </si>
  <si>
    <t>სამკაპი D114-57-114*6</t>
  </si>
  <si>
    <t>სამკაპი D119-89-119*6</t>
  </si>
  <si>
    <t>სამკაპი D325-325-325*8</t>
  </si>
  <si>
    <t>სამკაპი D426-426-426*8</t>
  </si>
  <si>
    <t>გადამყვანი D426-219*9</t>
  </si>
  <si>
    <t>ფურცელი ლითონის 4მმ</t>
  </si>
  <si>
    <t>პლ. უნაგირი 160-20 P16 ელ. ფუზიური</t>
  </si>
  <si>
    <t>გადამყვანი პლასტმასი-რკინა D63*2</t>
  </si>
  <si>
    <t>გადამყვანი პლასტმასი-რკინა D40-44*1</t>
  </si>
  <si>
    <t>პლ. მილი 20/2.3 (SDR-11)</t>
  </si>
  <si>
    <t>პლ. სამკაპი გადამყვანი D90-63 ელ. ფუზიური</t>
  </si>
  <si>
    <t>პლ. უნაგირი D200-63 P16 ელ. ფუზიური</t>
  </si>
  <si>
    <t>პლ. უნაგირი D200-20 P16 ელ. ფუზიური</t>
  </si>
  <si>
    <t>პლ. უნაგირი 110-63 P16 ელ. ფუზიური</t>
  </si>
  <si>
    <t>პლ. გადამყვანი D160-90 P16 ჩამოსხმული</t>
  </si>
  <si>
    <t>მილტუჩა ადაპტორი D90 P16</t>
  </si>
  <si>
    <t>პლ. დამხშობი ხუფი D200 P16</t>
  </si>
  <si>
    <t>პლ. დამხშობი ხუფი D160 P16</t>
  </si>
  <si>
    <t>პლ. ქურო 200 P16 ელ. ფუზიური</t>
  </si>
  <si>
    <t>პლ. ქურო 125 P16 ელ. ფუზიური</t>
  </si>
  <si>
    <t>არმატურა 25მმ</t>
  </si>
  <si>
    <t>პიკი პერფერატორის</t>
  </si>
  <si>
    <t>მუხლი D108*4 45გრ 1.5D</t>
  </si>
  <si>
    <t>ძუძუკა DN50 (სასოკი)</t>
  </si>
  <si>
    <t>გადამყვანი D57-32*3</t>
  </si>
  <si>
    <t>ბურღი პერფერატორის 12მმ</t>
  </si>
  <si>
    <t>მუხლი D57*3 45გრ 1.5D</t>
  </si>
  <si>
    <t>პლ. გადამყვანი D125-110 P10 ჩამოსხმული</t>
  </si>
  <si>
    <t>სფერული ონკანი DN25 PN25 შედუღებით</t>
  </si>
  <si>
    <t>სფერული ონკანი DN15 PN40 შიდა ხრახნით</t>
  </si>
  <si>
    <t>საღებავი ლურჯი</t>
  </si>
  <si>
    <t>საჭრელი დისკი 400 კომბინირებული</t>
  </si>
  <si>
    <t>მილი D325*7 სამმაგი იზოლაციით</t>
  </si>
  <si>
    <t>მილი D114*6 უნაკერო სამმაგი იზოლაციით</t>
  </si>
  <si>
    <t>მილი D25*4 უნაკერო</t>
  </si>
  <si>
    <t>მილი D32*6</t>
  </si>
  <si>
    <t>მილი D152*8 უნაკერო</t>
  </si>
  <si>
    <t>მილი D95*6 უნაკერო</t>
  </si>
  <si>
    <t>მილი D121*6 უნაკერო</t>
  </si>
  <si>
    <t>მილი D180*6 უნაკერო</t>
  </si>
  <si>
    <t>მილი D25*3.2</t>
  </si>
  <si>
    <t>მილი D219*7 სამმაგი იზოლაციით</t>
  </si>
  <si>
    <t>ა/მ შლანგის გადამყვანი D15*100</t>
  </si>
  <si>
    <t>მილის მილზე მიმქაჩი მოწყობილობა ნამზ.</t>
  </si>
  <si>
    <t>მრიცხველის კოჭა D80</t>
  </si>
  <si>
    <t>შემდუღებლის დამცავი ნიღაბი</t>
  </si>
  <si>
    <t>კუთხოვანა 50*50*3</t>
  </si>
  <si>
    <t>მავთული გლინულა 8მმ</t>
  </si>
  <si>
    <t>მავთული ეკლიანი სპირალური (8-10მ)</t>
  </si>
  <si>
    <t>ქანჩი 8</t>
  </si>
  <si>
    <t>ქანჩი 18</t>
  </si>
  <si>
    <t>საყელური (შაიბა) 36 (კგ)</t>
  </si>
  <si>
    <t>ჭანჭიკი 22*90</t>
  </si>
  <si>
    <t>ჭანჭიკი 8*70</t>
  </si>
  <si>
    <t>საყელური (გროვერი) 22</t>
  </si>
  <si>
    <t>საყელური (გროვერი) 18</t>
  </si>
  <si>
    <t>საყელური (შაიბა) 18</t>
  </si>
  <si>
    <t>საყელური (შაიბა) 8</t>
  </si>
  <si>
    <t>სფერული დამხშობი D325*12</t>
  </si>
  <si>
    <t>გადამყვანი D273-89*9</t>
  </si>
  <si>
    <t>მილტუჩი DN100 PN25 ბრტყელი</t>
  </si>
  <si>
    <t>მუხლი D219*4 42გრ 1.5D</t>
  </si>
  <si>
    <t>მუხლი D219*4 38გრ 1.5D</t>
  </si>
  <si>
    <t>მუხლი D219*4 35გრ 1.5D</t>
  </si>
  <si>
    <t>მუხლი D219*4 30გრ 1.5D</t>
  </si>
  <si>
    <t>მუხლი D219*4 26გრ 1.5D</t>
  </si>
  <si>
    <t>მუხლი D219*4 19გრ 1.5D</t>
  </si>
  <si>
    <t>მუხლი D219*4 17გრ 1.5D</t>
  </si>
  <si>
    <t>მუხლი D219*4 15გრ 1.5D</t>
  </si>
  <si>
    <t>ა/მ შლანგი 213*2150 მ/წნ ჰიდრავლიკის</t>
  </si>
  <si>
    <t>ა/მ შლანგი 206*1320 მ/წნ ჰიდრავლიკის</t>
  </si>
  <si>
    <t>ა/მ შლანგი 213*1670 მ/წნ ჰიდრავლიკის</t>
  </si>
  <si>
    <t>ა/მ შლანგი 213*4620 მ/წნ ჰიდრავლიკის</t>
  </si>
  <si>
    <t>ა/მ შლანგი 720*1620 მ/წნ ჰიდრავლიკის</t>
  </si>
  <si>
    <t>ა/მ შლანგი 720*1630 მ/წნ ჰიდრავლიკის</t>
  </si>
  <si>
    <t>მუხლი D168*4 66გრ 1.5D</t>
  </si>
  <si>
    <t>მუხლი D168*4 38გრ 1.5D</t>
  </si>
  <si>
    <t>მუხლი D168*4 22გრ 1.5D</t>
  </si>
  <si>
    <t>მუხლი D168*4 6გრ 1.5D</t>
  </si>
  <si>
    <t>მუხლი D15*3 90გრ 1.5D</t>
  </si>
  <si>
    <t>პლ. მილი 40 (SDR-11)</t>
  </si>
  <si>
    <t>ელექტროდი 2მმ (Geka)</t>
  </si>
  <si>
    <t>გადამყვანი D80-32*4</t>
  </si>
  <si>
    <t>პლ. ქურო 140 P16 ელ. ფუზიური</t>
  </si>
  <si>
    <t>პლ. მუხლი D140 ჩამოსხმული</t>
  </si>
  <si>
    <t>ელ. ავტომატური ამომრთველი 2P 25A</t>
  </si>
  <si>
    <t>ქანჩი 12</t>
  </si>
  <si>
    <t>დროსელი ლამპიონის გარე განათების</t>
  </si>
  <si>
    <t>მანომეტრი 80bar გლიცერინით</t>
  </si>
  <si>
    <t>გოფრირებული მილი D20 ელ. სადენის</t>
  </si>
  <si>
    <t>ელ. როზეტი დამიწებით</t>
  </si>
  <si>
    <t>მილი D168*6 იზოლირებული</t>
  </si>
  <si>
    <t>მილი D114*3.5</t>
  </si>
  <si>
    <t>მილი D325*6 უნაკერო</t>
  </si>
  <si>
    <t>მილი D159*6 სამმაგი იზოლაციით</t>
  </si>
  <si>
    <t>მილი D168*8 უნაკერო</t>
  </si>
  <si>
    <t>მილი D63.5*6 უნაკერო</t>
  </si>
  <si>
    <t>მილი D273*8 უნაკერო</t>
  </si>
  <si>
    <t>მილი D32*4</t>
  </si>
  <si>
    <t>მილკვადრატი 100*100*3 მოთუთიებული</t>
  </si>
  <si>
    <t>მილკვადრატი 80*80*3 მოთუთიებული</t>
  </si>
  <si>
    <t>მილკვადრატი 80*40*3 მოთუთიებული</t>
  </si>
  <si>
    <t>მილკვადრატი 50*30*3 მოთუთიებული</t>
  </si>
  <si>
    <t>კუთხოვანა 50*50*4 მოთუთიებული</t>
  </si>
  <si>
    <t>ზოლოვანა 2100*50*3 მოთუთიებული</t>
  </si>
  <si>
    <t>ზოლოვანა 230*50*3 მოთუთიებული</t>
  </si>
  <si>
    <t>ზოლოვანა 115*50*3 მოთუთიებული</t>
  </si>
  <si>
    <t>ფურცელი ლითონის 500*260*3 მოთუთიებული</t>
  </si>
  <si>
    <t>ფურცელი ლითონის 160*50*3 მოთუთიებული</t>
  </si>
  <si>
    <t>ფურცელი ლითონის 100*100*3 მოთუთიებული</t>
  </si>
  <si>
    <t>ფურცელი ლითონის 300*300*4 მოთუთიებული</t>
  </si>
  <si>
    <t>ფურცელი ლითონის 200*200*6 მოთუთიებული</t>
  </si>
  <si>
    <t>ფურცელი ლითონის 350*350*10 მოთუთიებული</t>
  </si>
  <si>
    <t>ანკერი 200მმ მოთთიებული</t>
  </si>
  <si>
    <t>ანჯამა (პეტლი) 100მმ მოთუთიებული</t>
  </si>
  <si>
    <t>მავთულბადე 50მმ მოთუთიებული</t>
  </si>
  <si>
    <t>თბოიზოლაცია პლ. მილის შესაფუთი</t>
  </si>
  <si>
    <t>მილი D720*10</t>
  </si>
  <si>
    <t>მილი D530*14</t>
  </si>
  <si>
    <t>მილი D720*9 სამმაგი იზოლაციით</t>
  </si>
  <si>
    <t>მილი D720*9</t>
  </si>
  <si>
    <t>მილი D530*10 სამმაგი იზოლაციით</t>
  </si>
  <si>
    <t>მილი D820*10 სამმაგი იზოლაციით</t>
  </si>
  <si>
    <t>სიპ დამჭერი ელ. სადენის (შუალედური ჩამოსაკიდი)</t>
  </si>
  <si>
    <t>მილტუჩი DN200 PN40 საყელურიანი</t>
  </si>
  <si>
    <t>მილტუჩი DN150 PN40 საყელურიანი</t>
  </si>
  <si>
    <t>თოკი აზბესტის</t>
  </si>
  <si>
    <t>რედუქტორი გაზის ხრახნიანი</t>
  </si>
  <si>
    <t>ნიპელი მიმქაჩით 6მმ</t>
  </si>
  <si>
    <t>ექვსკუთხა 19მმ ბრინჯაოს</t>
  </si>
  <si>
    <t>ძაფი მოსანიშნი (შპაგატი)</t>
  </si>
  <si>
    <t>ელექტროდი 2მმ უჟანგავი</t>
  </si>
  <si>
    <t>ბურღი მეტალის 9</t>
  </si>
  <si>
    <t>ბურღი მეტალის 13</t>
  </si>
  <si>
    <t>ლურსმანი 70მმ</t>
  </si>
  <si>
    <t>ლურსმანი 100მმ</t>
  </si>
  <si>
    <t>სამუშაო სპეც. ორეული</t>
  </si>
  <si>
    <t>საღებავი ვერცხლისფერი ანტიკოროზიული</t>
  </si>
  <si>
    <t>საღებავი წითელი ანტიკოროზიული</t>
  </si>
  <si>
    <t>საღებავი რუხი ანტიკოროზიული</t>
  </si>
  <si>
    <t>საღებავი ყვითელი ანტიკოროზიული</t>
  </si>
  <si>
    <t>გამხსნელი ანტიკოროზიული საღებავის</t>
  </si>
  <si>
    <t>საღებავი შავი ანტიკოროზიული</t>
  </si>
  <si>
    <t>ჩაფხუტი ყვითელი</t>
  </si>
  <si>
    <t>სანტექნიკის უთო</t>
  </si>
  <si>
    <t>ქანჩის გასაღები მილის (ბოკა 3)</t>
  </si>
  <si>
    <t>პერფერატორი ელექტრო</t>
  </si>
  <si>
    <t>ბალგარკა ელექტრო 115</t>
  </si>
  <si>
    <t>ბალგარკა ელექტრო 150</t>
  </si>
  <si>
    <t>ბალგარკა ელექტრო 230</t>
  </si>
  <si>
    <t>ქანჩი 3</t>
  </si>
  <si>
    <t>ქანჩი 4</t>
  </si>
  <si>
    <t>საყელური (შაიბა) 3</t>
  </si>
  <si>
    <t>საყელური (შაიბა) 4</t>
  </si>
  <si>
    <t>ჭანჭიკი 6*25</t>
  </si>
  <si>
    <t>ჭანჭიკი 6*40</t>
  </si>
  <si>
    <t>ჭანჭიკი 8*30</t>
  </si>
  <si>
    <t>ჭანჭიკი 8*40</t>
  </si>
  <si>
    <t>ჭანჭიკი 18*80</t>
  </si>
  <si>
    <t>ჭანჭიკი 22*60</t>
  </si>
  <si>
    <t>ჭანჭიკი 22*100</t>
  </si>
  <si>
    <t>საყელური (შაიბა) 6</t>
  </si>
  <si>
    <t>ქანჩი 6</t>
  </si>
  <si>
    <t>ქანჩი 36</t>
  </si>
  <si>
    <t>ნემსა ვენტილი DN25 PN64 შიდა ხრახნით</t>
  </si>
  <si>
    <t>მავთული ეკლიანი სპირალური D600</t>
  </si>
  <si>
    <t>მავთული 3მმ მოთუთიებული</t>
  </si>
  <si>
    <t>ცეცხლმაქრი 25კგ ურიკაზე</t>
  </si>
  <si>
    <t>ზოლოვანა 210*50*3 მოთუთიებული</t>
  </si>
  <si>
    <t>ფურცელი ლითონის 200*300*3 მოთუთიებული</t>
  </si>
  <si>
    <t>ფურცელი ლითონის 50*50*6 მოთუთიებული</t>
  </si>
  <si>
    <t>ა/მ შლანგი 30*2200 მ/წნ ჰიდრავლიკის</t>
  </si>
  <si>
    <t>ა/მ შლანგი 30*2400 მ/წნ ჰიდრავლიკის</t>
  </si>
  <si>
    <t>ა/მ შლანგი 30*2600 მ/წნ ჰიდრავლიკის</t>
  </si>
  <si>
    <t>ა/მ საბუქსირე ელასტიური თოკი 2ტ</t>
  </si>
  <si>
    <t>ა/მ აკუმულატორი 180 A/h</t>
  </si>
  <si>
    <t>სფერული ონკანი DN150 PN64 შედუღებით მიწისქვეშა</t>
  </si>
  <si>
    <t>მ/წნ.რეგულატორის PF00470 KIT APERFLUX 851 D¹6(d150) მემბრანა კომპლ. PF00470</t>
  </si>
  <si>
    <t>მ/წნ.რეგულატორის PF4700083 KIT APERFLUX 819 D¹4(d100) მემბრანა კომპლ.</t>
  </si>
  <si>
    <t>სფერული ონკანი DN150 PN25 შედუღებით</t>
  </si>
  <si>
    <t>სფერული ონკანი DN80 PN25 შედუღებით</t>
  </si>
  <si>
    <t>სფერული ონკანი DN100 PN25 შედუღებით</t>
  </si>
  <si>
    <t>ნოუთბუქი (ლეპტოპი) სტანდარტული</t>
  </si>
  <si>
    <t>მუხლი D720*8 90გრ 1.5D იზოლირებული</t>
  </si>
  <si>
    <t>მუხლი D720*10 90გრ 1.5D იზოლირებული</t>
  </si>
  <si>
    <t>მუხლი D720*12 90გრ 1.5D იზოლირებული</t>
  </si>
  <si>
    <t>მუხლი D720*9 90გრ 1.5D იზოლირებული</t>
  </si>
  <si>
    <t>მუხლი D1020*12 90გრ 1.5D იზოლირებული</t>
  </si>
  <si>
    <t>მუხლი D820*14 30გრ 1.5D</t>
  </si>
  <si>
    <t>მუხლი D1020*10 90გრ 1.5D იზოლირებული</t>
  </si>
  <si>
    <t>მუხლი D1220*10 90გრ 1.5D იზოლირებული</t>
  </si>
  <si>
    <t>მუხლი D1220*12 90გრ 1.5D იზოლირებული</t>
  </si>
  <si>
    <t>ბუნებრივი გაზის სტანდარტი წყლით</t>
  </si>
  <si>
    <t>მუხლი D820*10 25გრ 1.5D</t>
  </si>
  <si>
    <t>მუხლი D325*6 30გრ 1.5D იზოლირებული</t>
  </si>
  <si>
    <t>მუხლი D720*10 55გრ 1.5D</t>
  </si>
  <si>
    <t>მუხლი D720*14 25გრ 1.5D</t>
  </si>
  <si>
    <t>მუხლი D325*8 90გრ 1.5D</t>
  </si>
  <si>
    <t>მუხლი D720*9 25გრ 1.5D იზოლირებული</t>
  </si>
  <si>
    <t>გაზის ტურბინული მრიცხველი DN80 G250 PN16</t>
  </si>
  <si>
    <t>გაზის ტურბინული მრიცხველი DN100 G400 PN16</t>
  </si>
  <si>
    <t>გაზის ტურბინული მრიცხველი DN150 G1000 PN16</t>
  </si>
  <si>
    <t>გაზის ტურბინული მრიცხველი DN200 G1600 PN16</t>
  </si>
  <si>
    <t>გაზის როტაციული მრიცხველი DN80 G250 PN16</t>
  </si>
  <si>
    <t>გაზის როტაციული მრიცხველი DN100 G400 PN16</t>
  </si>
  <si>
    <t>გაზის ტურბინული მრიცხველი DN80 G100 PN16</t>
  </si>
  <si>
    <t>დამცავი სარქველი DN100 PN16</t>
  </si>
  <si>
    <t>გადამყვანი USB to Serial RS-232</t>
  </si>
  <si>
    <t>ოდორიზაციის ავტ. სისტემის ელ. მაგნიტური სარქველი კომპლ.</t>
  </si>
  <si>
    <t>ფოტოაპარატი</t>
  </si>
  <si>
    <t>გადამყვანი პლასტმასი-რკინა D40-32</t>
  </si>
  <si>
    <t>გადამყვანი პლასტმასი-რკინა D50-40</t>
  </si>
  <si>
    <t>პლ. ქურო 50 ელ. ფუზიური PE100</t>
  </si>
  <si>
    <t>პლ. ქურო 40 ელ. ფუზიური PE100</t>
  </si>
  <si>
    <t>პლ. გადამყვანი D40-32 P16 ჩამოსხმული</t>
  </si>
  <si>
    <t>სფერული ონკანი DN40 PN40 შიდა ხრახნით</t>
  </si>
  <si>
    <t>საყელური (გროვერი) 24</t>
  </si>
  <si>
    <t>საყელური (გროვერი) 36</t>
  </si>
  <si>
    <t>სახანძრო ქვიშის ყუთი</t>
  </si>
  <si>
    <t>ქანჩის გასაღები მილის (ბოკა 5)</t>
  </si>
  <si>
    <t>საყელური (გროვერი) 38</t>
  </si>
  <si>
    <t>ელ. სადენი 1*4 სპილენძის მრავალწვერა იზოლ.</t>
  </si>
  <si>
    <t>ბენზოცელი (ბრაშქათერი)</t>
  </si>
  <si>
    <t>მილი D1220*12</t>
  </si>
  <si>
    <t>მუხლი D114*6 90გრ 1.5D</t>
  </si>
  <si>
    <t>მუხლი D159*6 90გრ 1.5D</t>
  </si>
  <si>
    <t>მუხლი D530*8 90გრ 1.5D იზოლირებული</t>
  </si>
  <si>
    <t>მუხლი D530*10 90გრ 1.5D იზოლირებული</t>
  </si>
  <si>
    <t>მუხლი D57*6 90გრ 1.5D</t>
  </si>
  <si>
    <t>მუხლი D89*6 90გრ 1.5D</t>
  </si>
  <si>
    <t>მუხლი D159*6 90გრ 1.5D იზოლირებული</t>
  </si>
  <si>
    <t>მუხლი D530*10 90გრ 1.5D</t>
  </si>
  <si>
    <t>მილი D20*2.5</t>
  </si>
  <si>
    <t>სფერული დამხშობი D325*6</t>
  </si>
  <si>
    <t>მილი D102*6 უნაკერო</t>
  </si>
  <si>
    <t>მილი D68*6 უნაკერო</t>
  </si>
  <si>
    <t>მილი D219*7 უნაკერო</t>
  </si>
  <si>
    <t>მილი D219*6 უნაკერო</t>
  </si>
  <si>
    <t>მილი D168*6 უნაკერო</t>
  </si>
  <si>
    <t>მილი უჟანგავი D12*2</t>
  </si>
  <si>
    <t>მუხლი D57*6 90გრ 1.5D იზოლირებული</t>
  </si>
  <si>
    <t>მუხლი D89*6 90გრ 1.5D იზოლირებული</t>
  </si>
  <si>
    <t>მუხლი D530*7 90გრ 1.5D</t>
  </si>
  <si>
    <t>მუხლი D530*8 90გრ 1.5D</t>
  </si>
  <si>
    <t>ჭანჭიკი 22*30</t>
  </si>
  <si>
    <t>საყელური (შაიბა) 20</t>
  </si>
  <si>
    <t>საყელური (შაიბა) 12</t>
  </si>
  <si>
    <t>ხამუთი პლასტმასის 4.8*300მმ</t>
  </si>
  <si>
    <t>გოფრირებული მილი პომპის</t>
  </si>
  <si>
    <t>სალიდოლი (ტაოტი)</t>
  </si>
  <si>
    <t>ბორბალი საოფისე სავარძლის</t>
  </si>
  <si>
    <t>ოდორანტის დონის მაჩვენებელი ჩამკეტი სარქველი</t>
  </si>
  <si>
    <t>მილი მინის D20</t>
  </si>
  <si>
    <t>მილკვადრატი 80*80*3</t>
  </si>
  <si>
    <t>მილი D57*7</t>
  </si>
  <si>
    <t>მილი D36*3</t>
  </si>
  <si>
    <t>მილი D114*12 უნაკერო</t>
  </si>
  <si>
    <t>მილი D1020*12</t>
  </si>
  <si>
    <t>საიმპულსო მილაკი მანომეტრის</t>
  </si>
  <si>
    <t>მილაკი სპილენძის 7მმ</t>
  </si>
  <si>
    <t>მილაკი D8</t>
  </si>
  <si>
    <t>მილმიმყვანი D15*90 უჟანგავი</t>
  </si>
  <si>
    <t>მილი სპილენძის D20</t>
  </si>
  <si>
    <t>შლანგი მ/წნ ბადიანი D3/4</t>
  </si>
  <si>
    <t>კუთხოვანა 75*75*6</t>
  </si>
  <si>
    <t>მილი D89*6 უნაკერო</t>
  </si>
  <si>
    <t>შველერი 220მმ</t>
  </si>
  <si>
    <t>რეზინის ბურთი DN200</t>
  </si>
  <si>
    <t>მილი D325*12 უნაკერო</t>
  </si>
  <si>
    <t>ტექნიკური ფირფიტა (სამემბრანე მასალა 3მმ ძაფიანი რეზინი)</t>
  </si>
  <si>
    <t>ავზი 2000ლ პოლიეთილენის</t>
  </si>
  <si>
    <t>მილი უჟანგავი D325*5</t>
  </si>
  <si>
    <t>მილი D820*10</t>
  </si>
  <si>
    <t>მავთული 2.5მმ მოთუთიებული</t>
  </si>
  <si>
    <t>მანძილის საზომი ბორბალი</t>
  </si>
  <si>
    <t>ტროსი გვარლი 16მმ</t>
  </si>
  <si>
    <t>ელექტროდი 4.0*3.5</t>
  </si>
  <si>
    <t>შემდუღებლის ფეხის დამცავი ტყავი (ბახილი)</t>
  </si>
  <si>
    <t>კომბინიზონი ქიმიური</t>
  </si>
  <si>
    <t>შემდუღებლის სამუხლე</t>
  </si>
  <si>
    <t>კეპი ჩაფხუტი ლურჯი</t>
  </si>
  <si>
    <t>კეპი ჩაფხუტი ფოსფორისფერი</t>
  </si>
  <si>
    <t>მაისური</t>
  </si>
  <si>
    <t>პერფორატორის ნახშირი კომპლ.</t>
  </si>
  <si>
    <t>ოდორანტის საკალიბრო გაზები ბალონში</t>
  </si>
  <si>
    <t>ელ. ავტომატური ამომრთველი 1P 63A</t>
  </si>
  <si>
    <t>ელ. ავტომატური ამომრთველი 1P 100A</t>
  </si>
  <si>
    <t>ხამუთი მილის D300 ლითონის</t>
  </si>
  <si>
    <t>ხამუთი მილის D500 ლითონის</t>
  </si>
  <si>
    <t>ხამუთი მილის D700 ლითონის</t>
  </si>
  <si>
    <t>ჭანჭიკი 18*40</t>
  </si>
  <si>
    <t>ჭანჭიკი 30*100</t>
  </si>
  <si>
    <t>ჭანჭიკი 16*60</t>
  </si>
  <si>
    <t>ტარი ხის ნაჯახის</t>
  </si>
  <si>
    <t>ბატარეა 2500mAh</t>
  </si>
  <si>
    <t>ანჯამა (პეტლი) ხის კარ-ფანჯრის</t>
  </si>
  <si>
    <t>შველერი 140მმ</t>
  </si>
  <si>
    <t>რკინაბეტონის ბლოკი 1000*500*500</t>
  </si>
  <si>
    <t>სფერული დამხშობი D820*10</t>
  </si>
  <si>
    <t>კეპი ჩაფხუტი მწვანე</t>
  </si>
  <si>
    <t>ჭანჭიკი 22*50</t>
  </si>
  <si>
    <t>კუთხოვანა 100*100*10</t>
  </si>
  <si>
    <t>ჭანჭიკი 18*60</t>
  </si>
  <si>
    <t>ჭანჭიკი 22*80</t>
  </si>
  <si>
    <t>ჭანჭიკი 16*70</t>
  </si>
  <si>
    <t>ლურსმანი 200მმ</t>
  </si>
  <si>
    <t>სფერული დამხშობი D1020*14</t>
  </si>
  <si>
    <t>სამკაპი D1020-1020-1020*14</t>
  </si>
  <si>
    <t>მანიშნებელი აბრა - "მიმდინარეობს ვიდეო კონტროლი" ორგმინა 250*250*3მმ ნაბეჭდი</t>
  </si>
  <si>
    <t>მანიშნებელი აბრა - "მოწევა აკრძალულია" ორგმინა 250*250*3მმ ნაბეჭდი</t>
  </si>
  <si>
    <t>მანიშნებელი - მოსაწევი ადგილი</t>
  </si>
  <si>
    <t>მანიშნებელი აბრა - "ობიექტზე შესვლა აკრძალულია" ორგმინა 400*500*3მმ ნაბეჭდი</t>
  </si>
  <si>
    <t>მანიშნებელი პორტატული - მოსაწევი ადგილი</t>
  </si>
  <si>
    <t>საყელური (შაიბა) 24</t>
  </si>
  <si>
    <t>ქანჩი 24</t>
  </si>
  <si>
    <t>ჭანჭიკი 8*80</t>
  </si>
  <si>
    <t>დიაფრაგმა რეგულატორის DN150 H5</t>
  </si>
  <si>
    <t>დიაფრაგმა რეგულატორის DN200 H5</t>
  </si>
  <si>
    <t>კაბელ-არხი</t>
  </si>
  <si>
    <t>თერმოკუმშვადი საიზ. მილი 3მმ (კემბრიკი)</t>
  </si>
  <si>
    <t>მილი D325*10 სამმაგი იზოლაციით</t>
  </si>
  <si>
    <t>ქანჩის გასაღების ნაკრები 96 ნაჭრ</t>
  </si>
  <si>
    <t>ტროსი გვარლი 20მმ</t>
  </si>
  <si>
    <t>დიაფრაგმა რეგულატორის DN50 H5</t>
  </si>
  <si>
    <t>დიაფრაგმა რეგულატორის DN80 H5</t>
  </si>
  <si>
    <t>დიაფრაგმა რეგულატორის DN100 H5</t>
  </si>
  <si>
    <t>ბურღი პერფერატორის 8მმ</t>
  </si>
  <si>
    <t>ბურღი პერფერატორის 10მმ</t>
  </si>
  <si>
    <t>ცეცხლმაქრი 6კგ</t>
  </si>
  <si>
    <t>ჭანჭიკი 3</t>
  </si>
  <si>
    <t>ჭანჭიკი 4</t>
  </si>
  <si>
    <t>ხრახნმჭრელის ნაკრები</t>
  </si>
  <si>
    <t>ქანჩის გასაღებების ნაკრები 8-46</t>
  </si>
  <si>
    <t>კიბე ალუმინის ტელესკოპური</t>
  </si>
  <si>
    <t>ხრახნმჭრელის ნაკრები 12 ნაჭრ</t>
  </si>
  <si>
    <t>ჭანჭიკი 18*100</t>
  </si>
  <si>
    <t>ხრახნი ღერო თავაკების გარეშე 38*2000</t>
  </si>
  <si>
    <t>ხამუთი D130-150 უჟ. ლითონის სამეურნეო</t>
  </si>
  <si>
    <t>ფურცელი ლითონის 2000*1000*40 მოთუთიებული</t>
  </si>
  <si>
    <t>ფურცელი ლითონის მოთუთიებული გოფრირებული</t>
  </si>
  <si>
    <t>ელ. სადენი 4*2.5 სპილენძის</t>
  </si>
  <si>
    <t>ფტოროპლასტი (ტეფლონის წნული) D200</t>
  </si>
  <si>
    <t>ფტოროპლასტი (ტეფლონის წნული) D170</t>
  </si>
  <si>
    <t>ფტოროპლასტი (ტეფლონის წნული) D120</t>
  </si>
  <si>
    <t>ფტოროპლასტი (ტეფლონის წნული) D100</t>
  </si>
  <si>
    <t>სფერული ონკანი DN300 PN16 შედუღებით მიწისქვეშა</t>
  </si>
  <si>
    <t>სფერული ონკანი DN100 PN16 შედუღებით მიწისქვეშა</t>
  </si>
  <si>
    <t>ელ. კორექტორი ELSTER Ek-280 (4-20bar)</t>
  </si>
  <si>
    <t>ელ. კორექტორი ELSTER Ek-280 (2-10bar)</t>
  </si>
  <si>
    <t>მზის ელემენტის კონტროლერი კომპლ.</t>
  </si>
  <si>
    <t>მანომეტრი ციფრული LEO Recorder Ei</t>
  </si>
  <si>
    <t>სფერული ონკანი DN50 PN64 მილტუჩა</t>
  </si>
  <si>
    <t>მყარი დისკი 6TB</t>
  </si>
  <si>
    <t>გაზის როტაციული მრიცხველი DN100 G250 PN16</t>
  </si>
  <si>
    <t>გაზის ტურბინული მრიცხველი SM-RI-X DN200 G1600 PN16</t>
  </si>
  <si>
    <t>გაზის ტურბინული მრიცხველი SM-RI-X DN250 G2500 PN16</t>
  </si>
  <si>
    <t>მაგიდა საოფისე დამხმარე მაგიდით</t>
  </si>
  <si>
    <t>რეგულატორი D50 მ/წნ კომპლ. გამათბობლით</t>
  </si>
  <si>
    <t>მიწის სატკეპნი დანადგარი</t>
  </si>
  <si>
    <t>კამერა სათვალთვალო IP გარე გამოყენების</t>
  </si>
  <si>
    <t>კარადა გარდერობი საკიდი</t>
  </si>
  <si>
    <t>ელ. კორექტორი ELSTER Ek-280 (6-30bar)</t>
  </si>
  <si>
    <t>მუხლი D530*8 90გრ 1.5D (მეორადი)</t>
  </si>
  <si>
    <t>მილი D530*8 (მეორადი)</t>
  </si>
  <si>
    <t>რკინაბეტონის ტვირთი D530 მილისთვის (მეორადი)</t>
  </si>
  <si>
    <t>სფერული ონკანი DN80 PN25 მილტუჩა</t>
  </si>
  <si>
    <t>სფერული ონკანი DN150 PN25 მილტუჩა</t>
  </si>
  <si>
    <t>რეგულატორი D80 მ/წნ კომპლ.</t>
  </si>
  <si>
    <t>მზის ელემენტი 100w</t>
  </si>
  <si>
    <t>მზის ელემენტი 150w</t>
  </si>
  <si>
    <t>წყლის ტუმბო Trash 4 დიზელზე</t>
  </si>
  <si>
    <t>მონიტორი პერსონალური კომპიუტერის</t>
  </si>
  <si>
    <t>პრინტერი მრავალფუნქციური შავ-თეთრი A4 ფორმატის</t>
  </si>
  <si>
    <t>გაზის ფილტრის კარტრიჯი D492*638</t>
  </si>
  <si>
    <t>საპრიალებელი პასტა (ზელიონკა) გოი ПХ3</t>
  </si>
  <si>
    <t>მილტუჩი DN80 PN16 ბრტყელი</t>
  </si>
  <si>
    <t>გადამყვანი D325-273*8</t>
  </si>
  <si>
    <t>მილტუჩი DN500 PN16 ბრტყელი</t>
  </si>
  <si>
    <t>ელექტრიკოსის სამუშაო იარაღების ნაკრები</t>
  </si>
  <si>
    <t>შემრევი ონკანის რეზინის მილი (წყვილი)</t>
  </si>
  <si>
    <t>პლ. მილი 25</t>
  </si>
  <si>
    <t>სფერული ონკანი DN80 PN16 მილტუჩა</t>
  </si>
  <si>
    <t>სფერული ონკანი DN50 PN25 მილტუჩა</t>
  </si>
  <si>
    <t>სფერული ონკანი DN50 PN16 მილტუჩა</t>
  </si>
  <si>
    <t>სფერული ონკანი DN40 PN25 მილტუჩა</t>
  </si>
  <si>
    <t>სფერული ონკანი DN100 PN25 მილტუჩა</t>
  </si>
  <si>
    <t>მანომეტრი 40bar გლიცერინით</t>
  </si>
  <si>
    <t>უკუსარქველი D32</t>
  </si>
  <si>
    <t>სამაგრი ხელსაბანის</t>
  </si>
  <si>
    <t>თხევადი გაზის ბალონი 50ლ რედუქტორით</t>
  </si>
  <si>
    <t>მუხლი D530*10 60გრ 1.5D იზოლირებული</t>
  </si>
  <si>
    <t>მუხლი D530*14 90გრ 1.5D იზოლირებული</t>
  </si>
  <si>
    <t>მუხლი D711*14 90გრ 5D იზოლირებული</t>
  </si>
  <si>
    <t>სამკაპი D325-325-325*12 იზოლირებული</t>
  </si>
  <si>
    <t>მანიშნებელი - ცეცხლსაშიშია</t>
  </si>
  <si>
    <t>კარავი სპეციალური 10000*4800</t>
  </si>
  <si>
    <t>ქსელის ტესტერი 5 I¹ 1 CABLE TESTER for RJ45. RJ11.1394.USB &amp; B¹C (¹F-838)</t>
  </si>
  <si>
    <t>კაბელი ქსელის 5 კატეგორიის UTP</t>
  </si>
  <si>
    <t>რკინაბეტონის ფილა 2100*2100*300</t>
  </si>
  <si>
    <t>ბენზოცელის (ბრაშქათერის) დანა</t>
  </si>
  <si>
    <t>უკუსარქველი DN100 PN16 მილტუჩით</t>
  </si>
  <si>
    <t>ტენტი პოლიეთილენის</t>
  </si>
  <si>
    <t>ბატარეა 2000mAh</t>
  </si>
  <si>
    <t>მავთული გამომწვარი 4მმ</t>
  </si>
  <si>
    <t>ყურის დამცავი საყურისი</t>
  </si>
  <si>
    <t>რესპირატორი მთლიანი სახის (აირწინაღი)</t>
  </si>
  <si>
    <t>ჩაქუჩი ლურსმანსაძრობით</t>
  </si>
  <si>
    <t>ჭანჭიკი 16*80</t>
  </si>
  <si>
    <t>ჭანჭიკი 20*100</t>
  </si>
  <si>
    <t>საყელური (გროვერი) 20</t>
  </si>
  <si>
    <t>ჰაერის კომპრესორი 50ლ (საღებავის მაფრქვეველა)</t>
  </si>
  <si>
    <t>ურიკა ბორბლებით რკინის</t>
  </si>
  <si>
    <t>ღვედი უსაფრთხოების დამცავი (კენგურუ)</t>
  </si>
  <si>
    <t>თოკი დამზღვევი 12*2000 კარაბინით და კაუჭით</t>
  </si>
  <si>
    <t>მინა მრგვალი 30*4</t>
  </si>
  <si>
    <t>ლითონის მრგვალი ნამზადი 25მმ</t>
  </si>
  <si>
    <t>მანომეტრი 10bar გლიცერინით</t>
  </si>
  <si>
    <t>მანომეტრი 16bar გლიცერინით</t>
  </si>
  <si>
    <t>მანომეტრი 25bar გლიცერინით</t>
  </si>
  <si>
    <t>მანომეტრი 60bar გლიცერინით</t>
  </si>
  <si>
    <t>ფოტორელე გარე განათების</t>
  </si>
  <si>
    <t>ელ. სადენი 4*35 ალუმინის</t>
  </si>
  <si>
    <t>მეხსიერების ბარათი Micro SDXC UHS-1</t>
  </si>
  <si>
    <t>ა/მ აკუმულატორი 185 A/h</t>
  </si>
  <si>
    <t>ა/მ აკუმულატორი 40 A/h</t>
  </si>
  <si>
    <t>ა/მ აკუმულატორი მოტოციკლეტის</t>
  </si>
  <si>
    <t>ა/მ უკონტაქტო რეცხვის ხსნარი (ქაფი)</t>
  </si>
  <si>
    <t>სამკაპი ელ. მანომეტრის D1/2 გარე პირდ. ხრახნით და შიდა ხრახნით ნამზ.</t>
  </si>
  <si>
    <t>ელ. კორექტორის წნევის საიმპულსო გადამყვანი ნამზ.</t>
  </si>
  <si>
    <t>ელ. კორეტორის ტემპერატურის გადამწოდი გილზა</t>
  </si>
  <si>
    <t>სამკაპი D1/2 შიდა-გარე ხრახნით და 10მმ საიმპ. მილაკით ნამზ.</t>
  </si>
  <si>
    <t>გადამყვანი სპეციალური D15 ნამზ.</t>
  </si>
  <si>
    <t>ოდორიზაციის სისტემის საწვეთური ნამზ.</t>
  </si>
  <si>
    <t>ნიპელის მიმქაჩი D15 შიდა ხრახნით</t>
  </si>
  <si>
    <t>დიაფრაგმა DN300 ყრუ ნამზ.</t>
  </si>
  <si>
    <t>მილმიმყვანი D15 შიდა ხრახნით</t>
  </si>
  <si>
    <t>სწორი მონაკვეთი DN100 ფლობოს</t>
  </si>
  <si>
    <t>დიაფრაგმა DN100 ნამზ.</t>
  </si>
  <si>
    <t>ხრახნმჭრელი შიდა M 12</t>
  </si>
  <si>
    <t>ხრახნმჭრელი გარე M 12</t>
  </si>
  <si>
    <t>მილი D76.1*3</t>
  </si>
  <si>
    <t>მილტუჩი DN300 PN64 ბრტყელი</t>
  </si>
  <si>
    <t>სარჭი ხრახნით (შპილკა) M36 L250 კომპლ. D300 P63 ბრტყელი მილტუჩის</t>
  </si>
  <si>
    <t>მილტუჩი DN300 PN64 საყელურიანი</t>
  </si>
  <si>
    <t>სარჭი ხრახნით (შპილკა) M36 L300 კომპლ. D300 P63 საყელურიანი მილტუჩის</t>
  </si>
  <si>
    <t>ხამუთი D199 უჟ. ლითონის სამეურნეო</t>
  </si>
  <si>
    <t>ხამუთი მილის D300*400 PN25 უჟ. ლითონის</t>
  </si>
  <si>
    <t>ხამუთი მილის D500*400 PN25 უჟ. ლითონის</t>
  </si>
  <si>
    <t>ხამუთი მილის D500*800 PN25 უჟ. ლითონის</t>
  </si>
  <si>
    <t>ხამუთი მილის D700*400 PN25 უჟ. ლითონის</t>
  </si>
  <si>
    <t>ხამუთი მილის D700*800 PN25 უჟ. ლითონის</t>
  </si>
  <si>
    <t>საპოხი "ტიაჟპრომარმატურის" ონკანებისთვის</t>
  </si>
  <si>
    <t>მილკვადრატი 40*40*3</t>
  </si>
  <si>
    <t>მილი D273*10 უნაკერო</t>
  </si>
  <si>
    <t>მუხლი D159*8 30გრ 1.5D</t>
  </si>
  <si>
    <t>მუხლი D325*8 30გრ 1.5D</t>
  </si>
  <si>
    <t>მუხლი D720*10 45გრ 1.5D იზოლირებული</t>
  </si>
  <si>
    <t>მუხლი D720*10 30გრ 1.5D იზოლირებული</t>
  </si>
  <si>
    <t>გადამყვანი D219-114*6</t>
  </si>
  <si>
    <t>მუხლი D530*10 30გრ 1.5D იზოლირებული</t>
  </si>
  <si>
    <t>როუტერი hEX PoF RB960PGS</t>
  </si>
  <si>
    <t>თერმომეტრი უკონტაქტო საყოფაცხოვრებო</t>
  </si>
  <si>
    <t>ა/მ ღვედი ამწე 16ტ 10მ</t>
  </si>
  <si>
    <t>მავთული გამომწვარი 1.5მმ</t>
  </si>
  <si>
    <t>მანომეტრი 1bar ტექნიკური</t>
  </si>
  <si>
    <t>ჭანჭიკი 30*120</t>
  </si>
  <si>
    <t>მილი D219.1*5.1 სამმაგი იზოლაციით</t>
  </si>
  <si>
    <t>პანელური კონსტრუქცია ღობე 2000*2500 კომპლ.</t>
  </si>
  <si>
    <t>მავთული ეკლიანი სპირალური</t>
  </si>
  <si>
    <t>სფერული დამხშობი D159*6</t>
  </si>
  <si>
    <t>ბურღი დამცენტრავი D6.3</t>
  </si>
  <si>
    <t>სვიჩი 4 პორტიანი</t>
  </si>
  <si>
    <t>თაბაშირ-მუყაოს UW პროფილი</t>
  </si>
  <si>
    <t>მინა მრგვალი 30*6</t>
  </si>
  <si>
    <t>ძაბვის გარდამქმნელი 12v-80v (გამაძლიერებელი მოდული)</t>
  </si>
  <si>
    <t>კაბელი ქსელის 1.63მმ</t>
  </si>
  <si>
    <t>ქვეწარმავლების დასაფრთხობი სითხე</t>
  </si>
  <si>
    <t>ოდორანტის დონის მზომი</t>
  </si>
  <si>
    <t>ხამუთი ლენტური უჟ. ლითონის სამეურნეო</t>
  </si>
  <si>
    <t>ხამუთის მომჭერი ლითონის</t>
  </si>
  <si>
    <t>აირმჭრელი (გაზის რეზაკი) გრძელი</t>
  </si>
  <si>
    <t>აირმჭრელის (გაზის რეზაკი) უკუსარქველი</t>
  </si>
  <si>
    <t>მიწის საბურღი ხელსაწყო (ბენზინზე)</t>
  </si>
  <si>
    <t>ბურღი პერფერატორის 22მმ</t>
  </si>
  <si>
    <t>ბურღი პერფერატორის 14მმ</t>
  </si>
  <si>
    <t>ქანჩის გასაღები გასაშლელი 80მმ</t>
  </si>
  <si>
    <t>ექვსკუთხა 32მმ ლითონის</t>
  </si>
  <si>
    <t>ზოლოვანა 60*30 ლითონის</t>
  </si>
  <si>
    <t>რკინაბეტონის ფილა 1500*1500*200 ორმაგი არმირებით</t>
  </si>
  <si>
    <t>მილტუჩა (00.5115.B002.0605.10.1)</t>
  </si>
  <si>
    <t>შუასადებიანი ფრენზელიტის ნოვაპრესი (00.1225.0004.0000.00A)</t>
  </si>
  <si>
    <t>კომპლექტის ხრახნები + ქანჩები (06.6268.0630.0000.00 1)</t>
  </si>
  <si>
    <t>WELD-O-LET 61n*20in SCH 80 MAT SA-350 GR LF2 (00.4163.2006.0033.00 1)</t>
  </si>
  <si>
    <t>"22" გაზის საცობი რეზინის ტერილენით (00.5118.0022.0000.01 1)</t>
  </si>
  <si>
    <t>"40" გაზის საცობი რეზინის ტერილენით (00.5118.0040.0000.01 1)</t>
  </si>
  <si>
    <t>WELD-O-LET 61n*28in SCH 80 MAT SA-350 GR LF2 (00.4163.2806.0033.00 1)</t>
  </si>
  <si>
    <t>WELD-O-LET 61n*40in SCH 80 MAT SA-350 GR LF2 (00.4163.4006.0033.00 1)</t>
  </si>
  <si>
    <t>WELD-O-LET 61n*48in SCH 80 MAT SA-350 GR LF2 (00.4163.4806.0033.00 1)</t>
  </si>
  <si>
    <t>მილტუჩი DN700 PN25 კომპლ.</t>
  </si>
  <si>
    <t>სფერული დამხშობი D219*8</t>
  </si>
  <si>
    <t>მავთული გამომწვარი 1.2მმ</t>
  </si>
  <si>
    <t>ფურცელი ლითონის 5მმ რელიეფური</t>
  </si>
  <si>
    <t>მილკვადრატი 50*30*3</t>
  </si>
  <si>
    <t>ელ. სადენი 4*1.5 სპილენძის მრავალწვერა ორმ. იზოლ.</t>
  </si>
  <si>
    <t>მავთული ეკლიანი სპირალური D450</t>
  </si>
  <si>
    <t>დამჭერი ეკლიანი მავთულის</t>
  </si>
  <si>
    <t>სფერული დამხშობი D720*12</t>
  </si>
  <si>
    <t>სფერული დამხშობი D530*12</t>
  </si>
  <si>
    <t>სფერული დამხშობი D219*10</t>
  </si>
  <si>
    <t>სფერული დამხშობი D219*6</t>
  </si>
  <si>
    <t>მილტუჩი DN200 PN25 ბრტყელი</t>
  </si>
  <si>
    <t>მილკვადრატი 100*100*3</t>
  </si>
  <si>
    <t>ა/მ ღვედი ამწე 10ტ 10მ დამჭიმით</t>
  </si>
  <si>
    <t>დისპენსერი ხელის სადეზინფექციო ხსნარის</t>
  </si>
  <si>
    <t>კონექტორი 12მმ*1/2" NPT</t>
  </si>
  <si>
    <t>გონიო მასიური რკინის 200მმ</t>
  </si>
  <si>
    <t>შამუთი ცეცხლგამძლე თიხა</t>
  </si>
  <si>
    <t>საყელური (შაიბა) 32</t>
  </si>
  <si>
    <t>საყელური (გროვერი) 32</t>
  </si>
  <si>
    <t>გონიო 70*50</t>
  </si>
  <si>
    <t>საკეტი კარის - შპინგალეტი</t>
  </si>
  <si>
    <t>ქანჩის გასაღები გასაშლელი 250*35მმ</t>
  </si>
  <si>
    <t>ქანჩის გასაღები გასაშლელი 150*15მმ</t>
  </si>
  <si>
    <t>ოდორიზაციის ავტ. სისტემის ნაკადის სენსორი</t>
  </si>
  <si>
    <t>წყლის ტუმბო საყოფაცხოვრებო ტვინით</t>
  </si>
  <si>
    <t>გაზის მრიცხველი FloBoss 1200</t>
  </si>
  <si>
    <t>აირანალიზატორი გაზის</t>
  </si>
  <si>
    <t>ჰაერის კომპრესორი მ/წნ Atlas Copco Y1300</t>
  </si>
  <si>
    <t>ოდორიზაციის ავტ. სისტემის მართვის პლატა</t>
  </si>
  <si>
    <t>პნევმო მართვის პულტი</t>
  </si>
  <si>
    <t>გაზის ტურბინული მრიცხველი SM-RI-X DN250 G2500 PN16 #1052758</t>
  </si>
  <si>
    <t>გაზის ტურბინული მრიცხველი TRZ2 DN150 G1000 PN16 #830052053</t>
  </si>
  <si>
    <t>Wi-Fi ვაი-ფაი როუტერი</t>
  </si>
  <si>
    <t>ტუმბო ჰიდრავლიკური (ონკანის)</t>
  </si>
  <si>
    <t>გაზის ტურბინული მრიცხველი DN80 G160 PN25</t>
  </si>
  <si>
    <t>გაზის ტურბინული მრიცხველი DN150 G650 PN25</t>
  </si>
  <si>
    <t>გაზის ტურბინული მრიცხველი DN150 G1000 PN25</t>
  </si>
  <si>
    <t>სფერული ონკანი DN150 PN16 შედუღებით მიწისქვეშა</t>
  </si>
  <si>
    <t>სფერული ონკანი DN300 PN64 შედუღებით მიწისქვეშა</t>
  </si>
  <si>
    <t>ელ. კორეტორის ტემპერატურის გადამწოდი გილზა DN100 ნამზ.</t>
  </si>
  <si>
    <t>ფლობოს გადამყვანი</t>
  </si>
  <si>
    <t>გაზის ფილტრი DN200 PN25 ნამზ.</t>
  </si>
  <si>
    <t>გაზის ფილტრის კარტრიჯი D300 ნამზ.</t>
  </si>
  <si>
    <t>გაზის ფილტრის კარტრიჯი D100 ნამზ.</t>
  </si>
  <si>
    <t>დიაფრაგმა DN300 ნამზ.</t>
  </si>
  <si>
    <t>სწორი მონაკვეთი DN300 ფლობოს</t>
  </si>
  <si>
    <t>გაზის ფილტრი DN300 PN25 ნამზ.</t>
  </si>
  <si>
    <t>დიაფრაგმა DN400 ნამზ.</t>
  </si>
  <si>
    <t>ქანჩი 27</t>
  </si>
  <si>
    <t>საყელური (შაიბა) 27</t>
  </si>
  <si>
    <t>მუხლი D325*10 90გრ 1.5D</t>
  </si>
  <si>
    <t>გადამყვანი D426-325*10</t>
  </si>
  <si>
    <t>ოდორანტის დონის მზომი შუშა ბრონირებული 236*32.5*13</t>
  </si>
  <si>
    <t>მინა მრგვალი 28*6</t>
  </si>
  <si>
    <t>მანიშნებელი - ცეცხლის ანთება აკრძალულია</t>
  </si>
  <si>
    <t>მანიშნებელი - აირბალონების არსებობის შესახებ</t>
  </si>
  <si>
    <t>მანიშნებელი - წყლის დალევა აკრძალულია</t>
  </si>
  <si>
    <t>უსაფრთხოების ბოძები ამრეკლით და სიმძიმით</t>
  </si>
  <si>
    <t>უსაფრთხოების ბარიერი</t>
  </si>
  <si>
    <t>უსაფრთხოების შემოსაღობი ბადე</t>
  </si>
  <si>
    <t>დგარი პლასტმასის სამკუთხედი ნიშნით</t>
  </si>
  <si>
    <t>მილტუჩი DN200 PN40 კომპლ.</t>
  </si>
  <si>
    <t>ელ. ავტომატური ამომრთველი 1P 32A</t>
  </si>
  <si>
    <t>ბრა გარე განათების</t>
  </si>
  <si>
    <t>მავთულბადე 50*50*2.5 მოთუთიებული</t>
  </si>
  <si>
    <t>მავთულბადე 50*50*4 მოთუთიებული</t>
  </si>
  <si>
    <t>მილი D720*12 სამმაგი იზოლაციით</t>
  </si>
  <si>
    <t>საღებავი ლურჯი ანტიკოროზიული</t>
  </si>
  <si>
    <t>ელ. როზეტის კოლოფი</t>
  </si>
  <si>
    <t>მილტუჩი DN100 PN16 საყელურიანი</t>
  </si>
  <si>
    <t>მილტუჩი DN200 PN16 საყელურიანი</t>
  </si>
  <si>
    <t>მილტუჩი DN300 PN16 საყელურიანი</t>
  </si>
  <si>
    <t>მილტუჩი DN250 PN16 საყელურიანი</t>
  </si>
  <si>
    <t>მილტუჩი DN50 PN25 საყელურიანი</t>
  </si>
  <si>
    <t>მილტუჩი DN80 PN16 საყელურიანი</t>
  </si>
  <si>
    <t>ა/მ საბურავი 215/60 R16</t>
  </si>
  <si>
    <t>ა/მ საბურავი 175/65 R14</t>
  </si>
  <si>
    <t>ა/მ საბურავი 215/55 R17</t>
  </si>
  <si>
    <t>სფერული ონკანი DN150 PN16 შედუღებით</t>
  </si>
  <si>
    <t>შურუპი თუნუქის 4*50 ექვსკუთხა თავაკით</t>
  </si>
  <si>
    <t>ძუძუკა DN25 (სასოკი)</t>
  </si>
  <si>
    <t>სფერული ონკანი DN200 PN64 შედუღებით</t>
  </si>
  <si>
    <t>სფერული ონკანი DN400 PN40 შედუღებით</t>
  </si>
  <si>
    <t>სფერული ონკანი DN100 PN64 მილტუჩა</t>
  </si>
  <si>
    <t>სფერული ონკანი DN15 PN64 შიდა ხრახნით</t>
  </si>
  <si>
    <t>ხის დახერხილი მასალა კოჭი 1000*200*100</t>
  </si>
  <si>
    <t>გაზის ტურბინული მრიცხველი DN200 G1600 PN25</t>
  </si>
  <si>
    <t>ლილვაკი (კატოკი) პატარა</t>
  </si>
  <si>
    <t>სფერული ონკანი DN150 PN40 შედუღებით მიწისქვეშა</t>
  </si>
  <si>
    <t>სფერული ონკანი DN200 PN25 შედუღებით</t>
  </si>
  <si>
    <t>გადამყვანი D325-219*8</t>
  </si>
  <si>
    <t>ოდორიზაციის ავტ. სისტემის უსადენო GSM/GPRS მოდემი</t>
  </si>
  <si>
    <t>ოდორიზაციის ავტ. სისტემის უსადენო დამტენი მოწყობილობა</t>
  </si>
  <si>
    <t>ელ. გამშვები მაგნიტური 3P 25A</t>
  </si>
  <si>
    <t>მილტუჩი DN80 PN25 ბრტყელი</t>
  </si>
  <si>
    <t>მილტუჩი DN150 P63 საყელურიანი ГОСТ 33259-2015</t>
  </si>
  <si>
    <t>ფურცელი ლითონის 0.4მმ მოთუთიებული</t>
  </si>
  <si>
    <t>ჭანჭიკი 22*120</t>
  </si>
  <si>
    <t>ელ. კორექტორის წნევის დამატებითი გადამწოდი (გარე, აბსოლუტური)</t>
  </si>
  <si>
    <t>სწორი მონაკვეთი DN100 ტურბინული მრიცხველის ნამზ.</t>
  </si>
  <si>
    <t>სწორი მონაკვეთი DN150 ტურბინული მრიცხველის ნამზ.</t>
  </si>
  <si>
    <t>სწორი მონაკვეთი DN80 ტურბინული მრიცხველის ნამზ.</t>
  </si>
  <si>
    <t>სწორი მონაკვეთი DN80 როტაციული მრიცხველის ნამზ.</t>
  </si>
  <si>
    <t>ეთილმერკაპტანის სტანდარტი ბალონით</t>
  </si>
  <si>
    <t>ელემენტი დასატენი (D ზომის აკუმულატორი)</t>
  </si>
  <si>
    <t>ა/მ ღვედი ამწე 4ტ დამჭიმით</t>
  </si>
  <si>
    <t>ა/მ ღვედი ამწე 7ტ დამჭიმით</t>
  </si>
  <si>
    <t>შურუპი თუნუქის 6*120 თვითმჭრელი</t>
  </si>
  <si>
    <t>ქსელური მარშუტიზატორი A ტიპის</t>
  </si>
  <si>
    <t>ავზი 500ლ პოლიეთილენის ონკანით</t>
  </si>
  <si>
    <t>ფანარი ხელის ელ. დამუხტვით</t>
  </si>
  <si>
    <t>ურო ლატუნის</t>
  </si>
  <si>
    <t>ჩაქუჩი ლატუნის 3კგ</t>
  </si>
  <si>
    <t>ბურღი (დრელი) ელექტრო რეგულირებადი ბრუნვით 1800W</t>
  </si>
  <si>
    <t>1620/0009</t>
  </si>
  <si>
    <t>-</t>
  </si>
  <si>
    <t>1620/0010</t>
  </si>
  <si>
    <t>1620/0012</t>
  </si>
  <si>
    <t>1620/0013</t>
  </si>
  <si>
    <t>1620/0021</t>
  </si>
  <si>
    <t>1620/0244</t>
  </si>
  <si>
    <t>1620/0261</t>
  </si>
  <si>
    <t>1620/0591</t>
  </si>
  <si>
    <t>1620/0678</t>
  </si>
  <si>
    <t>1620/1004</t>
  </si>
  <si>
    <t>1620/1005</t>
  </si>
  <si>
    <t>1620/1197</t>
  </si>
  <si>
    <t>1620/1198</t>
  </si>
  <si>
    <t>1620/1315</t>
  </si>
  <si>
    <t>1620/1408</t>
  </si>
  <si>
    <t>1620/1490</t>
  </si>
  <si>
    <t>1620/1520</t>
  </si>
  <si>
    <t>1620/1658</t>
  </si>
  <si>
    <t>1620/1687</t>
  </si>
  <si>
    <t>1620/1706</t>
  </si>
  <si>
    <t>1620/1735</t>
  </si>
  <si>
    <t>1620/1737</t>
  </si>
  <si>
    <t>1620/1765</t>
  </si>
  <si>
    <t>1620/1820</t>
  </si>
  <si>
    <t>1620/1964</t>
  </si>
  <si>
    <t>1620/2055</t>
  </si>
  <si>
    <t>1620/2065</t>
  </si>
  <si>
    <t>1620/2298</t>
  </si>
  <si>
    <t>1620/3000</t>
  </si>
  <si>
    <t>დიზელი</t>
  </si>
  <si>
    <t>1620/3004</t>
  </si>
  <si>
    <t>ბენზინი</t>
  </si>
  <si>
    <t>1620/3010</t>
  </si>
  <si>
    <t>1620/3011</t>
  </si>
  <si>
    <t>1620/3021</t>
  </si>
  <si>
    <t>1620/3023</t>
  </si>
  <si>
    <t>1620/3028</t>
  </si>
  <si>
    <t>1620/3031</t>
  </si>
  <si>
    <t>1620/3033</t>
  </si>
  <si>
    <t>1620/3041</t>
  </si>
  <si>
    <t>1620/3042</t>
  </si>
  <si>
    <t>1620/3044</t>
  </si>
  <si>
    <t>1620/3046</t>
  </si>
  <si>
    <t>1620/3047</t>
  </si>
  <si>
    <t>1620/3048</t>
  </si>
  <si>
    <t>1620/3050</t>
  </si>
  <si>
    <t>1620/3051</t>
  </si>
  <si>
    <t>1620/3052</t>
  </si>
  <si>
    <t>1620/3054</t>
  </si>
  <si>
    <t>1620/3057</t>
  </si>
  <si>
    <t>1620/3065</t>
  </si>
  <si>
    <t>1620/3066</t>
  </si>
  <si>
    <t>1620/3070</t>
  </si>
  <si>
    <t>1620/3071</t>
  </si>
  <si>
    <t>1620/3073</t>
  </si>
  <si>
    <t>1620/3075</t>
  </si>
  <si>
    <t>1620/3077</t>
  </si>
  <si>
    <t>1620/3078</t>
  </si>
  <si>
    <t>1620/3079</t>
  </si>
  <si>
    <t>1620/3080</t>
  </si>
  <si>
    <t>1620/3081</t>
  </si>
  <si>
    <t>1620/3082</t>
  </si>
  <si>
    <t>1620/3083</t>
  </si>
  <si>
    <t>1620/3084</t>
  </si>
  <si>
    <t>1620/3088</t>
  </si>
  <si>
    <t>1620/3092</t>
  </si>
  <si>
    <t>1620/3109</t>
  </si>
  <si>
    <t>1620/3115</t>
  </si>
  <si>
    <t>1620/3117</t>
  </si>
  <si>
    <t>1620/3118</t>
  </si>
  <si>
    <t>1620/3119</t>
  </si>
  <si>
    <t>1620/3120</t>
  </si>
  <si>
    <t>1620/3121</t>
  </si>
  <si>
    <t>1620/3122</t>
  </si>
  <si>
    <t>1620/3123</t>
  </si>
  <si>
    <t>1620/3124</t>
  </si>
  <si>
    <t>1620/3127</t>
  </si>
  <si>
    <t>1620/3128</t>
  </si>
  <si>
    <t>1620/3130</t>
  </si>
  <si>
    <t>1620/3131</t>
  </si>
  <si>
    <t>1620/3133</t>
  </si>
  <si>
    <t>1620/3134</t>
  </si>
  <si>
    <t>1620/3135</t>
  </si>
  <si>
    <t>1620/3141</t>
  </si>
  <si>
    <t>1620/3143</t>
  </si>
  <si>
    <t>1620/3147</t>
  </si>
  <si>
    <t>1620/3149</t>
  </si>
  <si>
    <t>1620/3150</t>
  </si>
  <si>
    <t>1620/3155</t>
  </si>
  <si>
    <t>1620/3158</t>
  </si>
  <si>
    <t>1620/3161</t>
  </si>
  <si>
    <t>1620/3163</t>
  </si>
  <si>
    <t>1620/3165</t>
  </si>
  <si>
    <t>1620/3167</t>
  </si>
  <si>
    <t>1620/3168</t>
  </si>
  <si>
    <t>1620/3169</t>
  </si>
  <si>
    <t>1620/3170</t>
  </si>
  <si>
    <t>1620/3172</t>
  </si>
  <si>
    <t>1620/3174</t>
  </si>
  <si>
    <t>1620/3175</t>
  </si>
  <si>
    <t>1620/3177</t>
  </si>
  <si>
    <t>1620/3180</t>
  </si>
  <si>
    <t>1620/3181</t>
  </si>
  <si>
    <t>1620/3183</t>
  </si>
  <si>
    <t>1620/3184</t>
  </si>
  <si>
    <t>1620/3200</t>
  </si>
  <si>
    <t>1620/3201</t>
  </si>
  <si>
    <t>1620/3202</t>
  </si>
  <si>
    <t>1620/3203</t>
  </si>
  <si>
    <t>1620/3204</t>
  </si>
  <si>
    <t>1620/3210</t>
  </si>
  <si>
    <t>1620/3225</t>
  </si>
  <si>
    <t>1620/3226</t>
  </si>
  <si>
    <t>1620/3229</t>
  </si>
  <si>
    <t>1620/3230</t>
  </si>
  <si>
    <t>1620/3240</t>
  </si>
  <si>
    <t>1620/3257</t>
  </si>
  <si>
    <t>1620/3258</t>
  </si>
  <si>
    <t>1620/3263</t>
  </si>
  <si>
    <t>1620/3264</t>
  </si>
  <si>
    <t>1620/3266</t>
  </si>
  <si>
    <t>1620/3267</t>
  </si>
  <si>
    <t>1620/3269</t>
  </si>
  <si>
    <t>1620/3270</t>
  </si>
  <si>
    <t>1620/3294</t>
  </si>
  <si>
    <t>1620/3297</t>
  </si>
  <si>
    <t>1620/3298</t>
  </si>
  <si>
    <t>1620/3299</t>
  </si>
  <si>
    <t>1620/3300</t>
  </si>
  <si>
    <t>1620/3301</t>
  </si>
  <si>
    <t>1620/3310</t>
  </si>
  <si>
    <t>1620/3312</t>
  </si>
  <si>
    <t>1620/3316</t>
  </si>
  <si>
    <t>1620/3317</t>
  </si>
  <si>
    <t>1620/3342</t>
  </si>
  <si>
    <t>1620/3359</t>
  </si>
  <si>
    <t>1620/3370</t>
  </si>
  <si>
    <t>1620/3390</t>
  </si>
  <si>
    <t>1620/3393</t>
  </si>
  <si>
    <t>1620/3401</t>
  </si>
  <si>
    <t>1620/3405</t>
  </si>
  <si>
    <t>1620/3438</t>
  </si>
  <si>
    <t>1620/3439</t>
  </si>
  <si>
    <t>1620/3440</t>
  </si>
  <si>
    <t>1620/3448</t>
  </si>
  <si>
    <t>1620/3449</t>
  </si>
  <si>
    <t>1620/3453</t>
  </si>
  <si>
    <t>1620/3454</t>
  </si>
  <si>
    <t>1620/3456</t>
  </si>
  <si>
    <t>1620/3462</t>
  </si>
  <si>
    <t>1620/3464</t>
  </si>
  <si>
    <t>1620/3473</t>
  </si>
  <si>
    <t>1620/3474</t>
  </si>
  <si>
    <t>1620/3484</t>
  </si>
  <si>
    <t>1620/3493</t>
  </si>
  <si>
    <t>1620/3501</t>
  </si>
  <si>
    <t>1620/3504</t>
  </si>
  <si>
    <t>1620/3505</t>
  </si>
  <si>
    <t>1620/3506</t>
  </si>
  <si>
    <t>1620/3507</t>
  </si>
  <si>
    <t>1620/3514</t>
  </si>
  <si>
    <t>1620/3535</t>
  </si>
  <si>
    <t>1620/3536</t>
  </si>
  <si>
    <t>1620/3537</t>
  </si>
  <si>
    <t>1620/3545</t>
  </si>
  <si>
    <t>1620/3552</t>
  </si>
  <si>
    <t>1620/3558</t>
  </si>
  <si>
    <t>1620/3563</t>
  </si>
  <si>
    <t>1620/3566</t>
  </si>
  <si>
    <t>1620/3569</t>
  </si>
  <si>
    <t>1620/3570</t>
  </si>
  <si>
    <t>1620/3571</t>
  </si>
  <si>
    <t>1620/3572</t>
  </si>
  <si>
    <t>1620/3573</t>
  </si>
  <si>
    <t>1620/3582</t>
  </si>
  <si>
    <t>1620/3583</t>
  </si>
  <si>
    <t>1620/3584</t>
  </si>
  <si>
    <t>1620/3585</t>
  </si>
  <si>
    <t>1620/3588</t>
  </si>
  <si>
    <t>1620/3592</t>
  </si>
  <si>
    <t>1620/3595</t>
  </si>
  <si>
    <t>1620/3599</t>
  </si>
  <si>
    <t>1620/3603</t>
  </si>
  <si>
    <t>1620/3604</t>
  </si>
  <si>
    <t>1620/3605</t>
  </si>
  <si>
    <t>1620/3616</t>
  </si>
  <si>
    <t>1620/3621</t>
  </si>
  <si>
    <t>1620/3624</t>
  </si>
  <si>
    <t>1620/3646</t>
  </si>
  <si>
    <t>1620/3654</t>
  </si>
  <si>
    <t>1620/3659</t>
  </si>
  <si>
    <t>1620/3660</t>
  </si>
  <si>
    <t>1620/3663</t>
  </si>
  <si>
    <t>1620/3666</t>
  </si>
  <si>
    <t>1620/3672</t>
  </si>
  <si>
    <t>1620/3675</t>
  </si>
  <si>
    <t>1620/3676</t>
  </si>
  <si>
    <t>1620/3678</t>
  </si>
  <si>
    <t>1620/3681</t>
  </si>
  <si>
    <t>1620/3702</t>
  </si>
  <si>
    <t>1620/3716</t>
  </si>
  <si>
    <t>1620/3747</t>
  </si>
  <si>
    <t>1620/3749</t>
  </si>
  <si>
    <t>1620/3751</t>
  </si>
  <si>
    <t>1620/3752</t>
  </si>
  <si>
    <t>1620/3754</t>
  </si>
  <si>
    <t>1620/3762</t>
  </si>
  <si>
    <t>1620/3765</t>
  </si>
  <si>
    <t>1620/3766</t>
  </si>
  <si>
    <t>1620/3768</t>
  </si>
  <si>
    <t>1620/3775</t>
  </si>
  <si>
    <t>1620/3776</t>
  </si>
  <si>
    <t>1620/3778</t>
  </si>
  <si>
    <t>1620/3779</t>
  </si>
  <si>
    <t>1620/3781</t>
  </si>
  <si>
    <t>1620/3782</t>
  </si>
  <si>
    <t>1620/3783</t>
  </si>
  <si>
    <t>1620/3787</t>
  </si>
  <si>
    <t>1620/3795</t>
  </si>
  <si>
    <t>1620/3797</t>
  </si>
  <si>
    <t>1620/3798</t>
  </si>
  <si>
    <t>1620/3801</t>
  </si>
  <si>
    <t>1620/3813</t>
  </si>
  <si>
    <t>1620/3827</t>
  </si>
  <si>
    <t>1620/3831</t>
  </si>
  <si>
    <t>1620/3832</t>
  </si>
  <si>
    <t>1620/3833</t>
  </si>
  <si>
    <t>1620/3838</t>
  </si>
  <si>
    <t>1620/3842</t>
  </si>
  <si>
    <t>1620/3844</t>
  </si>
  <si>
    <t>1620/3847</t>
  </si>
  <si>
    <t>1620/3849</t>
  </si>
  <si>
    <t>1620/3854</t>
  </si>
  <si>
    <t>1620/3855</t>
  </si>
  <si>
    <t>1620/3856</t>
  </si>
  <si>
    <t>1620/3881</t>
  </si>
  <si>
    <t>1620/3882</t>
  </si>
  <si>
    <t>1620/3883</t>
  </si>
  <si>
    <t>1620/3884</t>
  </si>
  <si>
    <t>1620/3885</t>
  </si>
  <si>
    <t>1620/3891</t>
  </si>
  <si>
    <t>1620/3892</t>
  </si>
  <si>
    <t>1620/4032</t>
  </si>
  <si>
    <t>1620/4052</t>
  </si>
  <si>
    <t>1620/4054</t>
  </si>
  <si>
    <t>1620/4055</t>
  </si>
  <si>
    <t>1620/4062</t>
  </si>
  <si>
    <t>1620/4073</t>
  </si>
  <si>
    <t>1620/4075</t>
  </si>
  <si>
    <t>1620/4078</t>
  </si>
  <si>
    <t>1620/4081</t>
  </si>
  <si>
    <t>1620/4082</t>
  </si>
  <si>
    <t>1620/4083</t>
  </si>
  <si>
    <t>1620/4088</t>
  </si>
  <si>
    <t>1620/4090</t>
  </si>
  <si>
    <t>1620/4091</t>
  </si>
  <si>
    <t>1620/4096</t>
  </si>
  <si>
    <t>1620/4204</t>
  </si>
  <si>
    <t>1620/4209</t>
  </si>
  <si>
    <t>1620/4212</t>
  </si>
  <si>
    <t>1620/4282</t>
  </si>
  <si>
    <t>1620/4301</t>
  </si>
  <si>
    <t>1620/4302</t>
  </si>
  <si>
    <t>1620/4303</t>
  </si>
  <si>
    <t>1620/4314</t>
  </si>
  <si>
    <t>1620/4318</t>
  </si>
  <si>
    <t>1620/4325</t>
  </si>
  <si>
    <t>1620/4326</t>
  </si>
  <si>
    <t>1620/4329</t>
  </si>
  <si>
    <t>1620/4342</t>
  </si>
  <si>
    <t>1620/4343</t>
  </si>
  <si>
    <t>1620/4344</t>
  </si>
  <si>
    <t>1620/4350</t>
  </si>
  <si>
    <t>1620/4353</t>
  </si>
  <si>
    <t>1620/4354</t>
  </si>
  <si>
    <t>1620/4358</t>
  </si>
  <si>
    <t>1620/4373</t>
  </si>
  <si>
    <t>1620/4383</t>
  </si>
  <si>
    <t>1620/4387</t>
  </si>
  <si>
    <t>1620/4391</t>
  </si>
  <si>
    <t>1620/4395</t>
  </si>
  <si>
    <t>1620/4397</t>
  </si>
  <si>
    <t>1620/4398</t>
  </si>
  <si>
    <t>1620/4402</t>
  </si>
  <si>
    <t>1620/4409</t>
  </si>
  <si>
    <t>1620/4412</t>
  </si>
  <si>
    <t>1620/4413</t>
  </si>
  <si>
    <t>1620/4414</t>
  </si>
  <si>
    <t>1620/4419</t>
  </si>
  <si>
    <t>1620/4424</t>
  </si>
  <si>
    <t>1620/4436</t>
  </si>
  <si>
    <t>1620/4439</t>
  </si>
  <si>
    <t>1620/4461</t>
  </si>
  <si>
    <t>1620/4462</t>
  </si>
  <si>
    <t>1620/4465</t>
  </si>
  <si>
    <t>1620/4466</t>
  </si>
  <si>
    <t>1620/4475</t>
  </si>
  <si>
    <t>1620/4483</t>
  </si>
  <si>
    <t>1620/4484</t>
  </si>
  <si>
    <t>1620/4496</t>
  </si>
  <si>
    <t>1620/4501</t>
  </si>
  <si>
    <t>1620/4502</t>
  </si>
  <si>
    <t>1620/4505</t>
  </si>
  <si>
    <t>1620/4510</t>
  </si>
  <si>
    <t>1620/4511</t>
  </si>
  <si>
    <t>1620/4512</t>
  </si>
  <si>
    <t>1620/4513</t>
  </si>
  <si>
    <t>1620/4514</t>
  </si>
  <si>
    <t>1620/4516</t>
  </si>
  <si>
    <t>1620/4517</t>
  </si>
  <si>
    <t>1620/4523</t>
  </si>
  <si>
    <t>1620/4529</t>
  </si>
  <si>
    <t>1620/4539</t>
  </si>
  <si>
    <t>1620/4547</t>
  </si>
  <si>
    <t>1620/4549</t>
  </si>
  <si>
    <t>1620/4554</t>
  </si>
  <si>
    <t>1620/4555</t>
  </si>
  <si>
    <t>1620/4557</t>
  </si>
  <si>
    <t>1620/4560</t>
  </si>
  <si>
    <t>1620/4561</t>
  </si>
  <si>
    <t>1620/4566</t>
  </si>
  <si>
    <t>1620/4568</t>
  </si>
  <si>
    <t>1620/4570</t>
  </si>
  <si>
    <t>1620/4579</t>
  </si>
  <si>
    <t>1620/4581</t>
  </si>
  <si>
    <t>1620/4582</t>
  </si>
  <si>
    <t>1620/4583</t>
  </si>
  <si>
    <t>1620/4585</t>
  </si>
  <si>
    <t>1620/4592</t>
  </si>
  <si>
    <t>1620/4593</t>
  </si>
  <si>
    <t>1620/4600</t>
  </si>
  <si>
    <t>1620/4624</t>
  </si>
  <si>
    <t>1620/4657</t>
  </si>
  <si>
    <t>1620/4685</t>
  </si>
  <si>
    <t>1620/4708</t>
  </si>
  <si>
    <t>1620/4747</t>
  </si>
  <si>
    <t>1620/4773</t>
  </si>
  <si>
    <t>1620/5013</t>
  </si>
  <si>
    <t>1620/5014</t>
  </si>
  <si>
    <t>1620/5015</t>
  </si>
  <si>
    <t>1620/5020</t>
  </si>
  <si>
    <t>1620/5021</t>
  </si>
  <si>
    <t>1620/5034</t>
  </si>
  <si>
    <t>1620/5035</t>
  </si>
  <si>
    <t>1620/5041</t>
  </si>
  <si>
    <t>1620/5051</t>
  </si>
  <si>
    <t>1620/5058</t>
  </si>
  <si>
    <t>1620/5059</t>
  </si>
  <si>
    <t>1620/5063</t>
  </si>
  <si>
    <t>1620/5064</t>
  </si>
  <si>
    <t>1620/5065</t>
  </si>
  <si>
    <t>1620/5069</t>
  </si>
  <si>
    <t>1620/5071</t>
  </si>
  <si>
    <t>1620/5072</t>
  </si>
  <si>
    <t>1620/5073</t>
  </si>
  <si>
    <t>1620/5077</t>
  </si>
  <si>
    <t>1620/5101</t>
  </si>
  <si>
    <t>1620/5102</t>
  </si>
  <si>
    <t>1620/5104</t>
  </si>
  <si>
    <t>1620/5105</t>
  </si>
  <si>
    <t>1620/5106</t>
  </si>
  <si>
    <t>1620/5109</t>
  </si>
  <si>
    <t>1620/5125</t>
  </si>
  <si>
    <t>1620/5128</t>
  </si>
  <si>
    <t>1620/5129</t>
  </si>
  <si>
    <t>1620/5134</t>
  </si>
  <si>
    <t>1620/5137</t>
  </si>
  <si>
    <t>1620/5139</t>
  </si>
  <si>
    <t>1620/5143</t>
  </si>
  <si>
    <t>1620/5144</t>
  </si>
  <si>
    <t>1620/5147</t>
  </si>
  <si>
    <t>1620/5167</t>
  </si>
  <si>
    <t>1620/5172</t>
  </si>
  <si>
    <t>1620/5174</t>
  </si>
  <si>
    <t>1620/5181</t>
  </si>
  <si>
    <t>1620/5182</t>
  </si>
  <si>
    <t>1620/5185</t>
  </si>
  <si>
    <t>1620/5194</t>
  </si>
  <si>
    <t>1620/5201</t>
  </si>
  <si>
    <t>1620/5208</t>
  </si>
  <si>
    <t>1620/5209</t>
  </si>
  <si>
    <t>1620/5211</t>
  </si>
  <si>
    <t>1620/5215</t>
  </si>
  <si>
    <t>1620/5226</t>
  </si>
  <si>
    <t>1620/5236</t>
  </si>
  <si>
    <t>1620/5237</t>
  </si>
  <si>
    <t>1620/5238</t>
  </si>
  <si>
    <t>1620/5241</t>
  </si>
  <si>
    <t>1620/5245</t>
  </si>
  <si>
    <t>1620/5247</t>
  </si>
  <si>
    <t>1620/5248</t>
  </si>
  <si>
    <t>1620/5257</t>
  </si>
  <si>
    <t>1620/5260</t>
  </si>
  <si>
    <t>1620/5261</t>
  </si>
  <si>
    <t>1620/5262</t>
  </si>
  <si>
    <t>1620/5270</t>
  </si>
  <si>
    <t>1620/5271</t>
  </si>
  <si>
    <t>1620/5278</t>
  </si>
  <si>
    <t>1620/5282</t>
  </si>
  <si>
    <t>1620/5288</t>
  </si>
  <si>
    <t>1620/5289</t>
  </si>
  <si>
    <t>1620/5308</t>
  </si>
  <si>
    <t>1620/5431</t>
  </si>
  <si>
    <t>1620/5480</t>
  </si>
  <si>
    <t>1620/5504</t>
  </si>
  <si>
    <t>1620/5626</t>
  </si>
  <si>
    <t>1620/5702</t>
  </si>
  <si>
    <t>1620/5707</t>
  </si>
  <si>
    <t>1620/5711</t>
  </si>
  <si>
    <t>1620/5714</t>
  </si>
  <si>
    <t>1620/5716</t>
  </si>
  <si>
    <t>1620/5724</t>
  </si>
  <si>
    <t>1620/5725</t>
  </si>
  <si>
    <t>1620/5726</t>
  </si>
  <si>
    <t>1620/5733</t>
  </si>
  <si>
    <t>1620/5740</t>
  </si>
  <si>
    <t>1620/5742</t>
  </si>
  <si>
    <t>1620/5743</t>
  </si>
  <si>
    <t>1620/5749</t>
  </si>
  <si>
    <t>1620/5751</t>
  </si>
  <si>
    <t>1620/5757</t>
  </si>
  <si>
    <t>1620/5759</t>
  </si>
  <si>
    <t>1620/5760</t>
  </si>
  <si>
    <t>1620/5762</t>
  </si>
  <si>
    <t>1620/5764</t>
  </si>
  <si>
    <t>1620/5765</t>
  </si>
  <si>
    <t>1620/5766</t>
  </si>
  <si>
    <t>1620/5767</t>
  </si>
  <si>
    <t>1620/5768</t>
  </si>
  <si>
    <t>1620/5769</t>
  </si>
  <si>
    <t>1620/5771</t>
  </si>
  <si>
    <t>1620/5786</t>
  </si>
  <si>
    <t>1620/5787</t>
  </si>
  <si>
    <t>1620/5788</t>
  </si>
  <si>
    <t>1620/5801</t>
  </si>
  <si>
    <t>1620/5804</t>
  </si>
  <si>
    <t>1620/5806</t>
  </si>
  <si>
    <t>1620/5809</t>
  </si>
  <si>
    <t>1620/5810</t>
  </si>
  <si>
    <t>1620/5811</t>
  </si>
  <si>
    <t>1620/5813</t>
  </si>
  <si>
    <t>1620/5814</t>
  </si>
  <si>
    <t>1620/5816</t>
  </si>
  <si>
    <t>1620/5818</t>
  </si>
  <si>
    <t>1620/5819</t>
  </si>
  <si>
    <t>1620/5823</t>
  </si>
  <si>
    <t>1620/5825</t>
  </si>
  <si>
    <t>1620/5830</t>
  </si>
  <si>
    <t>1620/5831</t>
  </si>
  <si>
    <t>1620/5833</t>
  </si>
  <si>
    <t>1620/5836</t>
  </si>
  <si>
    <t>1620/5838</t>
  </si>
  <si>
    <t>1620/5841</t>
  </si>
  <si>
    <t>1620/5842</t>
  </si>
  <si>
    <t>1620/5843</t>
  </si>
  <si>
    <t>1620/5844</t>
  </si>
  <si>
    <t>1620/5845</t>
  </si>
  <si>
    <t>1620/5846</t>
  </si>
  <si>
    <t>1620/5850</t>
  </si>
  <si>
    <t>1620/5851</t>
  </si>
  <si>
    <t>1620/5852</t>
  </si>
  <si>
    <t>1620/5855</t>
  </si>
  <si>
    <t>1620/5857</t>
  </si>
  <si>
    <t>1620/5858</t>
  </si>
  <si>
    <t>1620/5859</t>
  </si>
  <si>
    <t>1620/5860</t>
  </si>
  <si>
    <t>1620/5863</t>
  </si>
  <si>
    <t>1620/5864</t>
  </si>
  <si>
    <t>1620/5865</t>
  </si>
  <si>
    <t>1620/5869</t>
  </si>
  <si>
    <t>1620/5870</t>
  </si>
  <si>
    <t>1620/5872</t>
  </si>
  <si>
    <t>1620/5875</t>
  </si>
  <si>
    <t>1620/5880</t>
  </si>
  <si>
    <t>1620/5881</t>
  </si>
  <si>
    <t>1620/5882</t>
  </si>
  <si>
    <t>1620/5883</t>
  </si>
  <si>
    <t>1620/5884</t>
  </si>
  <si>
    <t>1620/5899</t>
  </si>
  <si>
    <t>1620/5904</t>
  </si>
  <si>
    <t>1620/5921</t>
  </si>
  <si>
    <t>1620/5922</t>
  </si>
  <si>
    <t>1620/5923</t>
  </si>
  <si>
    <t>1620/5925</t>
  </si>
  <si>
    <t>1620/5926</t>
  </si>
  <si>
    <t>1620/5927</t>
  </si>
  <si>
    <t>1620/5929</t>
  </si>
  <si>
    <t>1620/5937</t>
  </si>
  <si>
    <t>1620/5942</t>
  </si>
  <si>
    <t>1620/5945</t>
  </si>
  <si>
    <t>1620/5946</t>
  </si>
  <si>
    <t>1620/5948</t>
  </si>
  <si>
    <t>1620/5950</t>
  </si>
  <si>
    <t>1620/5952</t>
  </si>
  <si>
    <t>1620/5953</t>
  </si>
  <si>
    <t>1620/5955</t>
  </si>
  <si>
    <t>1620/5961</t>
  </si>
  <si>
    <t>1620/5962</t>
  </si>
  <si>
    <t>1620/5970</t>
  </si>
  <si>
    <t>1620/5973</t>
  </si>
  <si>
    <t>1620/5974</t>
  </si>
  <si>
    <t>1620/5979</t>
  </si>
  <si>
    <t>1620/5980</t>
  </si>
  <si>
    <t>1620/5983</t>
  </si>
  <si>
    <t>1620/5987</t>
  </si>
  <si>
    <t>1620/5989</t>
  </si>
  <si>
    <t>1620/5991</t>
  </si>
  <si>
    <t>1620/5993</t>
  </si>
  <si>
    <t>1620/5994</t>
  </si>
  <si>
    <t>1620/5995</t>
  </si>
  <si>
    <t>1620/5996</t>
  </si>
  <si>
    <t>1620/5999</t>
  </si>
  <si>
    <t>1620/6002</t>
  </si>
  <si>
    <t>1620/6003</t>
  </si>
  <si>
    <t>1620/6006</t>
  </si>
  <si>
    <t>1620/6007</t>
  </si>
  <si>
    <t>1620/6014</t>
  </si>
  <si>
    <t>1620/6015</t>
  </si>
  <si>
    <t>1620/6016</t>
  </si>
  <si>
    <t>1620/6018</t>
  </si>
  <si>
    <t>1620/6021</t>
  </si>
  <si>
    <t>1620/6024</t>
  </si>
  <si>
    <t>1620/6032</t>
  </si>
  <si>
    <t>1620/6033</t>
  </si>
  <si>
    <t>1620/6034</t>
  </si>
  <si>
    <t>1620/6043</t>
  </si>
  <si>
    <t>1620/6045</t>
  </si>
  <si>
    <t>1620/6051</t>
  </si>
  <si>
    <t>1620/6053</t>
  </si>
  <si>
    <t>1620/6103</t>
  </si>
  <si>
    <t>1620/6104</t>
  </si>
  <si>
    <t>1620/6106</t>
  </si>
  <si>
    <t>1620/6109</t>
  </si>
  <si>
    <t>1620/6110</t>
  </si>
  <si>
    <t>1620/6115</t>
  </si>
  <si>
    <t>1620/6116</t>
  </si>
  <si>
    <t>1620/6119</t>
  </si>
  <si>
    <t>1620/6120</t>
  </si>
  <si>
    <t>1620/6124</t>
  </si>
  <si>
    <t>1620/6132</t>
  </si>
  <si>
    <t>1620/6136</t>
  </si>
  <si>
    <t>1620/6138</t>
  </si>
  <si>
    <t>1620/6144</t>
  </si>
  <si>
    <t>1620/6145</t>
  </si>
  <si>
    <t>1620/6146</t>
  </si>
  <si>
    <t>1620/6149</t>
  </si>
  <si>
    <t>1620/6153</t>
  </si>
  <si>
    <t>1620/6156</t>
  </si>
  <si>
    <t>1620/6157</t>
  </si>
  <si>
    <t>1620/6161</t>
  </si>
  <si>
    <t>1620/6168</t>
  </si>
  <si>
    <t>1620/6179</t>
  </si>
  <si>
    <t>1620/6180</t>
  </si>
  <si>
    <t>1620/6181</t>
  </si>
  <si>
    <t>1620/6182</t>
  </si>
  <si>
    <t>1620/6184</t>
  </si>
  <si>
    <t>1620/6186</t>
  </si>
  <si>
    <t>1620/6190</t>
  </si>
  <si>
    <t>1620/6191</t>
  </si>
  <si>
    <t>1620/6193</t>
  </si>
  <si>
    <t>1620/6202</t>
  </si>
  <si>
    <t>1620/6205</t>
  </si>
  <si>
    <t>1620/6209</t>
  </si>
  <si>
    <t>1620/6210</t>
  </si>
  <si>
    <t>1620/6219</t>
  </si>
  <si>
    <t>1620/6225</t>
  </si>
  <si>
    <t>1620/6227</t>
  </si>
  <si>
    <t>1620/6232</t>
  </si>
  <si>
    <t>1620/6234</t>
  </si>
  <si>
    <t>1620/6235</t>
  </si>
  <si>
    <t>1620/6236</t>
  </si>
  <si>
    <t>1620/6240</t>
  </si>
  <si>
    <t>1620/6250</t>
  </si>
  <si>
    <t>1620/6258</t>
  </si>
  <si>
    <t>1620/6259</t>
  </si>
  <si>
    <t>1620/6269</t>
  </si>
  <si>
    <t>1620/6272</t>
  </si>
  <si>
    <t>1620/6274</t>
  </si>
  <si>
    <t>1620/6285</t>
  </si>
  <si>
    <t>1620/6286</t>
  </si>
  <si>
    <t>1620/6287</t>
  </si>
  <si>
    <t>1620/6294</t>
  </si>
  <si>
    <t>1620/6296</t>
  </si>
  <si>
    <t>1620/6304</t>
  </si>
  <si>
    <t>1620/6305</t>
  </si>
  <si>
    <t>1620/6308</t>
  </si>
  <si>
    <t>1620/6313</t>
  </si>
  <si>
    <t>1620/6322</t>
  </si>
  <si>
    <t>1620/6323</t>
  </si>
  <si>
    <t>1620/6324</t>
  </si>
  <si>
    <t>1620/6331</t>
  </si>
  <si>
    <t>1620/6335</t>
  </si>
  <si>
    <t>1620/6340</t>
  </si>
  <si>
    <t>1620/6353</t>
  </si>
  <si>
    <t>1620/6361</t>
  </si>
  <si>
    <t>1620/6367</t>
  </si>
  <si>
    <t>1620/6374</t>
  </si>
  <si>
    <t>1620/6395</t>
  </si>
  <si>
    <t>1620/6396</t>
  </si>
  <si>
    <t>1620/6397</t>
  </si>
  <si>
    <t>1620/6400</t>
  </si>
  <si>
    <t>1620/6402</t>
  </si>
  <si>
    <t>1620/6404</t>
  </si>
  <si>
    <t>1620/6406</t>
  </si>
  <si>
    <t>1620/6408</t>
  </si>
  <si>
    <t>1620/6409</t>
  </si>
  <si>
    <t>1620/6413</t>
  </si>
  <si>
    <t>1620/6415</t>
  </si>
  <si>
    <t>1620/6416</t>
  </si>
  <si>
    <t>1620/6418</t>
  </si>
  <si>
    <t>1620/6421</t>
  </si>
  <si>
    <t>1620/6422</t>
  </si>
  <si>
    <t>1620/6424</t>
  </si>
  <si>
    <t>1620/6425</t>
  </si>
  <si>
    <t>1620/6432</t>
  </si>
  <si>
    <t>1620/6433</t>
  </si>
  <si>
    <t>1620/6436</t>
  </si>
  <si>
    <t>1620/6441</t>
  </si>
  <si>
    <t>1620/6448</t>
  </si>
  <si>
    <t>1620/6451</t>
  </si>
  <si>
    <t>1620/6452</t>
  </si>
  <si>
    <t>1620/6453</t>
  </si>
  <si>
    <t>1620/6454</t>
  </si>
  <si>
    <t>1620/6455</t>
  </si>
  <si>
    <t>1620/6456</t>
  </si>
  <si>
    <t>1620/6457</t>
  </si>
  <si>
    <t>1620/6476</t>
  </si>
  <si>
    <t>1620/6477</t>
  </si>
  <si>
    <t>1620/6480</t>
  </si>
  <si>
    <t>1620/6483</t>
  </si>
  <si>
    <t>1620/6500</t>
  </si>
  <si>
    <t>1620/6503</t>
  </si>
  <si>
    <t>1620/6505</t>
  </si>
  <si>
    <t>1620/6518</t>
  </si>
  <si>
    <t>1620/6520</t>
  </si>
  <si>
    <t>1620/6521</t>
  </si>
  <si>
    <t>1620/6522</t>
  </si>
  <si>
    <t>1620/6524</t>
  </si>
  <si>
    <t>1620/6526</t>
  </si>
  <si>
    <t>1620/6527</t>
  </si>
  <si>
    <t>1620/6529</t>
  </si>
  <si>
    <t>1620/6530</t>
  </si>
  <si>
    <t>1620/6532</t>
  </si>
  <si>
    <t>1620/6534</t>
  </si>
  <si>
    <t>1620/6535</t>
  </si>
  <si>
    <t>1620/6536</t>
  </si>
  <si>
    <t>1620/6537</t>
  </si>
  <si>
    <t>1620/6540</t>
  </si>
  <si>
    <t>1620/6541</t>
  </si>
  <si>
    <t>1620/6542</t>
  </si>
  <si>
    <t>1620/6544</t>
  </si>
  <si>
    <t>1620/6545</t>
  </si>
  <si>
    <t>1620/6546</t>
  </si>
  <si>
    <t>1620/6548</t>
  </si>
  <si>
    <t>1620/6549</t>
  </si>
  <si>
    <t>1620/6554</t>
  </si>
  <si>
    <t>1620/6556</t>
  </si>
  <si>
    <t>1620/6566</t>
  </si>
  <si>
    <t>1620/6571</t>
  </si>
  <si>
    <t>1620/6572</t>
  </si>
  <si>
    <t>1620/6577</t>
  </si>
  <si>
    <t>1620/6578</t>
  </si>
  <si>
    <t>1620/6579</t>
  </si>
  <si>
    <t>1620/6583</t>
  </si>
  <si>
    <t>1620/6592</t>
  </si>
  <si>
    <t>1620/6593</t>
  </si>
  <si>
    <t>1620/6596</t>
  </si>
  <si>
    <t>1620/6598</t>
  </si>
  <si>
    <t>1620/6599</t>
  </si>
  <si>
    <t>1620/6601</t>
  </si>
  <si>
    <t>1620/6602</t>
  </si>
  <si>
    <t>1620/6613</t>
  </si>
  <si>
    <t>1620/6615</t>
  </si>
  <si>
    <t>1620/6617</t>
  </si>
  <si>
    <t>1620/6619</t>
  </si>
  <si>
    <t>1620/6621</t>
  </si>
  <si>
    <t>1620/6622</t>
  </si>
  <si>
    <t>1620/6626</t>
  </si>
  <si>
    <t>1620/6627</t>
  </si>
  <si>
    <t>1620/6629</t>
  </si>
  <si>
    <t>1620/6630</t>
  </si>
  <si>
    <t>1620/6631</t>
  </si>
  <si>
    <t>1620/6633</t>
  </si>
  <si>
    <t>1620/6637</t>
  </si>
  <si>
    <t>1620/6638</t>
  </si>
  <si>
    <t>1620/6646</t>
  </si>
  <si>
    <t>1620/6647</t>
  </si>
  <si>
    <t>1620/6650</t>
  </si>
  <si>
    <t>1620/6659</t>
  </si>
  <si>
    <t>1620/6838</t>
  </si>
  <si>
    <t>1620/6866</t>
  </si>
  <si>
    <t>1620/6868</t>
  </si>
  <si>
    <t>1620/6870</t>
  </si>
  <si>
    <t>1620/6876</t>
  </si>
  <si>
    <t>1620/6878</t>
  </si>
  <si>
    <t>1620/6881</t>
  </si>
  <si>
    <t>1620/6882</t>
  </si>
  <si>
    <t>1620/6883</t>
  </si>
  <si>
    <t>1620/6885</t>
  </si>
  <si>
    <t>1620/6892</t>
  </si>
  <si>
    <t>1620/6899</t>
  </si>
  <si>
    <t>1620/6951</t>
  </si>
  <si>
    <t>1620/6952</t>
  </si>
  <si>
    <t>1620/6954</t>
  </si>
  <si>
    <t>1620/6960</t>
  </si>
  <si>
    <t>1620/6962</t>
  </si>
  <si>
    <t>1620/6964</t>
  </si>
  <si>
    <t>1620/7412</t>
  </si>
  <si>
    <t>1620/7413</t>
  </si>
  <si>
    <t>1620/7426</t>
  </si>
  <si>
    <t>1620/7429</t>
  </si>
  <si>
    <t>1620/7430</t>
  </si>
  <si>
    <t>1620/7433</t>
  </si>
  <si>
    <t>1620/7434</t>
  </si>
  <si>
    <t>1620/7435</t>
  </si>
  <si>
    <t>1620/7436</t>
  </si>
  <si>
    <t>1620/7438</t>
  </si>
  <si>
    <t>1620/7439</t>
  </si>
  <si>
    <t>1620/7440</t>
  </si>
  <si>
    <t>1620/7441</t>
  </si>
  <si>
    <t>1620/7442</t>
  </si>
  <si>
    <t>1620/7443</t>
  </si>
  <si>
    <t>1620/7444</t>
  </si>
  <si>
    <t>1620/7448</t>
  </si>
  <si>
    <t>1620/7449</t>
  </si>
  <si>
    <t>1620/7450</t>
  </si>
  <si>
    <t>1620/7451</t>
  </si>
  <si>
    <t>1620/7456</t>
  </si>
  <si>
    <t>1620/7460</t>
  </si>
  <si>
    <t>1620/7462</t>
  </si>
  <si>
    <t>1620/7464</t>
  </si>
  <si>
    <t>1620/7466</t>
  </si>
  <si>
    <t>1620/7467</t>
  </si>
  <si>
    <t>1620/7470</t>
  </si>
  <si>
    <t>1620/7473</t>
  </si>
  <si>
    <t>1620/7474</t>
  </si>
  <si>
    <t>1620/7475</t>
  </si>
  <si>
    <t>1620/7479</t>
  </si>
  <si>
    <t>1620/7481</t>
  </si>
  <si>
    <t>1620/7482</t>
  </si>
  <si>
    <t>1620/7483</t>
  </si>
  <si>
    <t>1620/7484</t>
  </si>
  <si>
    <t>1620/7486</t>
  </si>
  <si>
    <t>1620/7487</t>
  </si>
  <si>
    <t>1620/7488</t>
  </si>
  <si>
    <t>1620/7490</t>
  </si>
  <si>
    <t>1620/7491</t>
  </si>
  <si>
    <t>1620/7495</t>
  </si>
  <si>
    <t>1620/7497</t>
  </si>
  <si>
    <t>1620/7500</t>
  </si>
  <si>
    <t>1620/7509</t>
  </si>
  <si>
    <t>1620/7510</t>
  </si>
  <si>
    <t>1620/7513</t>
  </si>
  <si>
    <t>1620/7515</t>
  </si>
  <si>
    <t>1620/7516</t>
  </si>
  <si>
    <t>1620/7521</t>
  </si>
  <si>
    <t>1620/7526</t>
  </si>
  <si>
    <t>1620/7531</t>
  </si>
  <si>
    <t>1620/7536</t>
  </si>
  <si>
    <t>1620/7537</t>
  </si>
  <si>
    <t>1620/7540</t>
  </si>
  <si>
    <t>1620/7556</t>
  </si>
  <si>
    <t>1620/7560</t>
  </si>
  <si>
    <t>1620/7567</t>
  </si>
  <si>
    <t>1620/7576</t>
  </si>
  <si>
    <t>1620/7588</t>
  </si>
  <si>
    <t>1620/7590</t>
  </si>
  <si>
    <t>1620/7592</t>
  </si>
  <si>
    <t>1620/7593</t>
  </si>
  <si>
    <t>1620/7603</t>
  </si>
  <si>
    <t>1620/7609</t>
  </si>
  <si>
    <t>1620/7610</t>
  </si>
  <si>
    <t>1620/7651</t>
  </si>
  <si>
    <t>1620/7688</t>
  </si>
  <si>
    <t>1620/7701</t>
  </si>
  <si>
    <t>1620/7705</t>
  </si>
  <si>
    <t>1620/7706</t>
  </si>
  <si>
    <t>1620/7711</t>
  </si>
  <si>
    <t>1620/7723</t>
  </si>
  <si>
    <t>1620/7725</t>
  </si>
  <si>
    <t>1620/7729</t>
  </si>
  <si>
    <t>1620/7735</t>
  </si>
  <si>
    <t>1620/7737</t>
  </si>
  <si>
    <t>1620/7738</t>
  </si>
  <si>
    <t>1620/7739</t>
  </si>
  <si>
    <t>1620/7740</t>
  </si>
  <si>
    <t>1620/7741</t>
  </si>
  <si>
    <t>1620/7742</t>
  </si>
  <si>
    <t>1620/7744</t>
  </si>
  <si>
    <t>1620/7746</t>
  </si>
  <si>
    <t>1620/7747</t>
  </si>
  <si>
    <t>1620/7750</t>
  </si>
  <si>
    <t>1620/7753</t>
  </si>
  <si>
    <t>1620/7759</t>
  </si>
  <si>
    <t>1620/7761</t>
  </si>
  <si>
    <t>1620/7762</t>
  </si>
  <si>
    <t>1620/7764</t>
  </si>
  <si>
    <t>1620/7771</t>
  </si>
  <si>
    <t>1620/7773</t>
  </si>
  <si>
    <t>1620/7774</t>
  </si>
  <si>
    <t>1620/7775</t>
  </si>
  <si>
    <t>1620/7778</t>
  </si>
  <si>
    <t>1620/7780</t>
  </si>
  <si>
    <t>1620/7781</t>
  </si>
  <si>
    <t>1620/7782</t>
  </si>
  <si>
    <t>1620/7783</t>
  </si>
  <si>
    <t>1620/7784</t>
  </si>
  <si>
    <t>1620/7786</t>
  </si>
  <si>
    <t>1620/7791</t>
  </si>
  <si>
    <t>1620/7792</t>
  </si>
  <si>
    <t>1620/7794</t>
  </si>
  <si>
    <t>1620/7796</t>
  </si>
  <si>
    <t>1620/7801</t>
  </si>
  <si>
    <t>1620/7807</t>
  </si>
  <si>
    <t>1620/7816</t>
  </si>
  <si>
    <t>1620/7820</t>
  </si>
  <si>
    <t>1620/7821</t>
  </si>
  <si>
    <t>1620/7824</t>
  </si>
  <si>
    <t>1620/7826</t>
  </si>
  <si>
    <t>1620/7830</t>
  </si>
  <si>
    <t>1620/7832</t>
  </si>
  <si>
    <t>1620/7834</t>
  </si>
  <si>
    <t>1620/7835</t>
  </si>
  <si>
    <t>1620/7836</t>
  </si>
  <si>
    <t>1620/7840</t>
  </si>
  <si>
    <t>1620/7841</t>
  </si>
  <si>
    <t>1620/7842</t>
  </si>
  <si>
    <t>1620/7844</t>
  </si>
  <si>
    <t>1620/7845</t>
  </si>
  <si>
    <t>1620/7864</t>
  </si>
  <si>
    <t>1620/7875</t>
  </si>
  <si>
    <t>1620/7883</t>
  </si>
  <si>
    <t>1620/7905</t>
  </si>
  <si>
    <t>1620/7908</t>
  </si>
  <si>
    <t>1620/7910</t>
  </si>
  <si>
    <t>1620/7913</t>
  </si>
  <si>
    <t>1620/7914</t>
  </si>
  <si>
    <t>1620/7915</t>
  </si>
  <si>
    <t>1620/7916</t>
  </si>
  <si>
    <t>1620/7917</t>
  </si>
  <si>
    <t>1620/7922</t>
  </si>
  <si>
    <t>1620/7923</t>
  </si>
  <si>
    <t>1620/7924</t>
  </si>
  <si>
    <t>1620/7925</t>
  </si>
  <si>
    <t>1620/7926</t>
  </si>
  <si>
    <t>1620/7930</t>
  </si>
  <si>
    <t>1620/7943</t>
  </si>
  <si>
    <t>1620/7948</t>
  </si>
  <si>
    <t>1620/7949</t>
  </si>
  <si>
    <t>1620/7959</t>
  </si>
  <si>
    <t>1620/7960</t>
  </si>
  <si>
    <t>1620/7961</t>
  </si>
  <si>
    <t>1620/7962</t>
  </si>
  <si>
    <t>1620/7963</t>
  </si>
  <si>
    <t>1620/7966</t>
  </si>
  <si>
    <t>1620/7967</t>
  </si>
  <si>
    <t>1620/7968</t>
  </si>
  <si>
    <t>1620/7973</t>
  </si>
  <si>
    <t>1620/7974</t>
  </si>
  <si>
    <t>1620/7981</t>
  </si>
  <si>
    <t>1620/7983</t>
  </si>
  <si>
    <t>1620/7995</t>
  </si>
  <si>
    <t>1620/7996</t>
  </si>
  <si>
    <t>1620/8012</t>
  </si>
  <si>
    <t>1620/8015</t>
  </si>
  <si>
    <t>1620/8016</t>
  </si>
  <si>
    <t>1620/8018</t>
  </si>
  <si>
    <t>1620/8022</t>
  </si>
  <si>
    <t>1620/8023</t>
  </si>
  <si>
    <t>1620/8032</t>
  </si>
  <si>
    <t>1620/8033</t>
  </si>
  <si>
    <t>1620/8036</t>
  </si>
  <si>
    <t>1620/8037</t>
  </si>
  <si>
    <t>1620/8038</t>
  </si>
  <si>
    <t>1620/8039</t>
  </si>
  <si>
    <t>1620/8042</t>
  </si>
  <si>
    <t>1620/8043</t>
  </si>
  <si>
    <t>1620/8046</t>
  </si>
  <si>
    <t>1620/8048</t>
  </si>
  <si>
    <t>1620/8054</t>
  </si>
  <si>
    <t>1620/8071</t>
  </si>
  <si>
    <t>1620/8072</t>
  </si>
  <si>
    <t>1620/8074</t>
  </si>
  <si>
    <t>1620/8075</t>
  </si>
  <si>
    <t>1620/8078</t>
  </si>
  <si>
    <t>1620/8079</t>
  </si>
  <si>
    <t>1620/8080</t>
  </si>
  <si>
    <t>1620/8081</t>
  </si>
  <si>
    <t>1620/8092</t>
  </si>
  <si>
    <t>1620/8093</t>
  </si>
  <si>
    <t>1620/8094</t>
  </si>
  <si>
    <t>1620/8095</t>
  </si>
  <si>
    <t>1620/8096</t>
  </si>
  <si>
    <t>1620/8097</t>
  </si>
  <si>
    <t>1620/8098</t>
  </si>
  <si>
    <t>1620/8099</t>
  </si>
  <si>
    <t>1620/8100</t>
  </si>
  <si>
    <t>1620/8101</t>
  </si>
  <si>
    <t>1620/8102</t>
  </si>
  <si>
    <t>1620/8103</t>
  </si>
  <si>
    <t>1620/8104</t>
  </si>
  <si>
    <t>1620/8105</t>
  </si>
  <si>
    <t>1620/8106</t>
  </si>
  <si>
    <t>1620/8107</t>
  </si>
  <si>
    <t>1620/8108</t>
  </si>
  <si>
    <t>1620/8111</t>
  </si>
  <si>
    <t>1620/8115</t>
  </si>
  <si>
    <t>1620/8117</t>
  </si>
  <si>
    <t>1620/8118</t>
  </si>
  <si>
    <t>1620/8124</t>
  </si>
  <si>
    <t>1620/8125</t>
  </si>
  <si>
    <t>1620/8126</t>
  </si>
  <si>
    <t>1620/8128</t>
  </si>
  <si>
    <t>1620/8130</t>
  </si>
  <si>
    <t>1620/8131</t>
  </si>
  <si>
    <t>1620/8137</t>
  </si>
  <si>
    <t>1620/8138</t>
  </si>
  <si>
    <t>1620/8139</t>
  </si>
  <si>
    <t>1620/8141</t>
  </si>
  <si>
    <t>1620/8142</t>
  </si>
  <si>
    <t>1620/8143</t>
  </si>
  <si>
    <t>1620/8147</t>
  </si>
  <si>
    <t>1620/8149</t>
  </si>
  <si>
    <t>1620/8150</t>
  </si>
  <si>
    <t>1620/8151</t>
  </si>
  <si>
    <t>1620/8152</t>
  </si>
  <si>
    <t>1620/8155</t>
  </si>
  <si>
    <t>1620/8156</t>
  </si>
  <si>
    <t>1620/8157</t>
  </si>
  <si>
    <t>1620/8158</t>
  </si>
  <si>
    <t>1620/8159</t>
  </si>
  <si>
    <t>1620/8160</t>
  </si>
  <si>
    <t>1620/8162</t>
  </si>
  <si>
    <t>1620/8163</t>
  </si>
  <si>
    <t>1620/8164</t>
  </si>
  <si>
    <t>1620/8165</t>
  </si>
  <si>
    <t>1620/8166</t>
  </si>
  <si>
    <t>1620/8167</t>
  </si>
  <si>
    <t>1620/8168</t>
  </si>
  <si>
    <t>1620/8172</t>
  </si>
  <si>
    <t>1620/8173</t>
  </si>
  <si>
    <t>1620/8174</t>
  </si>
  <si>
    <t>1620/8175</t>
  </si>
  <si>
    <t>1620/8176</t>
  </si>
  <si>
    <t>1620/8177</t>
  </si>
  <si>
    <t>1620/8178</t>
  </si>
  <si>
    <t>1620/8179</t>
  </si>
  <si>
    <t>1620/8181</t>
  </si>
  <si>
    <t>1620/8182</t>
  </si>
  <si>
    <t>1620/8183</t>
  </si>
  <si>
    <t>1620/8184</t>
  </si>
  <si>
    <t>1620/8185</t>
  </si>
  <si>
    <t>1620/8186</t>
  </si>
  <si>
    <t>1620/8189</t>
  </si>
  <si>
    <t>1620/8191</t>
  </si>
  <si>
    <t>1620/8193</t>
  </si>
  <si>
    <t>1620/8196</t>
  </si>
  <si>
    <t>1620/8197</t>
  </si>
  <si>
    <t>1620/8199</t>
  </si>
  <si>
    <t>1620/8200</t>
  </si>
  <si>
    <t>1620/8213</t>
  </si>
  <si>
    <t>1620/8214</t>
  </si>
  <si>
    <t>1620/8215</t>
  </si>
  <si>
    <t>1620/8292</t>
  </si>
  <si>
    <t>1620/8300</t>
  </si>
  <si>
    <t>1620/8319</t>
  </si>
  <si>
    <t>1620/8320</t>
  </si>
  <si>
    <t>1620/8321</t>
  </si>
  <si>
    <t>1620/8322</t>
  </si>
  <si>
    <t>1620/8323</t>
  </si>
  <si>
    <t>1620/8327</t>
  </si>
  <si>
    <t>1620/8328</t>
  </si>
  <si>
    <t>1620/8329</t>
  </si>
  <si>
    <t>1620/8330</t>
  </si>
  <si>
    <t>1620/8332</t>
  </si>
  <si>
    <t>1620/8333</t>
  </si>
  <si>
    <t>1620/8334</t>
  </si>
  <si>
    <t>1620/8335</t>
  </si>
  <si>
    <t>1620/8346</t>
  </si>
  <si>
    <t>1620/8347</t>
  </si>
  <si>
    <t>1620/8350</t>
  </si>
  <si>
    <t>1620/8382</t>
  </si>
  <si>
    <t>1620/8390</t>
  </si>
  <si>
    <t>1620/8405</t>
  </si>
  <si>
    <t>1620/8406</t>
  </si>
  <si>
    <t>1620/8407</t>
  </si>
  <si>
    <t>1620/8408</t>
  </si>
  <si>
    <t>1620/8409</t>
  </si>
  <si>
    <t>1620/8411</t>
  </si>
  <si>
    <t>1620/8412</t>
  </si>
  <si>
    <t>1620/8413</t>
  </si>
  <si>
    <t>1620/8414</t>
  </si>
  <si>
    <t>1620/8417</t>
  </si>
  <si>
    <t>1620/8418</t>
  </si>
  <si>
    <t>1620/8422</t>
  </si>
  <si>
    <t>1620/8425</t>
  </si>
  <si>
    <t>1620/8426</t>
  </si>
  <si>
    <t>1620/8429</t>
  </si>
  <si>
    <t>1620/8430</t>
  </si>
  <si>
    <t>1620/8432</t>
  </si>
  <si>
    <t>1620/8436</t>
  </si>
  <si>
    <t>1620/8437</t>
  </si>
  <si>
    <t>1620/8438</t>
  </si>
  <si>
    <t>1620/8439</t>
  </si>
  <si>
    <t>1620/8444</t>
  </si>
  <si>
    <t>1620/8448</t>
  </si>
  <si>
    <t>1620/8449</t>
  </si>
  <si>
    <t>1620/8450</t>
  </si>
  <si>
    <t>1620/8452</t>
  </si>
  <si>
    <t>1620/8453</t>
  </si>
  <si>
    <t>1620/8454</t>
  </si>
  <si>
    <t>1620/8455</t>
  </si>
  <si>
    <t>1620/8456</t>
  </si>
  <si>
    <t>1620/8457</t>
  </si>
  <si>
    <t>1620/8458</t>
  </si>
  <si>
    <t>1620/8459</t>
  </si>
  <si>
    <t>1620/8463</t>
  </si>
  <si>
    <t>1620/8464</t>
  </si>
  <si>
    <t>1620/8470</t>
  </si>
  <si>
    <t>1620/8471</t>
  </si>
  <si>
    <t>1620/8474</t>
  </si>
  <si>
    <t>1620/8475</t>
  </si>
  <si>
    <t>1620/8476</t>
  </si>
  <si>
    <t>1620/8484</t>
  </si>
  <si>
    <t>1620/8485</t>
  </si>
  <si>
    <t>1620/8486</t>
  </si>
  <si>
    <t>1620/8490</t>
  </si>
  <si>
    <t>1620/8494</t>
  </si>
  <si>
    <t>1620/8495</t>
  </si>
  <si>
    <t>1620/8496</t>
  </si>
  <si>
    <t>1620/8497</t>
  </si>
  <si>
    <t>1620/8498</t>
  </si>
  <si>
    <t>1620/8499</t>
  </si>
  <si>
    <t>1620/8504</t>
  </si>
  <si>
    <t>1620/8505</t>
  </si>
  <si>
    <t>1620/8506</t>
  </si>
  <si>
    <t>1620/8507</t>
  </si>
  <si>
    <t>1620/8508</t>
  </si>
  <si>
    <t>1620/8509</t>
  </si>
  <si>
    <t>1620/8510</t>
  </si>
  <si>
    <t>1620/8512</t>
  </si>
  <si>
    <t>1620/8514</t>
  </si>
  <si>
    <t>1620/8515</t>
  </si>
  <si>
    <t>1620/8516</t>
  </si>
  <si>
    <t>1620/8517</t>
  </si>
  <si>
    <t>1620/8518</t>
  </si>
  <si>
    <t>1620/8520</t>
  </si>
  <si>
    <t>1620/8522</t>
  </si>
  <si>
    <t>1620/8523</t>
  </si>
  <si>
    <t>1620/8528</t>
  </si>
  <si>
    <t>1620/8530</t>
  </si>
  <si>
    <t>1620/8533</t>
  </si>
  <si>
    <t>1620/8536</t>
  </si>
  <si>
    <t>1620/8539</t>
  </si>
  <si>
    <t>1620/8541</t>
  </si>
  <si>
    <t>1620/8542</t>
  </si>
  <si>
    <t>1620/8544</t>
  </si>
  <si>
    <t>1620/8545</t>
  </si>
  <si>
    <t>1620/8546</t>
  </si>
  <si>
    <t>1620/8547</t>
  </si>
  <si>
    <t>1620/8549</t>
  </si>
  <si>
    <t>1620/8553</t>
  </si>
  <si>
    <t>1620/8554</t>
  </si>
  <si>
    <t>1620/8555</t>
  </si>
  <si>
    <t>1620/8556</t>
  </si>
  <si>
    <t>1620/8557</t>
  </si>
  <si>
    <t>1620/8558</t>
  </si>
  <si>
    <t>1620/8559</t>
  </si>
  <si>
    <t>1620/8560</t>
  </si>
  <si>
    <t>1620/8563</t>
  </si>
  <si>
    <t>1620/8564</t>
  </si>
  <si>
    <t>1620/8565</t>
  </si>
  <si>
    <t>1620/8568</t>
  </si>
  <si>
    <t>1620/8575</t>
  </si>
  <si>
    <t>1620/8578</t>
  </si>
  <si>
    <t>1620/8579</t>
  </si>
  <si>
    <t>1620/8580</t>
  </si>
  <si>
    <t>1620/8581</t>
  </si>
  <si>
    <t>1620/8582</t>
  </si>
  <si>
    <t>1620/8583</t>
  </si>
  <si>
    <t>1620/8584</t>
  </si>
  <si>
    <t>1620/8595</t>
  </si>
  <si>
    <t>1620/8598</t>
  </si>
  <si>
    <t>1620/8599</t>
  </si>
  <si>
    <t>1620/8608</t>
  </si>
  <si>
    <t>1620/8609</t>
  </si>
  <si>
    <t>1620/8613</t>
  </si>
  <si>
    <t>1620/8614</t>
  </si>
  <si>
    <t>1620/8617</t>
  </si>
  <si>
    <t>1620/8626</t>
  </si>
  <si>
    <t>1620/8627</t>
  </si>
  <si>
    <t>1620/8629</t>
  </si>
  <si>
    <t>1620/8639</t>
  </si>
  <si>
    <t>1620/8640</t>
  </si>
  <si>
    <t>1620/8655</t>
  </si>
  <si>
    <t>1620/8658</t>
  </si>
  <si>
    <t>1620/8662</t>
  </si>
  <si>
    <t>1620/8663</t>
  </si>
  <si>
    <t>1620/8664</t>
  </si>
  <si>
    <t>1620/8665</t>
  </si>
  <si>
    <t>1620/8666</t>
  </si>
  <si>
    <t>1620/8667</t>
  </si>
  <si>
    <t>1620/8668</t>
  </si>
  <si>
    <t>1620/8669</t>
  </si>
  <si>
    <t>1620/8670</t>
  </si>
  <si>
    <t>1620/8674</t>
  </si>
  <si>
    <t>1620/8675</t>
  </si>
  <si>
    <t>1620/8677</t>
  </si>
  <si>
    <t>1620/8678</t>
  </si>
  <si>
    <t>1620/8680</t>
  </si>
  <si>
    <t>1620/8681</t>
  </si>
  <si>
    <t>1620/8682</t>
  </si>
  <si>
    <t>1620/8686</t>
  </si>
  <si>
    <t>1620/8687</t>
  </si>
  <si>
    <t>1620/8689</t>
  </si>
  <si>
    <t>1620/8690</t>
  </si>
  <si>
    <t>1620/8691</t>
  </si>
  <si>
    <t>1620/8694</t>
  </si>
  <si>
    <t>1620/8695</t>
  </si>
  <si>
    <t>1620/8696</t>
  </si>
  <si>
    <t>1620/8697</t>
  </si>
  <si>
    <t>1620/8728</t>
  </si>
  <si>
    <t>1620/8758</t>
  </si>
  <si>
    <t>1620/8801</t>
  </si>
  <si>
    <t>1620/8802</t>
  </si>
  <si>
    <t>1620/8803</t>
  </si>
  <si>
    <t>1620/8849</t>
  </si>
  <si>
    <t>1620/8851</t>
  </si>
  <si>
    <t>1620/8852</t>
  </si>
  <si>
    <t>1620/8853</t>
  </si>
  <si>
    <t>1620/8854</t>
  </si>
  <si>
    <t>1620/8857</t>
  </si>
  <si>
    <t>1620/8858</t>
  </si>
  <si>
    <t>1620/8859</t>
  </si>
  <si>
    <t>1620/8883</t>
  </si>
  <si>
    <t>1620/8904</t>
  </si>
  <si>
    <t>1620/8905</t>
  </si>
  <si>
    <t>1620/8906</t>
  </si>
  <si>
    <t>1620/8911</t>
  </si>
  <si>
    <t>1620/8913</t>
  </si>
  <si>
    <t>1620/8914</t>
  </si>
  <si>
    <t>1620/8915</t>
  </si>
  <si>
    <t>1620/8917</t>
  </si>
  <si>
    <t>1620/8927</t>
  </si>
  <si>
    <t>1620/8928</t>
  </si>
  <si>
    <t>1620/8934</t>
  </si>
  <si>
    <t>1620/8935</t>
  </si>
  <si>
    <t>1620/8936</t>
  </si>
  <si>
    <t>1620/8944</t>
  </si>
  <si>
    <t>1620/8946</t>
  </si>
  <si>
    <t>1620/8947</t>
  </si>
  <si>
    <t>1620/8949</t>
  </si>
  <si>
    <t>1620/8950</t>
  </si>
  <si>
    <t>1620/8951</t>
  </si>
  <si>
    <t>1620/8952</t>
  </si>
  <si>
    <t>1620/8953</t>
  </si>
  <si>
    <t>1620/8954</t>
  </si>
  <si>
    <t>1620/8955</t>
  </si>
  <si>
    <t>1620/8962</t>
  </si>
  <si>
    <t>1620/8963</t>
  </si>
  <si>
    <t>1620/8964</t>
  </si>
  <si>
    <t>1620/8968</t>
  </si>
  <si>
    <t>1620/8969</t>
  </si>
  <si>
    <t>1620/8971</t>
  </si>
  <si>
    <t>1620/8972</t>
  </si>
  <si>
    <t>1620/8973</t>
  </si>
  <si>
    <t>1620/8974</t>
  </si>
  <si>
    <t>1620/8979</t>
  </si>
  <si>
    <t>1620/8981</t>
  </si>
  <si>
    <t>1620/8985</t>
  </si>
  <si>
    <t>1620/8991</t>
  </si>
  <si>
    <t>1620/8992</t>
  </si>
  <si>
    <t>1620/8995</t>
  </si>
  <si>
    <t>1620/8996</t>
  </si>
  <si>
    <t>1620/9015</t>
  </si>
  <si>
    <t>1620/9016</t>
  </si>
  <si>
    <t>1620/9082</t>
  </si>
  <si>
    <t>1620/9115</t>
  </si>
  <si>
    <t>1620/9125</t>
  </si>
  <si>
    <t>1620/9139</t>
  </si>
  <si>
    <t>1620/9144</t>
  </si>
  <si>
    <t>1620/9145</t>
  </si>
  <si>
    <t>1620/9146</t>
  </si>
  <si>
    <t>1620/9147</t>
  </si>
  <si>
    <t>1620/9149</t>
  </si>
  <si>
    <t>1620/9154</t>
  </si>
  <si>
    <t>1620/9155</t>
  </si>
  <si>
    <t>1620/9156</t>
  </si>
  <si>
    <t>1620/9157</t>
  </si>
  <si>
    <t>1620/9158</t>
  </si>
  <si>
    <t>1620/9160</t>
  </si>
  <si>
    <t>1620/9163</t>
  </si>
  <si>
    <t>1620/9165</t>
  </si>
  <si>
    <t>1620/9171</t>
  </si>
  <si>
    <t>1620/9172</t>
  </si>
  <si>
    <t>1620/9174</t>
  </si>
  <si>
    <t>1620/9175</t>
  </si>
  <si>
    <t>1620/9176</t>
  </si>
  <si>
    <t>1620/9177</t>
  </si>
  <si>
    <t>1620/9182</t>
  </si>
  <si>
    <t>1620/9205</t>
  </si>
  <si>
    <t>1620/9210</t>
  </si>
  <si>
    <t>1620/9211</t>
  </si>
  <si>
    <t>1620/9214</t>
  </si>
  <si>
    <t>1620/9216</t>
  </si>
  <si>
    <t>1620/9217</t>
  </si>
  <si>
    <t>1620/9218</t>
  </si>
  <si>
    <t>1620/9221</t>
  </si>
  <si>
    <t>1620/9225</t>
  </si>
  <si>
    <t>1620/9237</t>
  </si>
  <si>
    <t>1620/9251</t>
  </si>
  <si>
    <t>1620/9256</t>
  </si>
  <si>
    <t>1620/9257</t>
  </si>
  <si>
    <t>1620/9260</t>
  </si>
  <si>
    <t>1620/9262</t>
  </si>
  <si>
    <t>1620/9271</t>
  </si>
  <si>
    <t>1620/9272</t>
  </si>
  <si>
    <t>1620/9273</t>
  </si>
  <si>
    <t>1620/9274</t>
  </si>
  <si>
    <t>1620/9275</t>
  </si>
  <si>
    <t>1620/9276</t>
  </si>
  <si>
    <t>1620/9279</t>
  </si>
  <si>
    <t>1620/9285</t>
  </si>
  <si>
    <t>1620/9286</t>
  </si>
  <si>
    <t>1620/9287</t>
  </si>
  <si>
    <t>1620/9288</t>
  </si>
  <si>
    <t>1620/9289</t>
  </si>
  <si>
    <t>1620/9290</t>
  </si>
  <si>
    <t>1620/9293</t>
  </si>
  <si>
    <t>1620/9294</t>
  </si>
  <si>
    <t>1620/9295</t>
  </si>
  <si>
    <t>1620/9296</t>
  </si>
  <si>
    <t>1620/9297</t>
  </si>
  <si>
    <t>1620/9299</t>
  </si>
  <si>
    <t>1620/9301</t>
  </si>
  <si>
    <t>1620/9302</t>
  </si>
  <si>
    <t>1620/9303</t>
  </si>
  <si>
    <t>1620/9305</t>
  </si>
  <si>
    <t>1620/9310</t>
  </si>
  <si>
    <t>1620/9312</t>
  </si>
  <si>
    <t>1620/9322</t>
  </si>
  <si>
    <t>1620/9323</t>
  </si>
  <si>
    <t>1620/9324</t>
  </si>
  <si>
    <t>1620/9327</t>
  </si>
  <si>
    <t>1620/9328</t>
  </si>
  <si>
    <t>1620/9334</t>
  </si>
  <si>
    <t>1620/9335</t>
  </si>
  <si>
    <t>1620/9336</t>
  </si>
  <si>
    <t>1620/9337</t>
  </si>
  <si>
    <t>1620/9338</t>
  </si>
  <si>
    <t>1620/9342</t>
  </si>
  <si>
    <t>1620/9345</t>
  </si>
  <si>
    <t>1620/9346</t>
  </si>
  <si>
    <t>1620/9348</t>
  </si>
  <si>
    <t>1620/9351</t>
  </si>
  <si>
    <t>1620/9382</t>
  </si>
  <si>
    <t>1620/9383</t>
  </si>
  <si>
    <t>1620/9384</t>
  </si>
  <si>
    <t>1620/9386</t>
  </si>
  <si>
    <t>1620/9397</t>
  </si>
  <si>
    <t>1620/9399</t>
  </si>
  <si>
    <t>1620/9400</t>
  </si>
  <si>
    <t>1620/9404</t>
  </si>
  <si>
    <t>1620/9639</t>
  </si>
  <si>
    <t>1620/9801</t>
  </si>
  <si>
    <t>1620/9802</t>
  </si>
  <si>
    <t>1620/9805</t>
  </si>
  <si>
    <t>1620/9807</t>
  </si>
  <si>
    <t>1620/9808</t>
  </si>
  <si>
    <t>1620/9809</t>
  </si>
  <si>
    <t>1620/9811</t>
  </si>
  <si>
    <t>1620/9812</t>
  </si>
  <si>
    <t>1620/9815</t>
  </si>
  <si>
    <t>1620/9818</t>
  </si>
  <si>
    <t>1620/9819</t>
  </si>
  <si>
    <t>1620/9820</t>
  </si>
  <si>
    <t>1620/9821</t>
  </si>
  <si>
    <t>1620/9822</t>
  </si>
  <si>
    <t>1620/9825</t>
  </si>
  <si>
    <t>1620/9826</t>
  </si>
  <si>
    <t>1620/9827</t>
  </si>
  <si>
    <t>1620/9828</t>
  </si>
  <si>
    <t>1620/9832</t>
  </si>
  <si>
    <t>1620/9837</t>
  </si>
  <si>
    <t>1620/9841</t>
  </si>
  <si>
    <t>1620/9849</t>
  </si>
  <si>
    <t>1620/9850</t>
  </si>
  <si>
    <t>1620/9852</t>
  </si>
  <si>
    <t>1620/9853</t>
  </si>
  <si>
    <t>1620/9854</t>
  </si>
  <si>
    <t>1620/9855</t>
  </si>
  <si>
    <t>1620/9856</t>
  </si>
  <si>
    <t>1620/9857</t>
  </si>
  <si>
    <t>1620/9858</t>
  </si>
  <si>
    <t>1620/9864</t>
  </si>
  <si>
    <t>1620/9866</t>
  </si>
  <si>
    <t>1620/9873</t>
  </si>
  <si>
    <t>1620/9874</t>
  </si>
  <si>
    <t>1620/9878</t>
  </si>
  <si>
    <t>1620/9907</t>
  </si>
  <si>
    <t>1620/9916</t>
  </si>
  <si>
    <t>1620/9918</t>
  </si>
  <si>
    <t>1620/9920</t>
  </si>
  <si>
    <t>1620/9921</t>
  </si>
  <si>
    <t>1620/9924</t>
  </si>
  <si>
    <t>1620/9943</t>
  </si>
  <si>
    <t>1620/9944</t>
  </si>
  <si>
    <t>1620/9946</t>
  </si>
  <si>
    <t>1620/9947</t>
  </si>
  <si>
    <t>1620/9953</t>
  </si>
  <si>
    <t>1620/9963</t>
  </si>
  <si>
    <t>1620/9966</t>
  </si>
  <si>
    <t>1620/9967</t>
  </si>
  <si>
    <t>1620/9968</t>
  </si>
  <si>
    <t>1620/9981</t>
  </si>
  <si>
    <t>1620/10006</t>
  </si>
  <si>
    <t>1620/10018</t>
  </si>
  <si>
    <t>1620/10021</t>
  </si>
  <si>
    <t>1620/10022</t>
  </si>
  <si>
    <t>1620/10023</t>
  </si>
  <si>
    <t>1620/10024</t>
  </si>
  <si>
    <t>1620/10025</t>
  </si>
  <si>
    <t>1620/10027</t>
  </si>
  <si>
    <t>1620/10029</t>
  </si>
  <si>
    <t>1620/10030</t>
  </si>
  <si>
    <t>1620/10032</t>
  </si>
  <si>
    <t>1620/10033</t>
  </si>
  <si>
    <t>1620/10037</t>
  </si>
  <si>
    <t>1620/10038</t>
  </si>
  <si>
    <t>1620/10039</t>
  </si>
  <si>
    <t>1620/10045</t>
  </si>
  <si>
    <t>1620/10047</t>
  </si>
  <si>
    <t>1620/10048</t>
  </si>
  <si>
    <t>1620/10049</t>
  </si>
  <si>
    <t>1620/10050</t>
  </si>
  <si>
    <t>1620/10051</t>
  </si>
  <si>
    <t>1620/10052</t>
  </si>
  <si>
    <t>1620/10054</t>
  </si>
  <si>
    <t>1620/10063</t>
  </si>
  <si>
    <t>1620/10072</t>
  </si>
  <si>
    <t>1620/10093</t>
  </si>
  <si>
    <t>1620/10109</t>
  </si>
  <si>
    <t>1620/10113</t>
  </si>
  <si>
    <t>1620/10114</t>
  </si>
  <si>
    <t>1620/10115</t>
  </si>
  <si>
    <t>1620/10116</t>
  </si>
  <si>
    <t>1620/10119</t>
  </si>
  <si>
    <t>1620/10121</t>
  </si>
  <si>
    <t>1620/10132</t>
  </si>
  <si>
    <t>1620/10133</t>
  </si>
  <si>
    <t>1620/10135</t>
  </si>
  <si>
    <t>1620/10136</t>
  </si>
  <si>
    <t>1620/10138</t>
  </si>
  <si>
    <t>1620/10146</t>
  </si>
  <si>
    <t>1620/10147</t>
  </si>
  <si>
    <t>1620/10149</t>
  </si>
  <si>
    <t>1620/10157</t>
  </si>
  <si>
    <t>1620/10158</t>
  </si>
  <si>
    <t>1620/10159</t>
  </si>
  <si>
    <t>1620/10160</t>
  </si>
  <si>
    <t>1620/10164</t>
  </si>
  <si>
    <t>1620/10166</t>
  </si>
  <si>
    <t>1620/10167</t>
  </si>
  <si>
    <t>1620/10181</t>
  </si>
  <si>
    <t>1620/10182</t>
  </si>
  <si>
    <t>1620/10202</t>
  </si>
  <si>
    <t>1620/10203</t>
  </si>
  <si>
    <t>1620/10207</t>
  </si>
  <si>
    <t>1620/10213</t>
  </si>
  <si>
    <t>1620/10221</t>
  </si>
  <si>
    <t>1620/10224</t>
  </si>
  <si>
    <t>1620/10232</t>
  </si>
  <si>
    <t>1620/10236</t>
  </si>
  <si>
    <t>1620/10240</t>
  </si>
  <si>
    <t>1620/10241</t>
  </si>
  <si>
    <t>1620/10274</t>
  </si>
  <si>
    <t>1620/10276</t>
  </si>
  <si>
    <t>1620/10285</t>
  </si>
  <si>
    <t>1620/10286</t>
  </si>
  <si>
    <t>1620/10287</t>
  </si>
  <si>
    <t>1620/10288</t>
  </si>
  <si>
    <t>1620/10289</t>
  </si>
  <si>
    <t>1620/10290</t>
  </si>
  <si>
    <t>1620/10291</t>
  </si>
  <si>
    <t>1620/10292</t>
  </si>
  <si>
    <t>1620/10294</t>
  </si>
  <si>
    <t>1620/10295</t>
  </si>
  <si>
    <t>1620/10296</t>
  </si>
  <si>
    <t>1620/10302</t>
  </si>
  <si>
    <t>1620/10304</t>
  </si>
  <si>
    <t>1620/10305</t>
  </si>
  <si>
    <t>1620/10306</t>
  </si>
  <si>
    <t>1620/10307</t>
  </si>
  <si>
    <t>1620/10317</t>
  </si>
  <si>
    <t>1620/10318</t>
  </si>
  <si>
    <t>1620/10321</t>
  </si>
  <si>
    <t>1620/10322</t>
  </si>
  <si>
    <t>1620/10326</t>
  </si>
  <si>
    <t>1620/10332</t>
  </si>
  <si>
    <t>1620/10336</t>
  </si>
  <si>
    <t>1620/10337</t>
  </si>
  <si>
    <t>1620/10343</t>
  </si>
  <si>
    <t>1620/10352</t>
  </si>
  <si>
    <t>1620/10353</t>
  </si>
  <si>
    <t>1620/10360</t>
  </si>
  <si>
    <t>1620/10363</t>
  </si>
  <si>
    <t>1620/10379</t>
  </si>
  <si>
    <t>1620/10381</t>
  </si>
  <si>
    <t>1620/10382</t>
  </si>
  <si>
    <t>1620/10383</t>
  </si>
  <si>
    <t>1620/10384</t>
  </si>
  <si>
    <t>1620/10385</t>
  </si>
  <si>
    <t>1620/10386</t>
  </si>
  <si>
    <t>1620/10387</t>
  </si>
  <si>
    <t>1620/10392</t>
  </si>
  <si>
    <t>1620/10394</t>
  </si>
  <si>
    <t>1620/10402</t>
  </si>
  <si>
    <t>1620/10403</t>
  </si>
  <si>
    <t>1620/10405</t>
  </si>
  <si>
    <t>1620/10419</t>
  </si>
  <si>
    <t>1620/10421</t>
  </si>
  <si>
    <t>1620/10450</t>
  </si>
  <si>
    <t>1620/10458</t>
  </si>
  <si>
    <t>1620/10459</t>
  </si>
  <si>
    <t>1620/10462</t>
  </si>
  <si>
    <t>1620/10463</t>
  </si>
  <si>
    <t>1620/10464</t>
  </si>
  <si>
    <t>1620/10465</t>
  </si>
  <si>
    <t>1620/10466</t>
  </si>
  <si>
    <t>1620/10475</t>
  </si>
  <si>
    <t>1620/10476</t>
  </si>
  <si>
    <t>1620/10488</t>
  </si>
  <si>
    <t>1620/10490</t>
  </si>
  <si>
    <t>1620/10492</t>
  </si>
  <si>
    <t>1620/10493</t>
  </si>
  <si>
    <t>1620/10498</t>
  </si>
  <si>
    <t>1620/10506</t>
  </si>
  <si>
    <t>1620/10521</t>
  </si>
  <si>
    <t>1620/10577</t>
  </si>
  <si>
    <t>1620/10581</t>
  </si>
  <si>
    <t>1620/10582</t>
  </si>
  <si>
    <t>1620/10583</t>
  </si>
  <si>
    <t>1620/10661</t>
  </si>
  <si>
    <t>1620/10662</t>
  </si>
  <si>
    <t>1620/10663</t>
  </si>
  <si>
    <t>1640/4564</t>
  </si>
  <si>
    <t>1640/9007</t>
  </si>
  <si>
    <t>1640/9017</t>
  </si>
  <si>
    <t>1640/9046</t>
  </si>
  <si>
    <t>1640/9047</t>
  </si>
  <si>
    <t>1640/9088</t>
  </si>
  <si>
    <t>1640/9097</t>
  </si>
  <si>
    <t>1640/9099</t>
  </si>
  <si>
    <t>1640/9100</t>
  </si>
  <si>
    <t>1640/9501</t>
  </si>
  <si>
    <t>1640/9502</t>
  </si>
  <si>
    <t>1640/9504</t>
  </si>
  <si>
    <t>1640/9505</t>
  </si>
  <si>
    <t>1640/9516</t>
  </si>
  <si>
    <t>1640/9529</t>
  </si>
  <si>
    <t>1640/9622</t>
  </si>
  <si>
    <t>1640/9636</t>
  </si>
  <si>
    <t>1640/9932</t>
  </si>
  <si>
    <t>1640/9933</t>
  </si>
  <si>
    <t>1640/9938</t>
  </si>
  <si>
    <t>1640/9940</t>
  </si>
  <si>
    <t>1640/10042</t>
  </si>
  <si>
    <t>1640/10044</t>
  </si>
  <si>
    <t>1640/10056</t>
  </si>
  <si>
    <t>1640/10085</t>
  </si>
  <si>
    <t>1640/10130</t>
  </si>
  <si>
    <t>1640/10150</t>
  </si>
  <si>
    <t>1640/10178</t>
  </si>
  <si>
    <t>1640/10300</t>
  </si>
  <si>
    <t>1640/10423</t>
  </si>
  <si>
    <t>2197/0647</t>
  </si>
  <si>
    <t>2197/1055</t>
  </si>
  <si>
    <t>2197/1661</t>
  </si>
  <si>
    <t>2197/3060</t>
  </si>
  <si>
    <t>2197/4004</t>
  </si>
  <si>
    <t>2197/4040</t>
  </si>
  <si>
    <t>2197/4095</t>
  </si>
  <si>
    <t>2197/4206</t>
  </si>
  <si>
    <t>2197/4211</t>
  </si>
  <si>
    <t>2197/4237</t>
  </si>
  <si>
    <t>2197/4242</t>
  </si>
  <si>
    <t>2197/4258</t>
  </si>
  <si>
    <t>2197/4320</t>
  </si>
  <si>
    <t>2197/4364</t>
  </si>
  <si>
    <t>2197/4418</t>
  </si>
  <si>
    <t>2197/4524</t>
  </si>
  <si>
    <t>2197/4556</t>
  </si>
  <si>
    <t>2197/5114</t>
  </si>
  <si>
    <t>2197/5339</t>
  </si>
  <si>
    <t>2197/5354</t>
  </si>
  <si>
    <t>2197/5359</t>
  </si>
  <si>
    <t>2197/5361</t>
  </si>
  <si>
    <t>2197/5362</t>
  </si>
  <si>
    <t>2197/5363</t>
  </si>
  <si>
    <t>2197/5367</t>
  </si>
  <si>
    <t>2197/5369</t>
  </si>
  <si>
    <t>2197/5370</t>
  </si>
  <si>
    <t>2197/5374</t>
  </si>
  <si>
    <t>2197/5375</t>
  </si>
  <si>
    <t>2197/5379</t>
  </si>
  <si>
    <t>2197/5380</t>
  </si>
  <si>
    <t>2197/5385</t>
  </si>
  <si>
    <t>2197/5398</t>
  </si>
  <si>
    <t>2197/5400</t>
  </si>
  <si>
    <t>2197/5407</t>
  </si>
  <si>
    <t>2197/5441</t>
  </si>
  <si>
    <t>2197/5442</t>
  </si>
  <si>
    <t>2197/5443</t>
  </si>
  <si>
    <t>2197/5444</t>
  </si>
  <si>
    <t>2197/5446</t>
  </si>
  <si>
    <t>2197/5454</t>
  </si>
  <si>
    <t>2197/5469</t>
  </si>
  <si>
    <t>2197/5474</t>
  </si>
  <si>
    <t>2197/5486</t>
  </si>
  <si>
    <t>2197/5958</t>
  </si>
  <si>
    <t>2197/6221</t>
  </si>
  <si>
    <t>2197/6222</t>
  </si>
  <si>
    <t>2197/6223</t>
  </si>
  <si>
    <t>2197/6224</t>
  </si>
  <si>
    <t>2197/6226</t>
  </si>
  <si>
    <t>2197/6293</t>
  </si>
  <si>
    <t>2197/6297</t>
  </si>
  <si>
    <t>2197/6515</t>
  </si>
  <si>
    <t>2197/6611</t>
  </si>
  <si>
    <t>2197/6871</t>
  </si>
  <si>
    <t>2197/7085</t>
  </si>
  <si>
    <t>2197/7086</t>
  </si>
  <si>
    <t>2197/7087</t>
  </si>
  <si>
    <t>2197/7088</t>
  </si>
  <si>
    <t>2197/7089</t>
  </si>
  <si>
    <t>2197/7090</t>
  </si>
  <si>
    <t>2197/7091</t>
  </si>
  <si>
    <t>2197/7092</t>
  </si>
  <si>
    <t>2197/7093</t>
  </si>
  <si>
    <t>2197/7187</t>
  </si>
  <si>
    <t>2197/7278</t>
  </si>
  <si>
    <t>2197/7291</t>
  </si>
  <si>
    <t>2197/7306</t>
  </si>
  <si>
    <t>2197/7307</t>
  </si>
  <si>
    <t>2197/7320</t>
  </si>
  <si>
    <t>2197/7321</t>
  </si>
  <si>
    <t>2197/7322</t>
  </si>
  <si>
    <t>2197/7397</t>
  </si>
  <si>
    <t>2197/7398</t>
  </si>
  <si>
    <t>2197/7631</t>
  </si>
  <si>
    <t>2197/7633</t>
  </si>
  <si>
    <t>2197/7645</t>
  </si>
  <si>
    <t>2197/7652</t>
  </si>
  <si>
    <t>2197/7653</t>
  </si>
  <si>
    <t>2197/7666</t>
  </si>
  <si>
    <t>2197/7680</t>
  </si>
  <si>
    <t>2197/7687</t>
  </si>
  <si>
    <t>2197/7689</t>
  </si>
  <si>
    <t>2197/7698</t>
  </si>
  <si>
    <t>2197/7708</t>
  </si>
  <si>
    <t>2197/7751</t>
  </si>
  <si>
    <t>2197/7752</t>
  </si>
  <si>
    <t>2197/8301</t>
  </si>
  <si>
    <t>2197/8302</t>
  </si>
  <si>
    <t>2197/8303</t>
  </si>
  <si>
    <t>2197/8306</t>
  </si>
  <si>
    <t>2197/8307</t>
  </si>
  <si>
    <t>2197/8308</t>
  </si>
  <si>
    <t>2197/8317</t>
  </si>
  <si>
    <t>2197/8360</t>
  </si>
  <si>
    <t>2197/8361</t>
  </si>
  <si>
    <t>2197/8362</t>
  </si>
  <si>
    <t>2197/8363</t>
  </si>
  <si>
    <t>2197/8366</t>
  </si>
  <si>
    <t>2197/8367</t>
  </si>
  <si>
    <t>2197/8368</t>
  </si>
  <si>
    <t>2197/8369</t>
  </si>
  <si>
    <t>2197/8391</t>
  </si>
  <si>
    <t>2197/8393</t>
  </si>
  <si>
    <t>2197/8712</t>
  </si>
  <si>
    <t>2197/8713</t>
  </si>
  <si>
    <t>2197/8714</t>
  </si>
  <si>
    <t>2197/8715</t>
  </si>
  <si>
    <t>2197/8739</t>
  </si>
  <si>
    <t>2197/8743</t>
  </si>
  <si>
    <t>2197/8766</t>
  </si>
  <si>
    <t>2197/8768</t>
  </si>
  <si>
    <t>2197/8769</t>
  </si>
  <si>
    <t>2197/8771</t>
  </si>
  <si>
    <t>2197/8775</t>
  </si>
  <si>
    <t>2197/8777</t>
  </si>
  <si>
    <t>2197/8780</t>
  </si>
  <si>
    <t>2197/8788</t>
  </si>
  <si>
    <t>2197/8799</t>
  </si>
  <si>
    <t>2197/8832</t>
  </si>
  <si>
    <t>2197/8833</t>
  </si>
  <si>
    <t>2197/8834</t>
  </si>
  <si>
    <t>2197/8836</t>
  </si>
  <si>
    <t>2197/8837</t>
  </si>
  <si>
    <t>2197/8839</t>
  </si>
  <si>
    <t>2197/8843</t>
  </si>
  <si>
    <t>2197/8846</t>
  </si>
  <si>
    <t>2197/8876</t>
  </si>
  <si>
    <t>2197/8877</t>
  </si>
  <si>
    <t>2197/8879</t>
  </si>
  <si>
    <t>2197/8880</t>
  </si>
  <si>
    <t>2197/8881</t>
  </si>
  <si>
    <t>2197/8926</t>
  </si>
  <si>
    <t>2197/9178</t>
  </si>
  <si>
    <t>2197/9403</t>
  </si>
  <si>
    <t>2197/9407</t>
  </si>
  <si>
    <t>2197/9409</t>
  </si>
  <si>
    <t>2197/9420</t>
  </si>
  <si>
    <t>2197/9423</t>
  </si>
  <si>
    <t>2197/9424</t>
  </si>
  <si>
    <t>2197/9427</t>
  </si>
  <si>
    <t>2197/9428</t>
  </si>
  <si>
    <t>2197/9434</t>
  </si>
  <si>
    <t>2197/9435</t>
  </si>
  <si>
    <t>2197/9440</t>
  </si>
  <si>
    <t>2197/9441</t>
  </si>
  <si>
    <t>2197/9442</t>
  </si>
  <si>
    <t>2197/9449</t>
  </si>
  <si>
    <t>2197/9451</t>
  </si>
  <si>
    <t>2197/9863</t>
  </si>
  <si>
    <t>2197/9868</t>
  </si>
  <si>
    <t>2197/9870</t>
  </si>
  <si>
    <t>2197/9872</t>
  </si>
  <si>
    <t>2197/9875</t>
  </si>
  <si>
    <t>2197/9884</t>
  </si>
  <si>
    <t>2197/9885</t>
  </si>
  <si>
    <t>2197/9913</t>
  </si>
  <si>
    <t>2197/9914</t>
  </si>
  <si>
    <t>2197/9927</t>
  </si>
  <si>
    <t>2197/9959</t>
  </si>
  <si>
    <t>2197/10086</t>
  </si>
  <si>
    <t>2197/10091</t>
  </si>
  <si>
    <t>2197/10143</t>
  </si>
  <si>
    <t>2197/10144</t>
  </si>
  <si>
    <t>2197/10184</t>
  </si>
  <si>
    <t>2197/10186</t>
  </si>
  <si>
    <t>2197/10189</t>
  </si>
  <si>
    <t>2197/10190</t>
  </si>
  <si>
    <t>2197/10191</t>
  </si>
  <si>
    <t>2197/10194</t>
  </si>
  <si>
    <t>2197/10197</t>
  </si>
  <si>
    <t>2197/10200</t>
  </si>
  <si>
    <t>2197/10237</t>
  </si>
  <si>
    <t>2197/10242</t>
  </si>
  <si>
    <t>2197/10303</t>
  </si>
  <si>
    <t>2197/10319</t>
  </si>
  <si>
    <t>2197/10378</t>
  </si>
  <si>
    <t>2197/10460</t>
  </si>
  <si>
    <t>2197/10474</t>
  </si>
  <si>
    <t>2194/10668</t>
  </si>
  <si>
    <t>2194/14580</t>
  </si>
  <si>
    <t>სვერი გგს</t>
  </si>
  <si>
    <t>თანხა</t>
  </si>
  <si>
    <t>2192/01</t>
  </si>
  <si>
    <t>ელექტრო გადამცემი ხაზი (ს.ლემშვენიერასა და  ს.კაპანაჩხში)</t>
  </si>
  <si>
    <t>ფასი ბუღალტრული</t>
  </si>
  <si>
    <t>ბუღალტრული ანგარიში</t>
  </si>
  <si>
    <t>ზ. ერთ</t>
  </si>
  <si>
    <t>ცენტრალური საწყობი/ანგარ.</t>
  </si>
  <si>
    <t>მეტრი</t>
  </si>
  <si>
    <t>ცალი</t>
  </si>
  <si>
    <t>კგ</t>
  </si>
  <si>
    <t>ლიტრი</t>
  </si>
  <si>
    <t>კომპლ</t>
  </si>
  <si>
    <t>ტონა</t>
  </si>
  <si>
    <t>მ2</t>
  </si>
  <si>
    <t>მ3</t>
  </si>
  <si>
    <t>default_code</t>
  </si>
  <si>
    <t>name</t>
  </si>
  <si>
    <t>categ_id</t>
  </si>
  <si>
    <t>categ_id/id</t>
  </si>
  <si>
    <t>id</t>
  </si>
  <si>
    <t>9297</t>
  </si>
  <si>
    <t>2/5 სახარჯი მასალა</t>
  </si>
  <si>
    <t>__export__.product_category_4429_fb077c57</t>
  </si>
  <si>
    <t>__export__.product_template_17071_aca4d776</t>
  </si>
  <si>
    <t>9299</t>
  </si>
  <si>
    <t>__export__.product_template_17072_4a53e813</t>
  </si>
  <si>
    <t>07094</t>
  </si>
  <si>
    <t>-	 ბლექ სი გრუპის პროექტის</t>
  </si>
  <si>
    <t>2/14 ექსპერტიზა</t>
  </si>
  <si>
    <t>__export__.product_category_4695_38de5efc</t>
  </si>
  <si>
    <t>__export__.product_template_71008_e53e45f1</t>
  </si>
  <si>
    <t>07095</t>
  </si>
  <si>
    <t>-	ლუგოილი-თერჯოლას პროექტის</t>
  </si>
  <si>
    <t>__export__.product_template_71009_81dda0d1</t>
  </si>
  <si>
    <t>240 LITERS PLASTIC WASTE CONTAINER - Green Colour</t>
  </si>
  <si>
    <t>240 ლტ მწვანე პლასმასის ნაგვის კონტეინერი</t>
  </si>
  <si>
    <t>2/12/4 სამეურნეო</t>
  </si>
  <si>
    <t>__export__.product_category_4472_ba8671f5</t>
  </si>
  <si>
    <t>__export__.product_template_77898_fb82b488</t>
  </si>
  <si>
    <t>8938</t>
  </si>
  <si>
    <t>CD და DVD დისკის წამკითხავი და ჩამწერი USB</t>
  </si>
  <si>
    <t>3/2 საოფისე ტექნიკა</t>
  </si>
  <si>
    <t>__export__.product_category_4430_2a7de46c</t>
  </si>
  <si>
    <t>__export__.product_template_17074_3875fbf7</t>
  </si>
  <si>
    <t>11010</t>
  </si>
  <si>
    <t>CD-DVD დისკი</t>
  </si>
  <si>
    <t>2/12/1 საოფისე ტექნიკა</t>
  </si>
  <si>
    <t>__export__.product_category_4679_60b1c902</t>
  </si>
  <si>
    <t>__export__.product_template_63313_e0a7b419</t>
  </si>
  <si>
    <t>11011</t>
  </si>
  <si>
    <t>CD-DVD დისკის ფაილი</t>
  </si>
  <si>
    <t>__export__.product_template_63314_31e30548</t>
  </si>
  <si>
    <t>11012</t>
  </si>
  <si>
    <t>CD-DVD დისკის წამკითხავი</t>
  </si>
  <si>
    <t>__export__.product_template_63315_af3a563d</t>
  </si>
  <si>
    <t>07097</t>
  </si>
  <si>
    <t>Constructuin Service-ის პროექტის</t>
  </si>
  <si>
    <t>All</t>
  </si>
  <si>
    <t>product.product_category_all</t>
  </si>
  <si>
    <t>__export__.product_template_71011_c990cb9a</t>
  </si>
  <si>
    <t>7306</t>
  </si>
  <si>
    <t>2/5 მოწყობილობის მაკომპლექტებელი 2197</t>
  </si>
  <si>
    <t>__export__.product_category_4742_607df02c</t>
  </si>
  <si>
    <t>__export__.product_template_17076_dc31b950</t>
  </si>
  <si>
    <t>7307</t>
  </si>
  <si>
    <t>__export__.product_template_17077_ffe0a5ae</t>
  </si>
  <si>
    <t>10373</t>
  </si>
  <si>
    <t>GNSS მობილური სადგური</t>
  </si>
  <si>
    <t>3/1 GPS</t>
  </si>
  <si>
    <t>__export__.product_category_4432_a7849285</t>
  </si>
  <si>
    <t>__export__.product_template_17078_31b1c89a</t>
  </si>
  <si>
    <t>4211</t>
  </si>
  <si>
    <t>3/6 GPS</t>
  </si>
  <si>
    <t>__export__.product_category_4433_c4515c8d</t>
  </si>
  <si>
    <t>__export__.product_template_17079_b131ff8d</t>
  </si>
  <si>
    <t>5341</t>
  </si>
  <si>
    <t>GPS ნავიგატორი ხელის</t>
  </si>
  <si>
    <t>__export__.product_template_17080_0f8db8f8</t>
  </si>
  <si>
    <t>4202</t>
  </si>
  <si>
    <t>GPS ნავიგატორი ხელის TR-203</t>
  </si>
  <si>
    <t>__export__.product_template_17081_6d99148c</t>
  </si>
  <si>
    <t>10881</t>
  </si>
  <si>
    <t>GPS შემომვლელები</t>
  </si>
  <si>
    <t>2/12/9 GPS</t>
  </si>
  <si>
    <t>__export__.product_category_4693_5e31875e</t>
  </si>
  <si>
    <t>__export__.product_template_63184_d521ed11</t>
  </si>
  <si>
    <t>2002845</t>
  </si>
  <si>
    <t>H05VVH2-F 2*1.5</t>
  </si>
  <si>
    <t>2/12/4 ელ. სადენი</t>
  </si>
  <si>
    <t>__export__.product_category_4538_39d2bb12</t>
  </si>
  <si>
    <t>__export__.product_template_77917_139a6123</t>
  </si>
  <si>
    <t>2002847</t>
  </si>
  <si>
    <t>H05VVH2-F 2*2.5</t>
  </si>
  <si>
    <t>__export__.product_template_77919_e1761247</t>
  </si>
  <si>
    <t>2002853</t>
  </si>
  <si>
    <t>H05VVH2-F 3*2.5</t>
  </si>
  <si>
    <t>__export__.product_template_77918_e70e1395</t>
  </si>
  <si>
    <t>TEST_1</t>
  </si>
  <si>
    <t>__export__.product_template_47690_249b8b52</t>
  </si>
  <si>
    <t>9349</t>
  </si>
  <si>
    <t>USB ადაპტერი გადამყვანი CR-104</t>
  </si>
  <si>
    <t>2/12/1 ქსელი</t>
  </si>
  <si>
    <t>__export__.product_category_4434_90cc6114</t>
  </si>
  <si>
    <t>__export__.product_template_17082_e8abae78</t>
  </si>
  <si>
    <t>9860</t>
  </si>
  <si>
    <t>USB პორტის გადამყვანი 16 RS232 სერიალ პორტზე</t>
  </si>
  <si>
    <t>__export__.product_template_17083_2a130cf0</t>
  </si>
  <si>
    <t>10309</t>
  </si>
  <si>
    <t>USB პორტის გადამყვანი RS485</t>
  </si>
  <si>
    <t>__export__.product_template_17084_e3e77b4f</t>
  </si>
  <si>
    <t>6503</t>
  </si>
  <si>
    <t>__export__.product_template_17085_916ccd45</t>
  </si>
  <si>
    <t>9296</t>
  </si>
  <si>
    <t>2/5 ხელსაწყო</t>
  </si>
  <si>
    <t>__export__.product_category_4435_de74cde1</t>
  </si>
  <si>
    <t>__export__.product_template_17086_239687e5</t>
  </si>
  <si>
    <t>9301</t>
  </si>
  <si>
    <t>__export__.product_template_17087_f4929771</t>
  </si>
  <si>
    <t>9302</t>
  </si>
  <si>
    <t>__export__.product_template_17088_ef85e8c2</t>
  </si>
  <si>
    <t>9303</t>
  </si>
  <si>
    <t>__export__.product_template_17089_17f82f5b</t>
  </si>
  <si>
    <t>8654</t>
  </si>
  <si>
    <t>Wi-Fi ადაპტერი Epson Module ELPAP10</t>
  </si>
  <si>
    <t>3/2 ქსელი 1620</t>
  </si>
  <si>
    <t>__export__.product_category_4753_e12ce95c</t>
  </si>
  <si>
    <t>__export__.product_template_17090_d7bce122</t>
  </si>
  <si>
    <t>9434</t>
  </si>
  <si>
    <t>3/2 ქსელი</t>
  </si>
  <si>
    <t>__export__.product_category_4436_f179e174</t>
  </si>
  <si>
    <t>__export__.product_template_17091_19797408</t>
  </si>
  <si>
    <t>10311</t>
  </si>
  <si>
    <t>Wi-Fi ვაი-ფაი როუტერი Wireless N 4G LTE Router</t>
  </si>
  <si>
    <t>__export__.product_template_17092_9082c4c6</t>
  </si>
  <si>
    <t>00003</t>
  </si>
  <si>
    <t>lap top arsen</t>
  </si>
  <si>
    <t>ძირითადი საშუალება</t>
  </si>
  <si>
    <t>__export__.product_category_5_b07947cf</t>
  </si>
  <si>
    <t>__export__.product_template_33627_fa88f5b7</t>
  </si>
  <si>
    <t>10923</t>
  </si>
  <si>
    <t>ა/მ GPS - მომსახურება</t>
  </si>
  <si>
    <t>2/11 ტრანსპორტი ხელშეკრულება</t>
  </si>
  <si>
    <t>__export__.product_category_4706_a8e3e0b9</t>
  </si>
  <si>
    <t>__export__.product_template_63226_5e112595</t>
  </si>
  <si>
    <t>10933</t>
  </si>
  <si>
    <t>ა/მ ავტომობილების და სპეცტექნიკის საჭიროებისთვის</t>
  </si>
  <si>
    <t>__export__.product_template_63236_df0dfc93</t>
  </si>
  <si>
    <t>9961</t>
  </si>
  <si>
    <t>ა/მ ავტოსატრანსპორტო საშუალება</t>
  </si>
  <si>
    <t>3/1 ა/მ ტექნიკა</t>
  </si>
  <si>
    <t>__export__.product_category_4437_02eadf7d</t>
  </si>
  <si>
    <t>__export__.product_template_17093_2be6e5f8</t>
  </si>
  <si>
    <t>3676</t>
  </si>
  <si>
    <t>3/6 ა/მ აკუმულატორი</t>
  </si>
  <si>
    <t>__export__.product_category_4438_e63b9990</t>
  </si>
  <si>
    <t>__export__.product_template_17094_a4644f45</t>
  </si>
  <si>
    <t>9333</t>
  </si>
  <si>
    <t>ა/მ აკუმულატორი 100 A/h მშრალი</t>
  </si>
  <si>
    <t>__export__.product_template_17095_df237e5b</t>
  </si>
  <si>
    <t>8001</t>
  </si>
  <si>
    <t>ა/მ აკუმულატორი 18 A/h</t>
  </si>
  <si>
    <t>2/11 ა/მ აკუმულატორი</t>
  </si>
  <si>
    <t>__export__.product_category_4439_2b35aa6f</t>
  </si>
  <si>
    <t>__export__.product_template_17096_385483cc</t>
  </si>
  <si>
    <t>8300</t>
  </si>
  <si>
    <t>__export__.product_template_63143_43fc7453</t>
  </si>
  <si>
    <t>8991</t>
  </si>
  <si>
    <t>__export__.product_template_17097_71efe519</t>
  </si>
  <si>
    <t>10295</t>
  </si>
  <si>
    <t>__export__.product_template_17098_29900460</t>
  </si>
  <si>
    <t>8992</t>
  </si>
  <si>
    <t>__export__.product_template_17099_2651f1f2</t>
  </si>
  <si>
    <t>10661</t>
  </si>
  <si>
    <t>__export__.product_template_63130_25416ecf</t>
  </si>
  <si>
    <t>3654</t>
  </si>
  <si>
    <t>__export__.product_template_17100_82e7031f</t>
  </si>
  <si>
    <t>11715</t>
  </si>
  <si>
    <t xml:space="preserve">ა/მ აკუმულატორი 60 A/h სტარტ/სტოპი  </t>
  </si>
  <si>
    <t>__export__.product_template_74014_ddf0039f</t>
  </si>
  <si>
    <t>9148</t>
  </si>
  <si>
    <t>ა/მ აკუმულატორი 65 A/h</t>
  </si>
  <si>
    <t>__export__.product_template_17101_fdf9b381</t>
  </si>
  <si>
    <t>11712</t>
  </si>
  <si>
    <t xml:space="preserve">ა/მ აკუმულატორი 70 A/h სტარტ/სტოპი </t>
  </si>
  <si>
    <t>__export__.product_template_74011_1f6ac439</t>
  </si>
  <si>
    <t>5626</t>
  </si>
  <si>
    <t>__export__.product_template_17102_e109ca07</t>
  </si>
  <si>
    <t>10294</t>
  </si>
  <si>
    <t>__export__.product_template_17103_6e3cd816</t>
  </si>
  <si>
    <t>10007</t>
  </si>
  <si>
    <t>ა/მ აკუმულატორი 8 A/h</t>
  </si>
  <si>
    <t>__export__.product_template_17104_7ca16de8</t>
  </si>
  <si>
    <t>10662</t>
  </si>
  <si>
    <t>ა/მ აკუმულატორი 80 A/h</t>
  </si>
  <si>
    <t>__export__.product_template_63131_ba4b4fff</t>
  </si>
  <si>
    <t>9396</t>
  </si>
  <si>
    <t>ა/მ აკუმულატორი 80 A/h ჟელეიანი</t>
  </si>
  <si>
    <t>__export__.product_template_17105_fcca64dc</t>
  </si>
  <si>
    <t>3464</t>
  </si>
  <si>
    <t>__export__.product_template_17106_5ee31950</t>
  </si>
  <si>
    <t>11714</t>
  </si>
  <si>
    <t xml:space="preserve">ა/მ აკუმულატორი 90 A/h  შებრუნებული </t>
  </si>
  <si>
    <t>__export__.product_template_74013_c0df3e15</t>
  </si>
  <si>
    <t>11713</t>
  </si>
  <si>
    <t xml:space="preserve">ა/მ აკუმულატორი 90 A/h სტარტ/სტოპი  </t>
  </si>
  <si>
    <t>__export__.product_template_74012_f4a3fa9c</t>
  </si>
  <si>
    <t>8995</t>
  </si>
  <si>
    <t>__export__.product_template_17107_924164c6</t>
  </si>
  <si>
    <t>3031</t>
  </si>
  <si>
    <t>2/11 ა/მ მაკომპლექტებელი</t>
  </si>
  <si>
    <t>__export__.product_category_4440_54bc87a2</t>
  </si>
  <si>
    <t>__export__.product_template_17108_6c8807fc</t>
  </si>
  <si>
    <t>4704</t>
  </si>
  <si>
    <t>ა/მ ანტიფრიზი (კონცენტრატი)</t>
  </si>
  <si>
    <t>2/5 ა/მ საპოხ-საცხები</t>
  </si>
  <si>
    <t>__export__.product_category_4441_efed7eb6</t>
  </si>
  <si>
    <t>__export__.product_template_17109_b56b68e6</t>
  </si>
  <si>
    <t>10473</t>
  </si>
  <si>
    <t>ა/მ ანტიფრიზის საზომი ხელსაწყო</t>
  </si>
  <si>
    <t>2/12/6 ა/მ ხელსაწყო</t>
  </si>
  <si>
    <t>__export__.product_category_4442_4cabf8f4</t>
  </si>
  <si>
    <t>__export__.product_template_17110_8f702052</t>
  </si>
  <si>
    <t>10920</t>
  </si>
  <si>
    <t>ა/მ დაზღვევა</t>
  </si>
  <si>
    <t>2/10 ტრანსპორტი ხელშეკრულება</t>
  </si>
  <si>
    <t>__export__.product_category_4707_ab3f1161</t>
  </si>
  <si>
    <t>__export__.product_template_63223_13e2059f</t>
  </si>
  <si>
    <t>4395</t>
  </si>
  <si>
    <t>__export__.product_template_17111_d691c7b1</t>
  </si>
  <si>
    <t>3685</t>
  </si>
  <si>
    <t>ა/მ დასაქოქი კაბელი (პერემიჩკა) 12v</t>
  </si>
  <si>
    <t>__export__.product_template_17112_a18e055e</t>
  </si>
  <si>
    <t>10469</t>
  </si>
  <si>
    <t>ა/მ დასაქოქი კაბელი (პერემიჩკა) 24v</t>
  </si>
  <si>
    <t>__export__.product_template_17113_15d3111d</t>
  </si>
  <si>
    <t>10931</t>
  </si>
  <si>
    <t>ა/მ დაცვა-გაცილება</t>
  </si>
  <si>
    <t>__export__.product_template_63234_cc508d12</t>
  </si>
  <si>
    <t>10243</t>
  </si>
  <si>
    <t>ა/მ დომკრატი 10ტ</t>
  </si>
  <si>
    <t>__export__.product_template_17114_e01c1741</t>
  </si>
  <si>
    <t>10244</t>
  </si>
  <si>
    <t>ა/მ დომკრატი 20ტ</t>
  </si>
  <si>
    <t>__export__.product_template_17115_d3e725be</t>
  </si>
  <si>
    <t>4747</t>
  </si>
  <si>
    <t>__export__.product_template_17116_545a782a</t>
  </si>
  <si>
    <t>3462</t>
  </si>
  <si>
    <t>__export__.product_template_17117_9797b256</t>
  </si>
  <si>
    <t>9962</t>
  </si>
  <si>
    <t>ა/მ ზეთი SHELL TONNA S3 M68</t>
  </si>
  <si>
    <t>__export__.product_template_17118_bb15d26e</t>
  </si>
  <si>
    <t>3618</t>
  </si>
  <si>
    <t>ა/მ ზეთი ძრავის 10/40 ბენზინის</t>
  </si>
  <si>
    <t>2/11 ა/მ საპოხ-საცხები</t>
  </si>
  <si>
    <t>__export__.product_category_4443_6e648122</t>
  </si>
  <si>
    <t>__export__.product_template_17119_bc7eeb33</t>
  </si>
  <si>
    <t>4636</t>
  </si>
  <si>
    <t>ა/მ ზეთი ძრავის 10/40 დიზელის</t>
  </si>
  <si>
    <t>__export__.product_template_17120_14b09ff4</t>
  </si>
  <si>
    <t>5082</t>
  </si>
  <si>
    <t>ა/მ ზეთი ძრავის 15/40 დიზელის</t>
  </si>
  <si>
    <t>__export__.product_template_17121_a5bd7731</t>
  </si>
  <si>
    <t>3023</t>
  </si>
  <si>
    <t>__export__.product_template_17122_de3f6480</t>
  </si>
  <si>
    <t>4672</t>
  </si>
  <si>
    <t>ა/მ ზეთი ძრავის 5/30</t>
  </si>
  <si>
    <t>__export__.product_template_17123_53e4484d</t>
  </si>
  <si>
    <t>3342</t>
  </si>
  <si>
    <t>__export__.product_template_17124_2f0aef11</t>
  </si>
  <si>
    <t>4637</t>
  </si>
  <si>
    <t>ა/მ ზეთის ფილტრი დიზელის</t>
  </si>
  <si>
    <t>__export__.product_template_17125_eef6abdf</t>
  </si>
  <si>
    <t>4680</t>
  </si>
  <si>
    <t>ა/მ ზეთის ფილტრის შემამჭიდროებელი</t>
  </si>
  <si>
    <t>__export__.product_template_17126_f377beaa</t>
  </si>
  <si>
    <t>6053</t>
  </si>
  <si>
    <t>2/12/6 ა/მ მაკომპლექტებელი</t>
  </si>
  <si>
    <t>__export__.product_category_4444_1f8e614d</t>
  </si>
  <si>
    <t>__export__.product_template_17127_6fefa0e4</t>
  </si>
  <si>
    <t>6587</t>
  </si>
  <si>
    <t>ა/მ კალათა ამწის</t>
  </si>
  <si>
    <t>3/1 ა/მ მაკომპლექტებელი</t>
  </si>
  <si>
    <t>__export__.product_category_4445_e1e1d603</t>
  </si>
  <si>
    <t>__export__.product_template_17128_68a49b7b</t>
  </si>
  <si>
    <t>10921</t>
  </si>
  <si>
    <t>ა/მ კონსოლიდირებული - აკუმულატორი, ძრავის ზეთი, ფილტრი, საბურავები</t>
  </si>
  <si>
    <t>__export__.product_template_63224_8fdf1e46</t>
  </si>
  <si>
    <t>11834</t>
  </si>
  <si>
    <t>ა/მ მაღალი წნევის გამშვები (პისტოლეტი)</t>
  </si>
  <si>
    <t>2/12/6 ა/მ მოწყობილობა</t>
  </si>
  <si>
    <t>__export__.product_category_4457_7cd49eb3</t>
  </si>
  <si>
    <t>__export__.product_template_74138_bff4378d</t>
  </si>
  <si>
    <t>10258</t>
  </si>
  <si>
    <t>ა/მ მაღალი წნევის რეცხვის აპარატი კომპლ.</t>
  </si>
  <si>
    <t>3/1 ა/მ მოწყობილობა</t>
  </si>
  <si>
    <t>__export__.product_category_4446_234b1e18</t>
  </si>
  <si>
    <t>__export__.product_template_17129_6d869a38</t>
  </si>
  <si>
    <t>10347</t>
  </si>
  <si>
    <t>ა/მ მილი ჰაერის ორმ. თავაკებით</t>
  </si>
  <si>
    <t>__export__.product_template_17130_66b012eb</t>
  </si>
  <si>
    <t>10157</t>
  </si>
  <si>
    <t>2/11 ა/მ მოცურების საწინააღმდეგო ჯაჭვი</t>
  </si>
  <si>
    <t>__export__.product_category_4447_819beb99</t>
  </si>
  <si>
    <t>__export__.product_template_17131_179c647c</t>
  </si>
  <si>
    <t>10158</t>
  </si>
  <si>
    <t>__export__.product_template_17132_44fe48ef</t>
  </si>
  <si>
    <t>10160</t>
  </si>
  <si>
    <t>__export__.product_template_17133_76546746</t>
  </si>
  <si>
    <t>10491</t>
  </si>
  <si>
    <t>ა/მ მოცურების საწინააღმდეგო ჯაჭვი 205/55 R16</t>
  </si>
  <si>
    <t>__export__.product_template_46042_24cbdf20</t>
  </si>
  <si>
    <t>10492</t>
  </si>
  <si>
    <t>__export__.product_template_46043_070f9aca</t>
  </si>
  <si>
    <t>10493</t>
  </si>
  <si>
    <t>__export__.product_template_46044_391bae7a</t>
  </si>
  <si>
    <t>10494</t>
  </si>
  <si>
    <t>ა/მ მოცურების საწინააღმდეგო ჯაჭვი 215/65 R17</t>
  </si>
  <si>
    <t>__export__.product_template_46045_8b2324e2</t>
  </si>
  <si>
    <t>10254</t>
  </si>
  <si>
    <t>ა/მ მოცურების საწინააღმდეგო ჯაჭვი 225/75 R16</t>
  </si>
  <si>
    <t>__export__.product_template_17134_92cd5a3f</t>
  </si>
  <si>
    <t>10487</t>
  </si>
  <si>
    <t>ა/მ მოცურების საწინააღმდეგო ჯაჭვი 235/85 R16</t>
  </si>
  <si>
    <t>__export__.product_template_46046_b133f3f2</t>
  </si>
  <si>
    <t>10488</t>
  </si>
  <si>
    <t>__export__.product_template_46047_271d1004</t>
  </si>
  <si>
    <t>10495</t>
  </si>
  <si>
    <t>ა/მ მოცურების საწინააღმდეგო ჯაჭვი 255/45 R20</t>
  </si>
  <si>
    <t>__export__.product_template_46048_d13a94b1</t>
  </si>
  <si>
    <t>10490</t>
  </si>
  <si>
    <t>__export__.product_template_46049_9f0fa5ae</t>
  </si>
  <si>
    <t>10489</t>
  </si>
  <si>
    <t>ა/მ მოცურების საწინააღმდეგო ჯაჭვი 265/75 R16</t>
  </si>
  <si>
    <t>__export__.product_template_46050_e453673d</t>
  </si>
  <si>
    <t>10159</t>
  </si>
  <si>
    <t>__export__.product_template_17135_3493806a</t>
  </si>
  <si>
    <t>10710</t>
  </si>
  <si>
    <t>ა/მ მტვერსასრუტი ელექტრო</t>
  </si>
  <si>
    <t>3/1 ა/მ ხელსაწყო</t>
  </si>
  <si>
    <t>__export__.product_category_4448_8bacf9cf</t>
  </si>
  <si>
    <t>__export__.product_template_57635_59c9c7f3</t>
  </si>
  <si>
    <t>4773</t>
  </si>
  <si>
    <t>__export__.product_template_17136_2209f660</t>
  </si>
  <si>
    <t>8135</t>
  </si>
  <si>
    <t>ა/მ ნასოსი ხელის</t>
  </si>
  <si>
    <t>2/11 ა/მ ინსტრუმენტი</t>
  </si>
  <si>
    <t>__export__.product_category_4449_08629c4c</t>
  </si>
  <si>
    <t>__export__.product_template_17137_6055f347</t>
  </si>
  <si>
    <t>10927</t>
  </si>
  <si>
    <t>ა/მ პარკირების საშვი</t>
  </si>
  <si>
    <t>__export__.product_template_63230_fefce8ca</t>
  </si>
  <si>
    <t>10257</t>
  </si>
  <si>
    <t>ა/მ პნევმო პისტოლეტი თავაკებით</t>
  </si>
  <si>
    <t>__export__.product_template_17138_fceed12f</t>
  </si>
  <si>
    <t>10922</t>
  </si>
  <si>
    <t>ა/მ რეცხვა</t>
  </si>
  <si>
    <t>__export__.product_template_63225_d2811d29</t>
  </si>
  <si>
    <t>7663</t>
  </si>
  <si>
    <t>ა/მ რეცხვის აპარატი</t>
  </si>
  <si>
    <t>__export__.product_template_46903_fae529b7</t>
  </si>
  <si>
    <t>10251</t>
  </si>
  <si>
    <t>ა/მ საავარიო სამკუთხედი</t>
  </si>
  <si>
    <t>__export__.product_template_17139_08266437</t>
  </si>
  <si>
    <t>10315</t>
  </si>
  <si>
    <t>ა/მ საბარგულის საფენი</t>
  </si>
  <si>
    <t>2/11 ა/მ აქსესუარი</t>
  </si>
  <si>
    <t>__export__.product_category_4450_0d53fb38</t>
  </si>
  <si>
    <t>__export__.product_template_17140_deac7a30</t>
  </si>
  <si>
    <t>10358</t>
  </si>
  <si>
    <t>ა/მ საბარგულის ხუფი (კანოპე)</t>
  </si>
  <si>
    <t>__export__.product_template_17141_84f72daf</t>
  </si>
  <si>
    <t>10291</t>
  </si>
  <si>
    <t>2/11 ა/მ საბურავი</t>
  </si>
  <si>
    <t>__export__.product_category_4451_519df02d</t>
  </si>
  <si>
    <t>__export__.product_template_17143_b702da20</t>
  </si>
  <si>
    <t>10292</t>
  </si>
  <si>
    <t>__export__.product_template_17142_54784762</t>
  </si>
  <si>
    <t>13541</t>
  </si>
  <si>
    <t>ა/მ საბურავი 12.00 R20</t>
  </si>
  <si>
    <t>__export__.product_template_77881_b59b1f95</t>
  </si>
  <si>
    <t>10425</t>
  </si>
  <si>
    <t>ა/მ საბურავი 12.00.R24</t>
  </si>
  <si>
    <t>__export__.product_template_17144_89a1875e</t>
  </si>
  <si>
    <t>13549</t>
  </si>
  <si>
    <t>ა/მ საბურავი 12.00.R24 ამძრავის ხიდის</t>
  </si>
  <si>
    <t>__export__.product_template_77910_28bbf921</t>
  </si>
  <si>
    <t>13550</t>
  </si>
  <si>
    <t>ა/მ საბურავი 12.00.R24 მიმმართველი საჭის</t>
  </si>
  <si>
    <t>__export__.product_template_77911_950aa0d2</t>
  </si>
  <si>
    <t>5041</t>
  </si>
  <si>
    <t>__export__.product_template_17145_d815c0c8</t>
  </si>
  <si>
    <t>4656</t>
  </si>
  <si>
    <t>ა/მ საბურავი 13 R22.5</t>
  </si>
  <si>
    <t>__export__.product_template_17146_3f30b48e</t>
  </si>
  <si>
    <t>13553</t>
  </si>
  <si>
    <t xml:space="preserve">ა/მ საბურავი 13 R22.5 ამძრავის ხიდის </t>
  </si>
  <si>
    <t>__export__.product_template_77914_d7ad6826</t>
  </si>
  <si>
    <t>13554</t>
  </si>
  <si>
    <t xml:space="preserve">ა/მ საბურავი 13 R22.5 მიმმართველი საჭის </t>
  </si>
  <si>
    <t>__export__.product_template_77915_c631de84</t>
  </si>
  <si>
    <t>3552</t>
  </si>
  <si>
    <t>__export__.product_template_63142_e76a9987</t>
  </si>
  <si>
    <t>9857</t>
  </si>
  <si>
    <t>__export__.product_template_17147_3263077d</t>
  </si>
  <si>
    <t>5572</t>
  </si>
  <si>
    <t>ა/მ საბურავი 18.4-26</t>
  </si>
  <si>
    <t>__export__.product_template_17148_f7d330b4</t>
  </si>
  <si>
    <t>10290</t>
  </si>
  <si>
    <t>__export__.product_template_17149_ee280415</t>
  </si>
  <si>
    <t>10285</t>
  </si>
  <si>
    <t>__export__.product_template_17150_9b292c7a</t>
  </si>
  <si>
    <t>10289</t>
  </si>
  <si>
    <t>__export__.product_template_17151_d2903cb5</t>
  </si>
  <si>
    <t>9858</t>
  </si>
  <si>
    <t>__export__.product_template_17152_7fb2f1c0</t>
  </si>
  <si>
    <t>9856</t>
  </si>
  <si>
    <t>__export__.product_template_17153_d0dfcf65</t>
  </si>
  <si>
    <t>10287</t>
  </si>
  <si>
    <t>__export__.product_template_17154_de0ffee1</t>
  </si>
  <si>
    <t>10286</t>
  </si>
  <si>
    <t>__export__.product_template_17155_79e24022</t>
  </si>
  <si>
    <t>10503</t>
  </si>
  <si>
    <t>ა/მ საბურავი 215/70 R16</t>
  </si>
  <si>
    <t>__export__.product_template_46051_52c69aa1</t>
  </si>
  <si>
    <t>6952</t>
  </si>
  <si>
    <t>__export__.product_template_17156_81b77e92</t>
  </si>
  <si>
    <t>13543</t>
  </si>
  <si>
    <t xml:space="preserve">ა/მ საბურავი 225/75 R16C </t>
  </si>
  <si>
    <t>__export__.product_template_77883_19a8ab72</t>
  </si>
  <si>
    <t>10128</t>
  </si>
  <si>
    <t>ა/მ საბურავი 235/45R18</t>
  </si>
  <si>
    <t>__export__.product_template_17157_103db24a</t>
  </si>
  <si>
    <t>4727</t>
  </si>
  <si>
    <t>ა/მ საბურავი 235/75 R17.5</t>
  </si>
  <si>
    <t>__export__.product_template_17158_887993e9</t>
  </si>
  <si>
    <t>13539</t>
  </si>
  <si>
    <t xml:space="preserve">ა/მ საბურავი 235/85 R16 A/T  </t>
  </si>
  <si>
    <t>__export__.product_template_77879_de5bf5d7</t>
  </si>
  <si>
    <t>4624</t>
  </si>
  <si>
    <t>__export__.product_template_17159_f5b85749</t>
  </si>
  <si>
    <t>13537</t>
  </si>
  <si>
    <t>ა/მ საბურავი 245/70 R16 A/T</t>
  </si>
  <si>
    <t>__export__.product_template_77877_920ceef3</t>
  </si>
  <si>
    <t>10121</t>
  </si>
  <si>
    <t>__export__.product_template_17160_2224d50a</t>
  </si>
  <si>
    <t>13540</t>
  </si>
  <si>
    <t>__export__.product_template_77880_18d08686</t>
  </si>
  <si>
    <t>10288</t>
  </si>
  <si>
    <t>__export__.product_template_17161_324ffdd8</t>
  </si>
  <si>
    <t>3011</t>
  </si>
  <si>
    <t>__export__.product_template_17162_57cefaac</t>
  </si>
  <si>
    <t>13536</t>
  </si>
  <si>
    <t>ა/მ საბურავი 265/65 R17 A/T</t>
  </si>
  <si>
    <t>__export__.product_template_77876_b7f234cc</t>
  </si>
  <si>
    <t>13538</t>
  </si>
  <si>
    <t xml:space="preserve">ა/მ საბურავი 265/75 R16 A/T </t>
  </si>
  <si>
    <t>__export__.product_template_77878_bac474e8</t>
  </si>
  <si>
    <t>6960</t>
  </si>
  <si>
    <t>__export__.product_template_17163_05f3ca1d</t>
  </si>
  <si>
    <t>4685</t>
  </si>
  <si>
    <t>__export__.product_template_17164_6197569f</t>
  </si>
  <si>
    <t>10146</t>
  </si>
  <si>
    <t>__export__.product_template_17165_3ea5b627</t>
  </si>
  <si>
    <t>13552</t>
  </si>
  <si>
    <t>ა/მ საბურავი 315/80 R22.5 ამძრავის ხიდის</t>
  </si>
  <si>
    <t>__export__.product_template_77913_11ffa000</t>
  </si>
  <si>
    <t>13551</t>
  </si>
  <si>
    <t>ა/მ საბურავი 315/80 R22.5 მიმმართველი საჭის</t>
  </si>
  <si>
    <t>__export__.product_template_77912_adef78e6</t>
  </si>
  <si>
    <t>10438</t>
  </si>
  <si>
    <t>ა/მ საბურავი 395/85 R20 GL073A ADVANCE</t>
  </si>
  <si>
    <t>__export__.product_template_17166_f42e322d</t>
  </si>
  <si>
    <t>4657</t>
  </si>
  <si>
    <t>__export__.product_template_17167_ee045c11</t>
  </si>
  <si>
    <t>10136</t>
  </si>
  <si>
    <t>__export__.product_template_17168_121c1009</t>
  </si>
  <si>
    <t>13542</t>
  </si>
  <si>
    <t>ა/მ საბურავი 7.5 R16 LT</t>
  </si>
  <si>
    <t>__export__.product_template_77882_d98f24e1</t>
  </si>
  <si>
    <t>10147</t>
  </si>
  <si>
    <t>__export__.product_template_17169_496d93a9</t>
  </si>
  <si>
    <t>10253</t>
  </si>
  <si>
    <t>ა/მ საბურავის დასაბერი შლანგი მანომეტრით 15მ</t>
  </si>
  <si>
    <t>2/11 ა/მ ხელსაწყო</t>
  </si>
  <si>
    <t>__export__.product_category_4452_c22426d2</t>
  </si>
  <si>
    <t>__export__.product_template_17170_122750f8</t>
  </si>
  <si>
    <t>10357</t>
  </si>
  <si>
    <t>ა/მ საბურავის საკერებელი თოკი</t>
  </si>
  <si>
    <t>__export__.product_template_17174_0fa746e9</t>
  </si>
  <si>
    <t>10356</t>
  </si>
  <si>
    <t>ა/მ საბურავის საკერებელი კომპ. (თოკიანი)</t>
  </si>
  <si>
    <t>__export__.product_template_17175_af4fedc8</t>
  </si>
  <si>
    <t>3240</t>
  </si>
  <si>
    <t>__export__.product_template_17176_1d221bdc</t>
  </si>
  <si>
    <t>8292</t>
  </si>
  <si>
    <t>2/12/6 ა/მ ბუქსირი</t>
  </si>
  <si>
    <t>__export__.product_category_4453_dfef6454</t>
  </si>
  <si>
    <t>__export__.product_template_17177_84d70922</t>
  </si>
  <si>
    <t>10355</t>
  </si>
  <si>
    <t>ა/მ საბუქსირე თოკი</t>
  </si>
  <si>
    <t>2/11 ა/მ ბუქსირი</t>
  </si>
  <si>
    <t>__export__.product_category_4454_76a1f348</t>
  </si>
  <si>
    <t>__export__.product_template_17178_bc17f2c1</t>
  </si>
  <si>
    <t>10249</t>
  </si>
  <si>
    <t>ა/მ საბუქსირე მყარი უნივერსალური</t>
  </si>
  <si>
    <t>__export__.product_template_17179_fe8e3311</t>
  </si>
  <si>
    <t>10351</t>
  </si>
  <si>
    <t>ა/მ საბუქსირე ტროსი</t>
  </si>
  <si>
    <t>__export__.product_template_17180_7127a571</t>
  </si>
  <si>
    <t>8259</t>
  </si>
  <si>
    <t>ა/მ სავარძლის შალითა კომპლ.</t>
  </si>
  <si>
    <t>__export__.product_template_17181_2f467b67</t>
  </si>
  <si>
    <t>10470</t>
  </si>
  <si>
    <t>ა/მ სავარძლის შალითა უნივერსალური პიკაპი კომპლ.</t>
  </si>
  <si>
    <t>__export__.product_template_17182_2f6b7553</t>
  </si>
  <si>
    <t>3558</t>
  </si>
  <si>
    <t>__export__.product_template_17183_3a7fbb2e</t>
  </si>
  <si>
    <t>10471</t>
  </si>
  <si>
    <t>ა/მ სალონის საფენები უნივერსალური პიკაპი კომპლ.</t>
  </si>
  <si>
    <t>__export__.product_template_17184_fc5c83c0</t>
  </si>
  <si>
    <t>10145</t>
  </si>
  <si>
    <t>ა/მ საპოხი SPHEEROL EPL 2</t>
  </si>
  <si>
    <t>__export__.product_template_17185_99f36b45</t>
  </si>
  <si>
    <t>3405</t>
  </si>
  <si>
    <t>__export__.product_template_17186_508e3695</t>
  </si>
  <si>
    <t>10350</t>
  </si>
  <si>
    <t>ა/მ საპოხი შპრიცი ხელის</t>
  </si>
  <si>
    <t>__export__.product_template_17187_466cddfb</t>
  </si>
  <si>
    <t>11918</t>
  </si>
  <si>
    <t>ა/მ საქარე მინის სითხე ყინვაგამძლე 1ლ.</t>
  </si>
  <si>
    <t>__export__.product_template_74222_15182e96</t>
  </si>
  <si>
    <t>10919</t>
  </si>
  <si>
    <t>ა/მ საწვავი: ევრო დიზელი,დიზელი, სითხე, ბენზინი</t>
  </si>
  <si>
    <t>__export__.product_template_63222_cc937209</t>
  </si>
  <si>
    <t>10069</t>
  </si>
  <si>
    <t>ა/მ საწვავის დანამატი ედბლუ</t>
  </si>
  <si>
    <t>__export__.product_template_17188_f2921098</t>
  </si>
  <si>
    <t>10644</t>
  </si>
  <si>
    <t>ა/მ საწვავის დონის მზომი სენსორი</t>
  </si>
  <si>
    <t>3/1 მოწყობილობა</t>
  </si>
  <si>
    <t>__export__.product_category_4676_c7cec7a7</t>
  </si>
  <si>
    <t>__export__.product_template_63115_4d2e46ca</t>
  </si>
  <si>
    <t>6444</t>
  </si>
  <si>
    <t>ა/მ საწვავის საზომი ხელსაწყო</t>
  </si>
  <si>
    <t>__export__.product_template_17189_ef3ea133</t>
  </si>
  <si>
    <t>10149</t>
  </si>
  <si>
    <t>__export__.product_template_17190_b34b291b</t>
  </si>
  <si>
    <t>10252</t>
  </si>
  <si>
    <t>ა/მ სტროპი ტროსი კაუჭებით და შემკრავი რგოლით 3მ.</t>
  </si>
  <si>
    <t>2/12/6 ა/მ ღვედი სტროპი</t>
  </si>
  <si>
    <t>__export__.product_category_4455_b76f84b6</t>
  </si>
  <si>
    <t>__export__.product_template_17194_4d1b2abf</t>
  </si>
  <si>
    <t>10467</t>
  </si>
  <si>
    <t>ა/მ სტროპი ჯაჭვი 4ც კაუჭებით 10ტ. 6მ.</t>
  </si>
  <si>
    <t>__export__.product_template_17191_96908442</t>
  </si>
  <si>
    <t>10468</t>
  </si>
  <si>
    <t>ა/მ სტროპი ჯაჭვი 4ც კაუჭებით 2.5ტ. 3მ.</t>
  </si>
  <si>
    <t>__export__.product_template_17192_d693a946</t>
  </si>
  <si>
    <t>10926</t>
  </si>
  <si>
    <t>ა/მ ტექ. ინსპექტირება</t>
  </si>
  <si>
    <t>__export__.product_template_63229_b1c26f38</t>
  </si>
  <si>
    <t>10924</t>
  </si>
  <si>
    <t>ა/მ ტექ. მომსახურება (მსუბუქი, ტენდერი)</t>
  </si>
  <si>
    <t>__export__.product_template_63227_8f1f04a1</t>
  </si>
  <si>
    <t>10929</t>
  </si>
  <si>
    <t>ა/მ ტექ. მომსახურება (სპეცი)</t>
  </si>
  <si>
    <t>__export__.product_template_63232_e872aa6d</t>
  </si>
  <si>
    <t>10930</t>
  </si>
  <si>
    <t>ა/მ ტექ. მომსახურება აგრეგატები</t>
  </si>
  <si>
    <t>__export__.product_template_63233_61c373a7</t>
  </si>
  <si>
    <t>10928</t>
  </si>
  <si>
    <t>ა/მ ტექ. მომსახურება კვადროციკლი და ბურანი</t>
  </si>
  <si>
    <t>__export__.product_template_63231_6afc36dc</t>
  </si>
  <si>
    <t>10925</t>
  </si>
  <si>
    <t>ა/მ ტექ. მომსახურება საგარანტიო და 5 წლამდე ავტომობილები (მსუბუქი)</t>
  </si>
  <si>
    <t>__export__.product_template_63228_04fa9feb</t>
  </si>
  <si>
    <t>8996</t>
  </si>
  <si>
    <t>__export__.product_template_17195_ddfb1b4b</t>
  </si>
  <si>
    <t>10255</t>
  </si>
  <si>
    <t>ა/მ ქანჩის გასაღები საბურავების რედუქტორით კომპლექტი (არღანი)</t>
  </si>
  <si>
    <t>__export__.product_template_17196_0c1628ed</t>
  </si>
  <si>
    <t>10348</t>
  </si>
  <si>
    <t>ა/მ ქანჩის გასაღები საბურავის რედუქტორის თავაკი 24მმ</t>
  </si>
  <si>
    <t>__export__.product_template_17171_041b9a77</t>
  </si>
  <si>
    <t>10349</t>
  </si>
  <si>
    <t>ა/მ ქანჩის გასაღები საბურავის რედუქტორის თავაკი 27მმ</t>
  </si>
  <si>
    <t>__export__.product_template_17172_14fd30c1</t>
  </si>
  <si>
    <t>10472</t>
  </si>
  <si>
    <t>ა/მ ქანჩის გასაღები საბურავის რედუქტორის თავაკი 38მმ</t>
  </si>
  <si>
    <t>__export__.product_template_17173_b19c3582</t>
  </si>
  <si>
    <t>8999</t>
  </si>
  <si>
    <t>ა/მ ქანჩის გასაღები ტრაილერის თავაკებით ნაკრები</t>
  </si>
  <si>
    <t>2/12/6 ა/მ ინსტრუმენტი</t>
  </si>
  <si>
    <t>__export__.product_category_4456_ce20d0c9</t>
  </si>
  <si>
    <t>__export__.product_template_17193_e2beedd4</t>
  </si>
  <si>
    <t>8287</t>
  </si>
  <si>
    <t>ა/მ ქანჩის გასაღების ნაკრები</t>
  </si>
  <si>
    <t>__export__.product_template_17197_15dd7167</t>
  </si>
  <si>
    <t>10711</t>
  </si>
  <si>
    <t>ა/მ ქაფის ავზი საცმი 1ლ</t>
  </si>
  <si>
    <t>__export__.product_template_62689_076191ec</t>
  </si>
  <si>
    <t>4091</t>
  </si>
  <si>
    <t>__export__.product_template_17198_e68f07bd</t>
  </si>
  <si>
    <t>9345</t>
  </si>
  <si>
    <t>__export__.product_template_17199_5aec8d4e</t>
  </si>
  <si>
    <t>9205</t>
  </si>
  <si>
    <t>__export__.product_template_17200_79630331</t>
  </si>
  <si>
    <t>3535</t>
  </si>
  <si>
    <t>__export__.product_template_17201_6e1878ce</t>
  </si>
  <si>
    <t>3672</t>
  </si>
  <si>
    <t>__export__.product_template_17202_e5bbd163</t>
  </si>
  <si>
    <t>9946</t>
  </si>
  <si>
    <t>__export__.product_template_17203_22aa2378</t>
  </si>
  <si>
    <t>3536</t>
  </si>
  <si>
    <t>__export__.product_template_17204_e1a560ec</t>
  </si>
  <si>
    <t>10024</t>
  </si>
  <si>
    <t>__export__.product_template_17205_61be1064</t>
  </si>
  <si>
    <t>9947</t>
  </si>
  <si>
    <t>__export__.product_template_17206_fe48b3eb</t>
  </si>
  <si>
    <t>4090</t>
  </si>
  <si>
    <t>__export__.product_template_17207_b23a6cb7</t>
  </si>
  <si>
    <t>10185</t>
  </si>
  <si>
    <t>ა/მ ღვედი ამწე 8ტ 10მ დამჭიმით</t>
  </si>
  <si>
    <t>__export__.product_template_17208_e6351397</t>
  </si>
  <si>
    <t>10256</t>
  </si>
  <si>
    <t>ა/მ შესაპოხი ელექტრო/პნევმო</t>
  </si>
  <si>
    <t>__export__.product_template_17209_a65012d8</t>
  </si>
  <si>
    <t>4708</t>
  </si>
  <si>
    <t>__export__.product_template_17210_515fb5f3</t>
  </si>
  <si>
    <t>7974</t>
  </si>
  <si>
    <t>__export__.product_template_17211_5e3ec2f4</t>
  </si>
  <si>
    <t>7982</t>
  </si>
  <si>
    <t>ა/მ შლანგი 213*1230 მ/წნ ჰიდრავლიკის</t>
  </si>
  <si>
    <t>__export__.product_template_17212_f1417513</t>
  </si>
  <si>
    <t>7981</t>
  </si>
  <si>
    <t>__export__.product_template_17213_ba9cefa3</t>
  </si>
  <si>
    <t>7973</t>
  </si>
  <si>
    <t>__export__.product_template_17214_ed3ceba2</t>
  </si>
  <si>
    <t>7983</t>
  </si>
  <si>
    <t>__export__.product_template_17215_0a05fcbd</t>
  </si>
  <si>
    <t>8213</t>
  </si>
  <si>
    <t>__export__.product_template_17216_6ef91d1b</t>
  </si>
  <si>
    <t>8214</t>
  </si>
  <si>
    <t>__export__.product_template_17217_8b4a23d1</t>
  </si>
  <si>
    <t>8215</t>
  </si>
  <si>
    <t>__export__.product_template_17218_58cc03f5</t>
  </si>
  <si>
    <t>7979</t>
  </si>
  <si>
    <t>ა/მ შლანგი 720*1500 მ/წნ ჰიდრავლიკის</t>
  </si>
  <si>
    <t>__export__.product_template_17219_4ef3adb2</t>
  </si>
  <si>
    <t>7995</t>
  </si>
  <si>
    <t>__export__.product_template_17220_d27c37a8</t>
  </si>
  <si>
    <t>7996</t>
  </si>
  <si>
    <t>__export__.product_template_17221_7a922be4</t>
  </si>
  <si>
    <t>7978</t>
  </si>
  <si>
    <t>ა/მ შლანგი 720*2330 მ/წნ ჰიდრავლიკის</t>
  </si>
  <si>
    <t>__export__.product_template_17222_4b68cae9</t>
  </si>
  <si>
    <t>7972</t>
  </si>
  <si>
    <t>ა/მ შლანგი 720*2500 მ/წნ ჰიდრავლიკის</t>
  </si>
  <si>
    <t>__export__.product_template_17223_2c5a6087</t>
  </si>
  <si>
    <t>7977</t>
  </si>
  <si>
    <t>ა/მ შლანგი 720*800 მ/წნ ჰიდრავლიკის</t>
  </si>
  <si>
    <t>__export__.product_template_17224_ab323709</t>
  </si>
  <si>
    <t>7987</t>
  </si>
  <si>
    <t>ა/მ შლანგი 725*1710 მ/წნ ჰიდრავლიკის</t>
  </si>
  <si>
    <t>__export__.product_template_17225_b9e83109</t>
  </si>
  <si>
    <t>3270</t>
  </si>
  <si>
    <t>__export__.product_template_17226_c28768de</t>
  </si>
  <si>
    <t>9000</t>
  </si>
  <si>
    <t>ა/მ შლანგი რადიატორის კომპრესორის</t>
  </si>
  <si>
    <t>__export__.product_template_17227_3c324a11</t>
  </si>
  <si>
    <t>7864</t>
  </si>
  <si>
    <t>__export__.product_template_17228_464877f7</t>
  </si>
  <si>
    <t>10932</t>
  </si>
  <si>
    <t>ა/მ შსს მომსახურების სააგენტო</t>
  </si>
  <si>
    <t>__export__.product_template_63235_7fc94ff5</t>
  </si>
  <si>
    <t>8997</t>
  </si>
  <si>
    <t>ა/მ შუქდიოდის სანათი</t>
  </si>
  <si>
    <t>__export__.product_template_17229_8459fc21</t>
  </si>
  <si>
    <t>6476</t>
  </si>
  <si>
    <t>__export__.product_template_17230_6707742f</t>
  </si>
  <si>
    <t>6477</t>
  </si>
  <si>
    <t>__export__.product_template_17231_2379d323</t>
  </si>
  <si>
    <t>4088</t>
  </si>
  <si>
    <t>__export__.product_template_17232_e0474d44</t>
  </si>
  <si>
    <t>6055</t>
  </si>
  <si>
    <t>ა/მ ჯაჭვი</t>
  </si>
  <si>
    <t>2/11 ა/მ ღვედი სტროპი</t>
  </si>
  <si>
    <t>__export__.product_category_4458_8ab6052d</t>
  </si>
  <si>
    <t>__export__.product_template_17234_3679a3f0</t>
  </si>
  <si>
    <t>8994</t>
  </si>
  <si>
    <t>ა/მ ჯაჭვი დამქაჩით 3000მმ*6ტ კომპლ.</t>
  </si>
  <si>
    <t>__export__.product_template_17235_2a2d7aa8</t>
  </si>
  <si>
    <t>4705</t>
  </si>
  <si>
    <t>ა/მ ჯაჭვი დამქაჩით დიდი</t>
  </si>
  <si>
    <t>__export__.product_template_17236_679dd1aa</t>
  </si>
  <si>
    <t>4744</t>
  </si>
  <si>
    <t>ა/მ ჯაჭვის დამქაჩი</t>
  </si>
  <si>
    <t>__export__.product_template_17237_30a4212d</t>
  </si>
  <si>
    <t>3695</t>
  </si>
  <si>
    <t>ა/მ ჰაერის კომპრესორი 12V</t>
  </si>
  <si>
    <t>__export__.product_template_17239_1961ece4</t>
  </si>
  <si>
    <t>5617</t>
  </si>
  <si>
    <t>ა/მ ჰაერის კომპრესორი 12V 7-10A</t>
  </si>
  <si>
    <t>__export__.product_template_17238_3c449b25</t>
  </si>
  <si>
    <t>10779</t>
  </si>
  <si>
    <t>აბრა კაბინეტის</t>
  </si>
  <si>
    <t>2/12/1 მანიშნებელი</t>
  </si>
  <si>
    <t>__export__.product_category_4459_d3569320</t>
  </si>
  <si>
    <t>__export__.product_template_62690_a04588f0</t>
  </si>
  <si>
    <t>5760</t>
  </si>
  <si>
    <t>__export__.product_template_17240_60a5ff27</t>
  </si>
  <si>
    <t>8521</t>
  </si>
  <si>
    <t>ავზი 1000ლ პოლიეთილენის</t>
  </si>
  <si>
    <t>2/12/6 ავზი პოლიეთილენის 1620</t>
  </si>
  <si>
    <t>__export__.product_category_4730_1f18669c</t>
  </si>
  <si>
    <t>__export__.product_template_17241_4a106e7c</t>
  </si>
  <si>
    <t>5077</t>
  </si>
  <si>
    <t>__export__.product_template_17242_fcd3ba3b</t>
  </si>
  <si>
    <t>8520</t>
  </si>
  <si>
    <t>2/12/6 ავზი პოლიეთილენის</t>
  </si>
  <si>
    <t>__export__.product_category_4460_199362ab</t>
  </si>
  <si>
    <t>__export__.product_template_17243_3275eba9</t>
  </si>
  <si>
    <t>8945</t>
  </si>
  <si>
    <t>ავზი 3000ლ პოლიეთილენის</t>
  </si>
  <si>
    <t>__export__.product_template_17244_af5aab8b</t>
  </si>
  <si>
    <t>10040</t>
  </si>
  <si>
    <t>ავზი 5000ლ პოლიეთილენის</t>
  </si>
  <si>
    <t>__export__.product_template_17245_23cdebda</t>
  </si>
  <si>
    <t>9964</t>
  </si>
  <si>
    <t>ავზი 500ლ პოლიეთილენის</t>
  </si>
  <si>
    <t>__export__.product_template_17246_384c8079</t>
  </si>
  <si>
    <t>9963</t>
  </si>
  <si>
    <t>__export__.product_template_17247_d45e6ab6</t>
  </si>
  <si>
    <t>9212</t>
  </si>
  <si>
    <t>აზოტი</t>
  </si>
  <si>
    <t>2/5 აირები</t>
  </si>
  <si>
    <t>__export__.product_category_4461_655a9511</t>
  </si>
  <si>
    <t>__export__.product_template_17248_c0707241</t>
  </si>
  <si>
    <t>10427</t>
  </si>
  <si>
    <t>აზოტი.</t>
  </si>
  <si>
    <t>__export__.product_template_17249_f02dff78</t>
  </si>
  <si>
    <t>5071</t>
  </si>
  <si>
    <t>2/12/6 ბალონი კანისტრა</t>
  </si>
  <si>
    <t>__export__.product_category_4462_735a8b76</t>
  </si>
  <si>
    <t>__export__.product_template_17250_193f42fd</t>
  </si>
  <si>
    <t>8763</t>
  </si>
  <si>
    <t>აირანალიზატორი QUMAT-110 ოდორიზაციის განმსაზღვერელი</t>
  </si>
  <si>
    <t>3/1 ხელსაწყო</t>
  </si>
  <si>
    <t>__export__.product_category_4463_aeed22bf</t>
  </si>
  <si>
    <t>__export__.product_template_17251_c1e28536</t>
  </si>
  <si>
    <t>9409</t>
  </si>
  <si>
    <t>აირანალიზატორი გაზის ქრომატოგრაფი</t>
  </si>
  <si>
    <t>__export__.product_template_17252_b42d7613</t>
  </si>
  <si>
    <t>8751</t>
  </si>
  <si>
    <t>აირანალიზატორი საკალიბრო ნარევით ოდორიზაციის განმსაზღვერელი</t>
  </si>
  <si>
    <t>__export__.product_template_17253_16fa529e</t>
  </si>
  <si>
    <t>9319</t>
  </si>
  <si>
    <t>აირანალიზატორის (Odor Handy) სენსორი</t>
  </si>
  <si>
    <t>__export__.product_template_17254_90349a31</t>
  </si>
  <si>
    <t>3226</t>
  </si>
  <si>
    <t>2/12/6 აირმჭრელი</t>
  </si>
  <si>
    <t>__export__.product_category_4464_f7ef75d4</t>
  </si>
  <si>
    <t>__export__.product_template_17255_259d988f</t>
  </si>
  <si>
    <t>9275</t>
  </si>
  <si>
    <t>__export__.product_template_17256_be729901</t>
  </si>
  <si>
    <t>10119</t>
  </si>
  <si>
    <t>__export__.product_template_17257_8bf64d37</t>
  </si>
  <si>
    <t>9276</t>
  </si>
  <si>
    <t>2/5 აირმჭრელი</t>
  </si>
  <si>
    <t>__export__.product_category_4465_930cf353</t>
  </si>
  <si>
    <t>__export__.product_template_17258_75e50e9d</t>
  </si>
  <si>
    <t>10857</t>
  </si>
  <si>
    <t>აკრედიტაცია ლაბორატორიის</t>
  </si>
  <si>
    <t>2/14 სტანდარტიზაცია / აკრედიტაცია</t>
  </si>
  <si>
    <t>__export__.product_category_4685_1c113268</t>
  </si>
  <si>
    <t>__export__.product_template_63160_727afcea</t>
  </si>
  <si>
    <t>5986</t>
  </si>
  <si>
    <t>აკუმულატორი 100 A/h</t>
  </si>
  <si>
    <t>2/5 ა/მ აკუმულატორი</t>
  </si>
  <si>
    <t>__export__.product_category_4466_0ec7e21d</t>
  </si>
  <si>
    <t>__export__.product_template_17259_23485d8b</t>
  </si>
  <si>
    <t>10317</t>
  </si>
  <si>
    <t>__export__.product_template_17260_a800e520</t>
  </si>
  <si>
    <t>6360</t>
  </si>
  <si>
    <t>აკუმულატორი DP-IR გაზის საკონტ.ხელსაწყოს</t>
  </si>
  <si>
    <t>__export__.product_template_17261_4310ac52</t>
  </si>
  <si>
    <t>3109</t>
  </si>
  <si>
    <t>2/5 სამღებრო</t>
  </si>
  <si>
    <t>__export__.product_category_4467_21a0b318</t>
  </si>
  <si>
    <t>__export__.product_template_17262_9bfb45df</t>
  </si>
  <si>
    <t>10893</t>
  </si>
  <si>
    <t>ამინდის ისტორიული და საპროგნოზო მონაცემები</t>
  </si>
  <si>
    <t>2/14 გეოდეზია / მეტროლოგია</t>
  </si>
  <si>
    <t>__export__.product_category_4699_2be92ac4</t>
  </si>
  <si>
    <t>__export__.product_template_63196_113fb2d2</t>
  </si>
  <si>
    <t>10056</t>
  </si>
  <si>
    <t>2/12/6 ხელსაწყო 1640</t>
  </si>
  <si>
    <t>__export__.product_category_4765_a649466f</t>
  </si>
  <si>
    <t>__export__.product_template_17263_13816ac9</t>
  </si>
  <si>
    <t>8106</t>
  </si>
  <si>
    <t>2/12/4 სახარჯი მასალა</t>
  </si>
  <si>
    <t>__export__.product_category_4469_8e4ee776</t>
  </si>
  <si>
    <t>__export__.product_template_17264_2a3c40ee</t>
  </si>
  <si>
    <t>9840</t>
  </si>
  <si>
    <t>ანკერი კაუჭით</t>
  </si>
  <si>
    <t>__export__.product_template_17265_4a23aa13</t>
  </si>
  <si>
    <t>10112</t>
  </si>
  <si>
    <t>ანკერი ჩარჩოსთვის 7.5*150 (ბულდექსი)</t>
  </si>
  <si>
    <t>__export__.product_template_17266_6fdbf860</t>
  </si>
  <si>
    <t>8392</t>
  </si>
  <si>
    <t>ანოდური დამიწების მოწყობილობა</t>
  </si>
  <si>
    <t>3/1 მოწყობილობა კათოდური</t>
  </si>
  <si>
    <t>__export__.product_category_4470_eba93735</t>
  </si>
  <si>
    <t>__export__.product_template_17267_c18920c3</t>
  </si>
  <si>
    <t>10045</t>
  </si>
  <si>
    <t>3/6 მოწყობილობის მაკომპლექტებელი</t>
  </si>
  <si>
    <t>__export__.product_category_4471_648079f2</t>
  </si>
  <si>
    <t>__export__.product_template_17268_82d12c32</t>
  </si>
  <si>
    <t>4282</t>
  </si>
  <si>
    <t>__export__.product_template_17269_6e2650f2</t>
  </si>
  <si>
    <t>10934</t>
  </si>
  <si>
    <t>ანტისტეპლერი</t>
  </si>
  <si>
    <t>2/12/1 საკანცელარიო</t>
  </si>
  <si>
    <t>__export__.product_category_4489_c6302315</t>
  </si>
  <si>
    <t>__export__.product_template_63237_b26ecbc7</t>
  </si>
  <si>
    <t>8107</t>
  </si>
  <si>
    <t>__export__.product_template_46052_364f044c</t>
  </si>
  <si>
    <t>4496</t>
  </si>
  <si>
    <t>__export__.product_template_46053_52ccaacd</t>
  </si>
  <si>
    <t>10636</t>
  </si>
  <si>
    <t>ანჯამა (პეტლი) დიდი ნამზ.</t>
  </si>
  <si>
    <t>__export__.product_template_63107_6b982d6d</t>
  </si>
  <si>
    <t>11001</t>
  </si>
  <si>
    <t>ანჯამა (პეტლი) მეტალოპლასტმასის კარის</t>
  </si>
  <si>
    <t>__export__.product_template_63304_d1514aba</t>
  </si>
  <si>
    <t>8492</t>
  </si>
  <si>
    <t>ანჯამა (პეტლი) მეტალოპლასტმასის ფანჯრის</t>
  </si>
  <si>
    <t>__export__.product_template_46054_5f3f1acf</t>
  </si>
  <si>
    <t>3048</t>
  </si>
  <si>
    <t>__export__.product_template_46055_75d84701</t>
  </si>
  <si>
    <t>4549</t>
  </si>
  <si>
    <t>__export__.product_template_46056_4f752202</t>
  </si>
  <si>
    <t>00001</t>
  </si>
  <si>
    <t>ანჯამა (პეტლი) საშუალო (copy)</t>
  </si>
  <si>
    <t>მეტალურგია</t>
  </si>
  <si>
    <t>__export__.product_category_85_d90bed43</t>
  </si>
  <si>
    <t>__export__.product_template_15176_32ce763d</t>
  </si>
  <si>
    <t>8565</t>
  </si>
  <si>
    <t>__export__.product_template_46057_25e1b47e</t>
  </si>
  <si>
    <t>4462</t>
  </si>
  <si>
    <t>2/5 ლითონის მასალა</t>
  </si>
  <si>
    <t>__export__.product_category_4473_7fc3cc4f</t>
  </si>
  <si>
    <t>__export__.product_template_46058_f205edf2</t>
  </si>
  <si>
    <t>3301</t>
  </si>
  <si>
    <t>__export__.product_template_46059_3e68570e</t>
  </si>
  <si>
    <t>6149</t>
  </si>
  <si>
    <t>__export__.product_template_46060_b0b77c72</t>
  </si>
  <si>
    <t>3799</t>
  </si>
  <si>
    <t>არმატურა 14მმ</t>
  </si>
  <si>
    <t>__export__.product_template_46061_b1529bd3</t>
  </si>
  <si>
    <t>3778</t>
  </si>
  <si>
    <t>__export__.product_template_46062_91980ee6</t>
  </si>
  <si>
    <t>3317</t>
  </si>
  <si>
    <t>__export__.product_template_46063_94a019c5</t>
  </si>
  <si>
    <t>7786</t>
  </si>
  <si>
    <t>__export__.product_template_46064_45f0dfee</t>
  </si>
  <si>
    <t>4412</t>
  </si>
  <si>
    <t>__export__.product_template_46065_f646d77b</t>
  </si>
  <si>
    <t>10897</t>
  </si>
  <si>
    <t>აუდიტი: გაზიფიცირების პროექტები</t>
  </si>
  <si>
    <t>2/14 აუდიტი</t>
  </si>
  <si>
    <t>__export__.product_category_4700_7810caf4</t>
  </si>
  <si>
    <t>__export__.product_template_63200_4c50ed19</t>
  </si>
  <si>
    <t>10896</t>
  </si>
  <si>
    <t>აუდიტი: ინვესტიციების შეფასება</t>
  </si>
  <si>
    <t>__export__.product_template_63199_4d42aabc</t>
  </si>
  <si>
    <t>10894</t>
  </si>
  <si>
    <t>აუდიტი: ფინანსური ანგარიშგება</t>
  </si>
  <si>
    <t>__export__.product_template_63197_00e1b13c</t>
  </si>
  <si>
    <t>10895</t>
  </si>
  <si>
    <t>აუდიტი: შეფასება უძრავ-მოძრავი ქონება</t>
  </si>
  <si>
    <t>__export__.product_template_63198_06c187ee</t>
  </si>
  <si>
    <t>3211</t>
  </si>
  <si>
    <t>აფთიაქი პირველადი დახმარების</t>
  </si>
  <si>
    <t>2/12/2 პირველადი დახმარება</t>
  </si>
  <si>
    <t>__export__.product_category_4474_14d9f4c2</t>
  </si>
  <si>
    <t>__export__.product_template_46066_bf88d20c</t>
  </si>
  <si>
    <t>11014</t>
  </si>
  <si>
    <t>აქანდაზი ცოცხით</t>
  </si>
  <si>
    <t>2/12/4 ჰიგიენური</t>
  </si>
  <si>
    <t>__export__.product_category_4680_0a791ea6</t>
  </si>
  <si>
    <t>__export__.product_template_63317_b9c4e263</t>
  </si>
  <si>
    <t>3603</t>
  </si>
  <si>
    <t>2/5 ქიმიური ნივთიერებები</t>
  </si>
  <si>
    <t>__export__.product_category_4475_c8e47356</t>
  </si>
  <si>
    <t>__export__.product_template_46067_5d839cb5</t>
  </si>
  <si>
    <t>1408</t>
  </si>
  <si>
    <t>2/5 სამეურნეო</t>
  </si>
  <si>
    <t>__export__.product_category_4476_87d2b931</t>
  </si>
  <si>
    <t>__export__.product_template_46068_10e12bf5</t>
  </si>
  <si>
    <t>10099</t>
  </si>
  <si>
    <t>ბადე ლენტი სამღებრო 50*900</t>
  </si>
  <si>
    <t>2/12/4 სამღებრო</t>
  </si>
  <si>
    <t>__export__.product_category_4477_cd78fb4f</t>
  </si>
  <si>
    <t>__export__.product_template_46069_7f1a7f24</t>
  </si>
  <si>
    <t>3092</t>
  </si>
  <si>
    <t>ბადე მავთულის ცხაურა 2000*50*50*2.5</t>
  </si>
  <si>
    <t>__export__.product_template_46070_a52e9a68</t>
  </si>
  <si>
    <t>8577</t>
  </si>
  <si>
    <t>ბადე მეტალოპლასტმასის ფანჯრის</t>
  </si>
  <si>
    <t>__export__.product_template_46071_c4bd1379</t>
  </si>
  <si>
    <t>5865</t>
  </si>
  <si>
    <t>__export__.product_template_46072_f3e254a0</t>
  </si>
  <si>
    <t>10935</t>
  </si>
  <si>
    <t>ბაინდერი</t>
  </si>
  <si>
    <t>__export__.product_template_63238_83d19b21</t>
  </si>
  <si>
    <t>10936</t>
  </si>
  <si>
    <t>ბაინდერი პატარა</t>
  </si>
  <si>
    <t>__export__.product_template_63239_505269fe</t>
  </si>
  <si>
    <t>10520</t>
  </si>
  <si>
    <t>ბალგარკა ელემენტზე</t>
  </si>
  <si>
    <t>2/12/6 ხელსაწყო</t>
  </si>
  <si>
    <t>__export__.product_category_4468_03bc8aff</t>
  </si>
  <si>
    <t>__export__.product_template_46073_859133aa</t>
  </si>
  <si>
    <t>8166</t>
  </si>
  <si>
    <t>__export__.product_template_46074_ed8dc923</t>
  </si>
  <si>
    <t>3174</t>
  </si>
  <si>
    <t>__export__.product_template_46075_c85ae1db</t>
  </si>
  <si>
    <t>8167</t>
  </si>
  <si>
    <t>__export__.product_template_46076_331e330b</t>
  </si>
  <si>
    <t>8168</t>
  </si>
  <si>
    <t>__export__.product_template_46077_385f100c</t>
  </si>
  <si>
    <t>4391</t>
  </si>
  <si>
    <t>__export__.product_template_46078_308f9144</t>
  </si>
  <si>
    <t>4350</t>
  </si>
  <si>
    <t>__export__.product_template_46079_5ec57ab0</t>
  </si>
  <si>
    <t>3564</t>
  </si>
  <si>
    <t>ბალონი სინჯის ასაღები</t>
  </si>
  <si>
    <t>__export__.product_template_46080_8ec9dfbb</t>
  </si>
  <si>
    <t>5801</t>
  </si>
  <si>
    <t>__export__.product_template_46081_1dca5f9a</t>
  </si>
  <si>
    <t>6331</t>
  </si>
  <si>
    <t>__export__.product_template_46082_1b8576d3</t>
  </si>
  <si>
    <t>3119</t>
  </si>
  <si>
    <t>2/12/6 ინსტრუმენტი</t>
  </si>
  <si>
    <t>__export__.product_category_4478_e1e62b79</t>
  </si>
  <si>
    <t>__export__.product_template_46083_7dab3401</t>
  </si>
  <si>
    <t>5787</t>
  </si>
  <si>
    <t>2/5 ბატარეა ელემენტი</t>
  </si>
  <si>
    <t>__export__.product_category_4479_5b2967e8</t>
  </si>
  <si>
    <t>__export__.product_template_46084_89603e18</t>
  </si>
  <si>
    <t>8946</t>
  </si>
  <si>
    <t>3/3 ბატარეა ელემენტი</t>
  </si>
  <si>
    <t>__export__.product_category_4480_07d160bb</t>
  </si>
  <si>
    <t>__export__.product_template_46085_6326e7f5</t>
  </si>
  <si>
    <t>8564</t>
  </si>
  <si>
    <t>__export__.product_template_46086_a1443bf4</t>
  </si>
  <si>
    <t>9309</t>
  </si>
  <si>
    <t>ბატარეა QUMAT-110 აირანალიზატორის</t>
  </si>
  <si>
    <t>__export__.product_template_46087_86cfd315</t>
  </si>
  <si>
    <t>3294</t>
  </si>
  <si>
    <t>__export__.product_template_46088_fc778df1</t>
  </si>
  <si>
    <t>10273</t>
  </si>
  <si>
    <t>ბატარეა უპილოტო საფრენი აპარატის</t>
  </si>
  <si>
    <t>3/6 ბატარეა ელემენტი</t>
  </si>
  <si>
    <t>__export__.product_category_4481_e46ed8b8</t>
  </si>
  <si>
    <t>__export__.product_template_46089_0f52aca9</t>
  </si>
  <si>
    <t>10369</t>
  </si>
  <si>
    <t>ბატარეა უპილოტო საფრენი აპარატის კომპლექტში</t>
  </si>
  <si>
    <t>__export__.product_template_46090_e57ba19e</t>
  </si>
  <si>
    <t>3004</t>
  </si>
  <si>
    <t>2/11 საწვავი</t>
  </si>
  <si>
    <t>__export__.product_category_4710_07349861</t>
  </si>
  <si>
    <t>__export__.product_template_46091_3fc15835</t>
  </si>
  <si>
    <t>11133</t>
  </si>
  <si>
    <t>ბენზინი პრემიუმი</t>
  </si>
  <si>
    <t>__export__.product_template_72406_57ad0872</t>
  </si>
  <si>
    <t>8425</t>
  </si>
  <si>
    <t>__export__.product_template_46092_e2ec9e85</t>
  </si>
  <si>
    <t>8935</t>
  </si>
  <si>
    <t>2/5 ხელსაწყოს ცვეთადი პირები</t>
  </si>
  <si>
    <t>__export__.product_category_4483_ea0c7fcd</t>
  </si>
  <si>
    <t>__export__.product_template_46093_99adcb47</t>
  </si>
  <si>
    <t>6323</t>
  </si>
  <si>
    <t>__export__.product_template_46094_ca0a01b5</t>
  </si>
  <si>
    <t>4078</t>
  </si>
  <si>
    <t>__export__.product_template_46095_83ecb740</t>
  </si>
  <si>
    <t>4397</t>
  </si>
  <si>
    <t>__export__.product_template_46096_4bec19db</t>
  </si>
  <si>
    <t>9835</t>
  </si>
  <si>
    <t>ბეტონი B20 / M250</t>
  </si>
  <si>
    <t>2/5 სამშენებლო მასალა</t>
  </si>
  <si>
    <t>__export__.product_category_4484_f09cdc98</t>
  </si>
  <si>
    <t>__export__.product_template_46097_b6c926ae</t>
  </si>
  <si>
    <t>10630</t>
  </si>
  <si>
    <t>ბეტონი B25 / M350</t>
  </si>
  <si>
    <t>__export__.product_template_47715_178e4118</t>
  </si>
  <si>
    <t>9439</t>
  </si>
  <si>
    <t>ბეტონის შემრევი მიქსერი დიზელზე</t>
  </si>
  <si>
    <t>3/1 მოწყობილობა სხვა</t>
  </si>
  <si>
    <t>__export__.product_category_4485_dbd7106b</t>
  </si>
  <si>
    <t>__export__.product_template_46098_fd883693</t>
  </si>
  <si>
    <t>10532</t>
  </si>
  <si>
    <t>ბეტონის შემრევი მიქსერის ბარაბნის კბილანის სეგმენტი</t>
  </si>
  <si>
    <t>2/11 მოწყობილობის მაკომპლექტებელი</t>
  </si>
  <si>
    <t>__export__.product_category_4486_b9d4d133</t>
  </si>
  <si>
    <t>__export__.product_template_46099_0be3c0dc</t>
  </si>
  <si>
    <t>11057</t>
  </si>
  <si>
    <t>ბეჭდების დამზადება</t>
  </si>
  <si>
    <t>__export__.product_template_72244_57b971d1</t>
  </si>
  <si>
    <t>10780</t>
  </si>
  <si>
    <t>ბინოკლი</t>
  </si>
  <si>
    <t>2/12/6 ხელსაწყო 2197</t>
  </si>
  <si>
    <t>__export__.product_category_4766_f2e5c512</t>
  </si>
  <si>
    <t>__export__.product_template_62691_703d02cb</t>
  </si>
  <si>
    <t>3141</t>
  </si>
  <si>
    <t>2/5 იზოლაცია</t>
  </si>
  <si>
    <t>__export__.product_category_4487_c1824339</t>
  </si>
  <si>
    <t>__export__.product_template_46100_63799660</t>
  </si>
  <si>
    <t>4342</t>
  </si>
  <si>
    <t>__export__.product_template_46101_8dd60b63</t>
  </si>
  <si>
    <t>4413</t>
  </si>
  <si>
    <t>__export__.product_template_46102_11f9b4f0</t>
  </si>
  <si>
    <t>10100</t>
  </si>
  <si>
    <t>ბლოკი სამშენებლო 40*20*10სმ</t>
  </si>
  <si>
    <t>2/12/7 სამშენებლო მასალა</t>
  </si>
  <si>
    <t>__export__.product_category_4488_46268e23</t>
  </si>
  <si>
    <t>__export__.product_template_46103_5d800fbd</t>
  </si>
  <si>
    <t>10752</t>
  </si>
  <si>
    <t>ბლოკი სამშენებლო 40*30*20სმ</t>
  </si>
  <si>
    <t>__export__.product_template_62692_3e3f9951</t>
  </si>
  <si>
    <t>10937</t>
  </si>
  <si>
    <t>ბლოკნოტი A4</t>
  </si>
  <si>
    <t>__export__.product_template_63240_1e89de10</t>
  </si>
  <si>
    <t>10938</t>
  </si>
  <si>
    <t>ბლოკნოტი A5</t>
  </si>
  <si>
    <t>__export__.product_template_63241_b900e31b</t>
  </si>
  <si>
    <t>10774</t>
  </si>
  <si>
    <t>ბლოკნოტი A5 ბრენირებული GGTC</t>
  </si>
  <si>
    <t>__export__.product_template_62693_07c2a23c</t>
  </si>
  <si>
    <t>10071</t>
  </si>
  <si>
    <t>ბორბალი სამეურნეო მაგიდის</t>
  </si>
  <si>
    <t>__export__.product_template_46104_bb2ca293</t>
  </si>
  <si>
    <t>8490</t>
  </si>
  <si>
    <t>2/12/4 საოფისე ინვენტარი</t>
  </si>
  <si>
    <t>__export__.product_category_4490_a37b884c</t>
  </si>
  <si>
    <t>__export__.product_template_46105_bb600ea6</t>
  </si>
  <si>
    <t>10072</t>
  </si>
  <si>
    <t>__export__.product_template_46106_3c7ad550</t>
  </si>
  <si>
    <t>4055</t>
  </si>
  <si>
    <t>__export__.product_template_46107_dac3a6c9</t>
  </si>
  <si>
    <t>3080</t>
  </si>
  <si>
    <t>__export__.product_template_46108_a491b2cb</t>
  </si>
  <si>
    <t>5702</t>
  </si>
  <si>
    <t>__export__.product_template_46109_eb70772a</t>
  </si>
  <si>
    <t>10764</t>
  </si>
  <si>
    <t>ბოცა პლასტმასის თავსახურით (ერთჯერადი) 3ლ</t>
  </si>
  <si>
    <t>__export__.product_template_62694_cd6e80fb</t>
  </si>
  <si>
    <t>10763</t>
  </si>
  <si>
    <t>ბოცა პლასტმასის თავსახურით (ერთჯერადი) 5ლ</t>
  </si>
  <si>
    <t>__export__.product_template_62695_b59a71b5</t>
  </si>
  <si>
    <t>6199</t>
  </si>
  <si>
    <t>ბოძი პლასტმასის მანიშნებელი</t>
  </si>
  <si>
    <t>2/12/2 მანიშნებელი</t>
  </si>
  <si>
    <t>__export__.product_category_4491_eee62ba6</t>
  </si>
  <si>
    <t>__export__.product_template_46110_f505b51b</t>
  </si>
  <si>
    <t>9826</t>
  </si>
  <si>
    <t>2/12/4 განათება</t>
  </si>
  <si>
    <t>__export__.product_category_4492_3b7bc0db</t>
  </si>
  <si>
    <t>__export__.product_template_46111_e6bc253f</t>
  </si>
  <si>
    <t>4514</t>
  </si>
  <si>
    <t>2/12/1 განათება</t>
  </si>
  <si>
    <t>__export__.product_category_4493_bc4c16ac</t>
  </si>
  <si>
    <t>__export__.product_template_46112_91270dc3</t>
  </si>
  <si>
    <t>10428</t>
  </si>
  <si>
    <t>ბრანდმაუერი A ტიპის NGFW</t>
  </si>
  <si>
    <t>__export__.product_template_46113_1e9001b5</t>
  </si>
  <si>
    <t>10429</t>
  </si>
  <si>
    <t>ბრანდმაუერი B ტიპის NGFW</t>
  </si>
  <si>
    <t>__export__.product_template_46114_4e25e5bc</t>
  </si>
  <si>
    <t>10430</t>
  </si>
  <si>
    <t>ბრანდმაუერის ცენტრალური მართვის ცენტრი</t>
  </si>
  <si>
    <t>__export__.product_template_46115_71a3ae8e</t>
  </si>
  <si>
    <t>10755</t>
  </si>
  <si>
    <t>ბრინჯაოს მრგვალი ნამზადი 50მმ</t>
  </si>
  <si>
    <t>__export__.product_template_62696_5975b1b4</t>
  </si>
  <si>
    <t>3041</t>
  </si>
  <si>
    <t>ბრტყელტუჩა 200მმ</t>
  </si>
  <si>
    <t>__export__.product_template_46116_314f748b</t>
  </si>
  <si>
    <t>10213</t>
  </si>
  <si>
    <t>__export__.product_template_46117_0a5d7f29</t>
  </si>
  <si>
    <t>10455</t>
  </si>
  <si>
    <t>ბუნებრივ აირში მტვრიანობის განსასაზღვრი ხელსაწყო</t>
  </si>
  <si>
    <t>3/1 ხელსაწყო ლაბორატორია</t>
  </si>
  <si>
    <t>__export__.product_category_4494_f9cb2178</t>
  </si>
  <si>
    <t>__export__.product_template_46118_2202d159</t>
  </si>
  <si>
    <t>10457</t>
  </si>
  <si>
    <t>ბუნებრივ აირში ნახშირწყალბადების ნამის წერტილების განსასაზღვრი ხელსაწყო</t>
  </si>
  <si>
    <t>__export__.product_template_46119_1237de9a</t>
  </si>
  <si>
    <t>10456</t>
  </si>
  <si>
    <t>ბუნებრივ აირში ჟანგბადის განსასაზღვრი ხელსაწყო</t>
  </si>
  <si>
    <t>__export__.product_template_46120_f00cd5a4</t>
  </si>
  <si>
    <t>10535</t>
  </si>
  <si>
    <t>ბუნებრივი გაზის მიწოდების სისტემა-სიმკვრივის მზომისთვის</t>
  </si>
  <si>
    <t>2/5 ხელსაწყო ლაბორატორია</t>
  </si>
  <si>
    <t>__export__.product_category_4495_bc6335be</t>
  </si>
  <si>
    <t>__export__.product_template_46121_d62de0c8</t>
  </si>
  <si>
    <t>7603</t>
  </si>
  <si>
    <t>2/5 სტანდარტი საკალიბრო</t>
  </si>
  <si>
    <t>__export__.product_category_4496_c1e8a5ba</t>
  </si>
  <si>
    <t>__export__.product_template_46122_4edc1a3a</t>
  </si>
  <si>
    <t>8332</t>
  </si>
  <si>
    <t>__export__.product_template_46123_d16214fd</t>
  </si>
  <si>
    <t>03431</t>
  </si>
  <si>
    <t>ბურთულოვანი ონკანი DN300 PN63 შედუღებით</t>
  </si>
  <si>
    <t>მოწყობილობა მაგისტრალის / ონკანი მიწისზედა D50</t>
  </si>
  <si>
    <t>__export__.product_category_2355_a9943885</t>
  </si>
  <si>
    <t>__export__.product_template_62360_92e57f08</t>
  </si>
  <si>
    <t>8679</t>
  </si>
  <si>
    <t>ბურღების ნაკრები 1-12 მეტალის</t>
  </si>
  <si>
    <t>__export__.product_template_46125_5030ca45</t>
  </si>
  <si>
    <t>5921</t>
  </si>
  <si>
    <t>__export__.product_template_46126_88944d57</t>
  </si>
  <si>
    <t>3126</t>
  </si>
  <si>
    <t>ბურღი (დრელი) ელექტრო</t>
  </si>
  <si>
    <t>__export__.product_template_46127_236402de</t>
  </si>
  <si>
    <t>9981</t>
  </si>
  <si>
    <t>__export__.product_template_46128_ea0dff13</t>
  </si>
  <si>
    <t>1735</t>
  </si>
  <si>
    <t>__export__.product_template_46129_f8014460</t>
  </si>
  <si>
    <t>10014</t>
  </si>
  <si>
    <t>ბურღი დამცენტრავი D5*14</t>
  </si>
  <si>
    <t>__export__.product_template_46130_0c33fc82</t>
  </si>
  <si>
    <t>6838</t>
  </si>
  <si>
    <t>__export__.product_template_46131_6ad47bf3</t>
  </si>
  <si>
    <t>9956</t>
  </si>
  <si>
    <t>ბურღი დამცენტრავი D6-14 ГОСТ 14952-75</t>
  </si>
  <si>
    <t>__export__.product_template_46133_206b510a</t>
  </si>
  <si>
    <t>9237</t>
  </si>
  <si>
    <t>__export__.product_template_46132_b4a5bb78</t>
  </si>
  <si>
    <t>9239</t>
  </si>
  <si>
    <t>ბურღი კონუსური 15</t>
  </si>
  <si>
    <t>__export__.product_template_46134_a2dc90db</t>
  </si>
  <si>
    <t>9240</t>
  </si>
  <si>
    <t>ბურღი კონუსური 15.5</t>
  </si>
  <si>
    <t>__export__.product_template_46135_bfdb7bfc</t>
  </si>
  <si>
    <t>9241</t>
  </si>
  <si>
    <t>ბურღი კონუსური 16</t>
  </si>
  <si>
    <t>__export__.product_template_46136_ebe0685d</t>
  </si>
  <si>
    <t>9242</t>
  </si>
  <si>
    <t>ბურღი კონუსური 17.5</t>
  </si>
  <si>
    <t>__export__.product_template_46137_759cc7ff</t>
  </si>
  <si>
    <t>10010</t>
  </si>
  <si>
    <t>ბურღი კონუსური 17.5 მორზე 2</t>
  </si>
  <si>
    <t>__export__.product_template_46138_2aa25d04</t>
  </si>
  <si>
    <t>6824</t>
  </si>
  <si>
    <t>ბურღი კონუსური 18</t>
  </si>
  <si>
    <t>__export__.product_template_46139_a09418b2</t>
  </si>
  <si>
    <t>10264</t>
  </si>
  <si>
    <t>ბურღი კონუსური 18.6</t>
  </si>
  <si>
    <t>__export__.product_template_46140_aa9f5ea3</t>
  </si>
  <si>
    <t>9371</t>
  </si>
  <si>
    <t>ბურღი კონუსური 18.7</t>
  </si>
  <si>
    <t>__export__.product_template_46141_e520b48f</t>
  </si>
  <si>
    <t>6825</t>
  </si>
  <si>
    <t>ბურღი კონუსური 19</t>
  </si>
  <si>
    <t>__export__.product_template_46142_877a4a39</t>
  </si>
  <si>
    <t>10009</t>
  </si>
  <si>
    <t>ბურღი კონუსური 19 მორზე 2</t>
  </si>
  <si>
    <t>__export__.product_template_46143_2fb8dbad</t>
  </si>
  <si>
    <t>9243</t>
  </si>
  <si>
    <t>ბურღი კონუსური 19.5</t>
  </si>
  <si>
    <t>__export__.product_template_46144_ced6e6f7</t>
  </si>
  <si>
    <t>10265</t>
  </si>
  <si>
    <t>ბურღი კონუსური 20.6</t>
  </si>
  <si>
    <t>__export__.product_template_46145_7c49fe5f</t>
  </si>
  <si>
    <t>6827</t>
  </si>
  <si>
    <t>ბურღი კონუსური 21</t>
  </si>
  <si>
    <t>__export__.product_template_46146_c96cca2e</t>
  </si>
  <si>
    <t>6828</t>
  </si>
  <si>
    <t>ბურღი კონუსური 22</t>
  </si>
  <si>
    <t>__export__.product_template_46147_4f0da29a</t>
  </si>
  <si>
    <t>10017</t>
  </si>
  <si>
    <t>ბურღი კონუსური 23 მორზე 2</t>
  </si>
  <si>
    <t>__export__.product_template_46148_5b144679</t>
  </si>
  <si>
    <t>6830</t>
  </si>
  <si>
    <t>ბურღი კონუსური 24</t>
  </si>
  <si>
    <t>__export__.product_template_46149_14a58670</t>
  </si>
  <si>
    <t>9372</t>
  </si>
  <si>
    <t>ბურღი კონუსური 24.5</t>
  </si>
  <si>
    <t>__export__.product_template_46150_2acc6991</t>
  </si>
  <si>
    <t>10266</t>
  </si>
  <si>
    <t>ბურღი კონუსური 26.5</t>
  </si>
  <si>
    <t>__export__.product_template_46151_fabe1c35</t>
  </si>
  <si>
    <t>8570</t>
  </si>
  <si>
    <t>ბურღი კონუსური 9</t>
  </si>
  <si>
    <t>__export__.product_template_46152_9e53fa30</t>
  </si>
  <si>
    <t>8148</t>
  </si>
  <si>
    <t>ბურღი მეტალის 10</t>
  </si>
  <si>
    <t>__export__.product_template_46153_3fef0473</t>
  </si>
  <si>
    <t>9369</t>
  </si>
  <si>
    <t>ბურღი მეტალის 10.5</t>
  </si>
  <si>
    <t>__export__.product_template_46154_8b3b270f</t>
  </si>
  <si>
    <t>9134</t>
  </si>
  <si>
    <t>ბურღი მეტალის 11</t>
  </si>
  <si>
    <t>__export__.product_template_17981_c115045e</t>
  </si>
  <si>
    <t>9368</t>
  </si>
  <si>
    <t>ბურღი მეტალის 11.5</t>
  </si>
  <si>
    <t>__export__.product_template_17982_cc5f59bc</t>
  </si>
  <si>
    <t>9135</t>
  </si>
  <si>
    <t>ბურღი მეტალის 12</t>
  </si>
  <si>
    <t>__export__.product_template_17983_e5816bde</t>
  </si>
  <si>
    <t>9352</t>
  </si>
  <si>
    <t>ბურღი მეტალის 12.5</t>
  </si>
  <si>
    <t>__export__.product_template_18013_69e2b32c</t>
  </si>
  <si>
    <t>8149</t>
  </si>
  <si>
    <t>__export__.product_template_17984_229c5bcc</t>
  </si>
  <si>
    <t>9136</t>
  </si>
  <si>
    <t>ბურღი მეტალის 14</t>
  </si>
  <si>
    <t>__export__.product_template_17985_cc911395</t>
  </si>
  <si>
    <t>9367</t>
  </si>
  <si>
    <t>ბურღი მეტალის 14.5</t>
  </si>
  <si>
    <t>__export__.product_template_18018_66b857fd</t>
  </si>
  <si>
    <t>9137</t>
  </si>
  <si>
    <t>ბურღი მეტალის 15</t>
  </si>
  <si>
    <t>__export__.product_template_17986_5c5c8033</t>
  </si>
  <si>
    <t>9370</t>
  </si>
  <si>
    <t>ბურღი მეტალის 15.5</t>
  </si>
  <si>
    <t>__export__.product_template_17987_27030a86</t>
  </si>
  <si>
    <t>9223</t>
  </si>
  <si>
    <t>ბურღი მეტალის 16</t>
  </si>
  <si>
    <t>__export__.product_template_17988_dc6255ae</t>
  </si>
  <si>
    <t>9224</t>
  </si>
  <si>
    <t>ბურღი მეტალის 18</t>
  </si>
  <si>
    <t>__export__.product_template_17989_4a992a37</t>
  </si>
  <si>
    <t>9398</t>
  </si>
  <si>
    <t>ბურღი მეტალის 19</t>
  </si>
  <si>
    <t>__export__.product_template_17990_f75bf56f</t>
  </si>
  <si>
    <t>8153</t>
  </si>
  <si>
    <t>ბურღი მეტალის 21</t>
  </si>
  <si>
    <t>__export__.product_template_17991_97453ec0</t>
  </si>
  <si>
    <t>6874</t>
  </si>
  <si>
    <t>ბურღი მეტალის 3</t>
  </si>
  <si>
    <t>__export__.product_template_18023_a31acb49</t>
  </si>
  <si>
    <t>5807</t>
  </si>
  <si>
    <t>ბურღი მეტალის 3.2</t>
  </si>
  <si>
    <t>__export__.product_template_17992_c148a39b</t>
  </si>
  <si>
    <t>8146</t>
  </si>
  <si>
    <t>ბურღი მეტალის 4</t>
  </si>
  <si>
    <t>__export__.product_template_17993_e88a629c</t>
  </si>
  <si>
    <t>9132</t>
  </si>
  <si>
    <t>ბურღი მეტალის 5</t>
  </si>
  <si>
    <t>__export__.product_template_17994_3fb85f51</t>
  </si>
  <si>
    <t>5808</t>
  </si>
  <si>
    <t>ბურღი მეტალის 6</t>
  </si>
  <si>
    <t>__export__.product_template_17995_086c8684</t>
  </si>
  <si>
    <t>6115</t>
  </si>
  <si>
    <t>__export__.product_template_17996_6eb7694b</t>
  </si>
  <si>
    <t>9133</t>
  </si>
  <si>
    <t>ბურღი მეტალის 7</t>
  </si>
  <si>
    <t>__export__.product_template_17997_f0e16e79</t>
  </si>
  <si>
    <t>6875</t>
  </si>
  <si>
    <t>ბურღი მეტალის 8</t>
  </si>
  <si>
    <t>__export__.product_template_17998_fc5d51d9</t>
  </si>
  <si>
    <t>9353</t>
  </si>
  <si>
    <t>ბურღი მეტალის 8.5</t>
  </si>
  <si>
    <t>__export__.product_template_17999_021a7686</t>
  </si>
  <si>
    <t>6116</t>
  </si>
  <si>
    <t>__export__.product_template_18000_cbfaed7a</t>
  </si>
  <si>
    <t>8147</t>
  </si>
  <si>
    <t>__export__.product_template_18001_fc62f83f</t>
  </si>
  <si>
    <t>8669</t>
  </si>
  <si>
    <t>__export__.product_template_18002_77ebdf31</t>
  </si>
  <si>
    <t>7801</t>
  </si>
  <si>
    <t>__export__.product_template_18003_53b0f8a4</t>
  </si>
  <si>
    <t>9286</t>
  </si>
  <si>
    <t>__export__.product_template_18004_be231412</t>
  </si>
  <si>
    <t>9285</t>
  </si>
  <si>
    <t>__export__.product_template_18005_2e46821b</t>
  </si>
  <si>
    <t>8668</t>
  </si>
  <si>
    <t>__export__.product_template_18006_69842ad4</t>
  </si>
  <si>
    <t>6817</t>
  </si>
  <si>
    <t>ბურღი ცილინდრული 10</t>
  </si>
  <si>
    <t>__export__.product_template_18007_77a65249</t>
  </si>
  <si>
    <t>9245</t>
  </si>
  <si>
    <t>ბურღი ცილინდრული 10.2</t>
  </si>
  <si>
    <t>__export__.product_template_18008_001515e9</t>
  </si>
  <si>
    <t>9970</t>
  </si>
  <si>
    <t>ბურღი ცილინდრული 10.5</t>
  </si>
  <si>
    <t>__export__.product_template_18009_f2b8e7f1</t>
  </si>
  <si>
    <t>6818</t>
  </si>
  <si>
    <t>ბურღი ცილინდრული 11</t>
  </si>
  <si>
    <t>__export__.product_template_18010_a68c21bd</t>
  </si>
  <si>
    <t>9244</t>
  </si>
  <si>
    <t>ბურღი ცილინდრული 11.5</t>
  </si>
  <si>
    <t>__export__.product_template_18011_387896a3</t>
  </si>
  <si>
    <t>6819</t>
  </si>
  <si>
    <t>ბურღი ცილინდრული 12</t>
  </si>
  <si>
    <t>__export__.product_template_18012_49fa3bec</t>
  </si>
  <si>
    <t>10008</t>
  </si>
  <si>
    <t>ბურღი ცილინდრული 12.8</t>
  </si>
  <si>
    <t>__export__.product_template_18014_870b218d</t>
  </si>
  <si>
    <t>6820</t>
  </si>
  <si>
    <t>ბურღი ცილინდრული 13</t>
  </si>
  <si>
    <t>__export__.product_template_18015_b7c38b88</t>
  </si>
  <si>
    <t>9366</t>
  </si>
  <si>
    <t>ბურღი ცილინდრული 13.5</t>
  </si>
  <si>
    <t>__export__.product_template_18016_5b225da4</t>
  </si>
  <si>
    <t>6821</t>
  </si>
  <si>
    <t>ბურღი ცილინდრული 14</t>
  </si>
  <si>
    <t>__export__.product_template_18017_a0cb053c</t>
  </si>
  <si>
    <t>9971</t>
  </si>
  <si>
    <t>ბურღი ცილინდრული 15</t>
  </si>
  <si>
    <t>__export__.product_template_18019_528994fa</t>
  </si>
  <si>
    <t>9972</t>
  </si>
  <si>
    <t>ბურღი ცილინდრული 15.5</t>
  </si>
  <si>
    <t>__export__.product_template_18020_f50802b6</t>
  </si>
  <si>
    <t>6822</t>
  </si>
  <si>
    <t>ბურღი ცილინდრული 16</t>
  </si>
  <si>
    <t>__export__.product_template_18021_ab5a8f5d</t>
  </si>
  <si>
    <t>9250</t>
  </si>
  <si>
    <t>ბურღი ცილინდრული 2.5</t>
  </si>
  <si>
    <t>__export__.product_template_18022_6d3cf907</t>
  </si>
  <si>
    <t>9249</t>
  </si>
  <si>
    <t>ბურღი ცილინდრული 3.2</t>
  </si>
  <si>
    <t>__export__.product_template_18024_1e66473a</t>
  </si>
  <si>
    <t>6811</t>
  </si>
  <si>
    <t>ბურღი ცილინდრული 4</t>
  </si>
  <si>
    <t>__export__.product_template_18025_e3279a85</t>
  </si>
  <si>
    <t>9248</t>
  </si>
  <si>
    <t>ბურღი ცილინდრული 4.2</t>
  </si>
  <si>
    <t>__export__.product_template_18026_c944401d</t>
  </si>
  <si>
    <t>6812</t>
  </si>
  <si>
    <t>ბურღი ცილინდრული 5</t>
  </si>
  <si>
    <t>__export__.product_template_18027_9ce1ae7f</t>
  </si>
  <si>
    <t>6813</t>
  </si>
  <si>
    <t>ბურღი ცილინდრული 6</t>
  </si>
  <si>
    <t>__export__.product_template_18028_ccd791b7</t>
  </si>
  <si>
    <t>9247</t>
  </si>
  <si>
    <t>ბურღი ცილინდრული 6.7</t>
  </si>
  <si>
    <t>__export__.product_template_18029_2fceea45</t>
  </si>
  <si>
    <t>6814</t>
  </si>
  <si>
    <t>ბურღი ცილინდრული 7</t>
  </si>
  <si>
    <t>__export__.product_template_18030_a4f4e1c6</t>
  </si>
  <si>
    <t>6815</t>
  </si>
  <si>
    <t>ბურღი ცილინდრული 8</t>
  </si>
  <si>
    <t>__export__.product_template_18031_748055e6</t>
  </si>
  <si>
    <t>9246</t>
  </si>
  <si>
    <t>ბურღი ცილინდრული 8.5</t>
  </si>
  <si>
    <t>__export__.product_template_18032_2e2fed88</t>
  </si>
  <si>
    <t>6816</t>
  </si>
  <si>
    <t>ბურღი ცილინდრული 9</t>
  </si>
  <si>
    <t>__export__.product_template_18033_d6a5d423</t>
  </si>
  <si>
    <t>10016</t>
  </si>
  <si>
    <t>ბურღი ცილინდული 3.3</t>
  </si>
  <si>
    <t>__export__.product_template_18034_881fffe6</t>
  </si>
  <si>
    <t>8597</t>
  </si>
  <si>
    <t>გადამყვანი D1020-720*12</t>
  </si>
  <si>
    <t>2/5 გადამყვანი</t>
  </si>
  <si>
    <t>__export__.product_category_4497_d15cd273</t>
  </si>
  <si>
    <t>__export__.product_template_18035_299f8fd0</t>
  </si>
  <si>
    <t>5735</t>
  </si>
  <si>
    <t>გადამყვანი D108-89*8</t>
  </si>
  <si>
    <t>__export__.product_template_18036_c33c8e8e</t>
  </si>
  <si>
    <t>5144</t>
  </si>
  <si>
    <t>__export__.product_template_18037_f8a12a59</t>
  </si>
  <si>
    <t>3063</t>
  </si>
  <si>
    <t>გადამყვანი D114-89*6</t>
  </si>
  <si>
    <t>__export__.product_template_18038_10391c9b</t>
  </si>
  <si>
    <t>5855</t>
  </si>
  <si>
    <t>__export__.product_template_18039_df8d45b4</t>
  </si>
  <si>
    <t>10423</t>
  </si>
  <si>
    <t>2/5 გადამყვანი 1640</t>
  </si>
  <si>
    <t>__export__.product_category_4731_88af52af</t>
  </si>
  <si>
    <t>__export__.product_template_18040_be9a4638</t>
  </si>
  <si>
    <t>9906</t>
  </si>
  <si>
    <t>გადამყვანი D159-114*6</t>
  </si>
  <si>
    <t>__export__.product_template_18041_1674f44e</t>
  </si>
  <si>
    <t>3400</t>
  </si>
  <si>
    <t>გადამყვანი D159-114*8</t>
  </si>
  <si>
    <t>__export__.product_template_18042_f14a5db1</t>
  </si>
  <si>
    <t>6113</t>
  </si>
  <si>
    <t>გადამყვანი D159-89*6</t>
  </si>
  <si>
    <t>__export__.product_template_18043_9b0ec4be</t>
  </si>
  <si>
    <t>7877</t>
  </si>
  <si>
    <t>გადამყვანი D20-15 გარე ხრახნით</t>
  </si>
  <si>
    <t>2/5 სანტექნიკა</t>
  </si>
  <si>
    <t>__export__.product_category_4498_f9388a72</t>
  </si>
  <si>
    <t>__export__.product_template_18044_7e60ca02</t>
  </si>
  <si>
    <t>7878</t>
  </si>
  <si>
    <t>გადამყვანი D20-15 შიდა ხრახნით</t>
  </si>
  <si>
    <t>__export__.product_template_18045_02725370</t>
  </si>
  <si>
    <t>9176</t>
  </si>
  <si>
    <t>__export__.product_template_18046_57edd74d</t>
  </si>
  <si>
    <t>3752</t>
  </si>
  <si>
    <t>__export__.product_template_18047_6d0a5541</t>
  </si>
  <si>
    <t>4075</t>
  </si>
  <si>
    <t>__export__.product_template_18048_f6a1b35e</t>
  </si>
  <si>
    <t>6395</t>
  </si>
  <si>
    <t>__export__.product_template_18049_1b66f40e</t>
  </si>
  <si>
    <t>7943</t>
  </si>
  <si>
    <t>__export__.product_template_18050_bc36fdf5</t>
  </si>
  <si>
    <t>10496</t>
  </si>
  <si>
    <t>გადამყვანი D32 გარე ხრახნით პლ.მილის (ამერიკანკა)</t>
  </si>
  <si>
    <t>__export__.product_template_46155_a332b5b1</t>
  </si>
  <si>
    <t>10576</t>
  </si>
  <si>
    <t>გადამყვანი D320-114*6</t>
  </si>
  <si>
    <t>__export__.product_template_46156_10f22b6f</t>
  </si>
  <si>
    <t>3708</t>
  </si>
  <si>
    <t>გადამყვანი D325-159*8</t>
  </si>
  <si>
    <t>__export__.product_template_18051_1a12b8d4</t>
  </si>
  <si>
    <t>3148</t>
  </si>
  <si>
    <t>გადამყვანი D325-219*14</t>
  </si>
  <si>
    <t>__export__.product_template_18052_e93dbbb7</t>
  </si>
  <si>
    <t>9907</t>
  </si>
  <si>
    <t>__export__.product_template_18053_f5ea12fd</t>
  </si>
  <si>
    <t>8853</t>
  </si>
  <si>
    <t>__export__.product_template_18054_77a05df4</t>
  </si>
  <si>
    <t>10634</t>
  </si>
  <si>
    <t>გადამყვანი D426-219*8</t>
  </si>
  <si>
    <t>__export__.product_template_47716_a3ea7944</t>
  </si>
  <si>
    <t>7752</t>
  </si>
  <si>
    <t>2/5 გადამყვანი 2197</t>
  </si>
  <si>
    <t>__export__.product_category_4732_7ca2e6ef</t>
  </si>
  <si>
    <t>__export__.product_template_18055_b8466e58</t>
  </si>
  <si>
    <t>9807</t>
  </si>
  <si>
    <t>__export__.product_template_18056_e5bcab7e</t>
  </si>
  <si>
    <t>10067</t>
  </si>
  <si>
    <t>გადამყვანი D530-325 ნამზ.</t>
  </si>
  <si>
    <t>__export__.product_template_18058_0c862433</t>
  </si>
  <si>
    <t>9908</t>
  </si>
  <si>
    <t>გადამყვანი D530-325*10</t>
  </si>
  <si>
    <t>__export__.product_template_18059_bb7fa9bb</t>
  </si>
  <si>
    <t>3507</t>
  </si>
  <si>
    <t>__export__.product_template_18060_d92ad801</t>
  </si>
  <si>
    <t>10611</t>
  </si>
  <si>
    <t>გადამყვანი D530-325*8</t>
  </si>
  <si>
    <t>__export__.product_template_46157_37acd2a7</t>
  </si>
  <si>
    <t>10829</t>
  </si>
  <si>
    <t>გადამყვანი D530-325*8 იზოლირებული</t>
  </si>
  <si>
    <t>__export__.product_template_62697_ddbffb50</t>
  </si>
  <si>
    <t>8550</t>
  </si>
  <si>
    <t>გადამყვანი D530-508*8</t>
  </si>
  <si>
    <t>__export__.product_template_18057_55a996c2</t>
  </si>
  <si>
    <t>10830</t>
  </si>
  <si>
    <t>გადამყვანი D530-508*8 იზოლირებული</t>
  </si>
  <si>
    <t>__export__.product_template_62698_d20c6bf5</t>
  </si>
  <si>
    <t>7796</t>
  </si>
  <si>
    <t>__export__.product_template_18061_00dc6933</t>
  </si>
  <si>
    <t>10612</t>
  </si>
  <si>
    <t>გადამყვანი D720-711*10</t>
  </si>
  <si>
    <t>__export__.product_template_46158_a2808062</t>
  </si>
  <si>
    <t>10831</t>
  </si>
  <si>
    <t>გადამყვანი D720-711*10 იზოლირებული</t>
  </si>
  <si>
    <t>__export__.product_template_62699_3025184f</t>
  </si>
  <si>
    <t>8036</t>
  </si>
  <si>
    <t>__export__.product_template_18063_4b85f451</t>
  </si>
  <si>
    <t>10</t>
  </si>
  <si>
    <t>__export__.product_template_18062_da2c00bc</t>
  </si>
  <si>
    <t>10614</t>
  </si>
  <si>
    <t>გადამყვანი D820-711*10</t>
  </si>
  <si>
    <t>__export__.product_template_46159_0e9dd487</t>
  </si>
  <si>
    <t>10613</t>
  </si>
  <si>
    <t>გადამყვანი D820-720*10</t>
  </si>
  <si>
    <t>__export__.product_template_46160_b2d6027f</t>
  </si>
  <si>
    <t>10832</t>
  </si>
  <si>
    <t>გადამყვანი D820-720*10 იზოლირებული</t>
  </si>
  <si>
    <t>__export__.product_template_62700_477700f6</t>
  </si>
  <si>
    <t>9905</t>
  </si>
  <si>
    <t>გადამყვანი D89-57*6</t>
  </si>
  <si>
    <t>__export__.product_template_18064_37080a98</t>
  </si>
  <si>
    <t>3401</t>
  </si>
  <si>
    <t>__export__.product_template_18065_de703ade</t>
  </si>
  <si>
    <t>6138</t>
  </si>
  <si>
    <t>__export__.product_template_18066_b36d1712</t>
  </si>
  <si>
    <t>8390</t>
  </si>
  <si>
    <t>__export__.product_template_18067_126cabda</t>
  </si>
  <si>
    <t>7880</t>
  </si>
  <si>
    <t>გადამყვანი ბრინჯაოს</t>
  </si>
  <si>
    <t>__export__.product_template_18068_8d817e1c</t>
  </si>
  <si>
    <t>9375</t>
  </si>
  <si>
    <t>გადამყვანი კონუსი მორზე 1/2</t>
  </si>
  <si>
    <t>2/5 მოწყობილობის მაკომპლექტებელი</t>
  </si>
  <si>
    <t>__export__.product_category_4431_3c93b508</t>
  </si>
  <si>
    <t>__export__.product_template_18069_65fbb4b5</t>
  </si>
  <si>
    <t>9376</t>
  </si>
  <si>
    <t>გადამყვანი კონუსი მორზე 1/3</t>
  </si>
  <si>
    <t>__export__.product_template_18070_46813bb0</t>
  </si>
  <si>
    <t>9377</t>
  </si>
  <si>
    <t>გადამყვანი კონუსი მორზე 2/3</t>
  </si>
  <si>
    <t>__export__.product_template_18071_1fba1a12</t>
  </si>
  <si>
    <t>9374</t>
  </si>
  <si>
    <t>გადამყვანი კონუსი მორზე 2/4</t>
  </si>
  <si>
    <t>__export__.product_template_18072_5642eb8d</t>
  </si>
  <si>
    <t>9373</t>
  </si>
  <si>
    <t>გადამყვანი კონუსი მორზე 3/4</t>
  </si>
  <si>
    <t>__export__.product_template_18073_a86294bc</t>
  </si>
  <si>
    <t>9354</t>
  </si>
  <si>
    <t>გადამყვანი კონუსი მორზე 4/5</t>
  </si>
  <si>
    <t>__export__.product_template_18074_38cdbab0</t>
  </si>
  <si>
    <t>7886</t>
  </si>
  <si>
    <t>გადამყვანი მ/წნ შლანგის კონუსური თავით D20*1.5-1/2 - D20*1.5-3/4</t>
  </si>
  <si>
    <t>__export__.product_template_18075_6052de03</t>
  </si>
  <si>
    <t>6308</t>
  </si>
  <si>
    <t>__export__.product_template_18076_52086d4a</t>
  </si>
  <si>
    <t>5069</t>
  </si>
  <si>
    <t>გადამყვანი მრიცხველის სპეციალური ნამზ.</t>
  </si>
  <si>
    <t>__export__.product_template_18077_eb3f2954</t>
  </si>
  <si>
    <t>9588</t>
  </si>
  <si>
    <t>გადამყვანი მუხლით ონკანის შესაპოხი შპრიცის ნამზ.</t>
  </si>
  <si>
    <t>2/5 ხელსაწყო 1640</t>
  </si>
  <si>
    <t>__export__.product_category_4757_ebf86cd2</t>
  </si>
  <si>
    <t>__export__.product_template_18078_a76a6bbb</t>
  </si>
  <si>
    <t>7881</t>
  </si>
  <si>
    <t>გადამყვანი ოდორიზაციის ანალიზისათვის</t>
  </si>
  <si>
    <t>__export__.product_template_18079_5a22413c</t>
  </si>
  <si>
    <t>10557</t>
  </si>
  <si>
    <t>გადამყვანი პლ. D25-20</t>
  </si>
  <si>
    <t>2/12/4 სანტექნიკა</t>
  </si>
  <si>
    <t>__export__.product_category_4499_c8553d06</t>
  </si>
  <si>
    <t>__export__.product_template_46161_80e6254a</t>
  </si>
  <si>
    <t>5833</t>
  </si>
  <si>
    <t>__export__.product_template_46162_b41fc8a1</t>
  </si>
  <si>
    <t>9392</t>
  </si>
  <si>
    <t>გადამყვანი პლასტმასი-რკინა D110*100</t>
  </si>
  <si>
    <t>__export__.product_template_46163_db188577</t>
  </si>
  <si>
    <t>9393</t>
  </si>
  <si>
    <t>გადამყვანი პლასტმასი-რკინა D125*100</t>
  </si>
  <si>
    <t>__export__.product_template_46164_0ea0383b</t>
  </si>
  <si>
    <t>8405</t>
  </si>
  <si>
    <t>__export__.product_template_46165_48c4db8a</t>
  </si>
  <si>
    <t>7762</t>
  </si>
  <si>
    <t>__export__.product_template_46166_16ddf01d</t>
  </si>
  <si>
    <t>8406</t>
  </si>
  <si>
    <t>__export__.product_template_46167_88c9125a</t>
  </si>
  <si>
    <t>7761</t>
  </si>
  <si>
    <t>__export__.product_template_46168_b8044a32</t>
  </si>
  <si>
    <t>5979</t>
  </si>
  <si>
    <t>__export__.product_template_46169_b2f9966f</t>
  </si>
  <si>
    <t>10667</t>
  </si>
  <si>
    <t>გადამყვანი რეგულატორის DN200 CLASS 300 ნამზ.</t>
  </si>
  <si>
    <t>__export__.product_template_63136_9cd34bd5</t>
  </si>
  <si>
    <t>10666</t>
  </si>
  <si>
    <t>გადამყვანი სადრენაჟო მილაკების მანომეტრისთვის ნამზ.</t>
  </si>
  <si>
    <t>__export__.product_template_63135_73f79ee4</t>
  </si>
  <si>
    <t>10580</t>
  </si>
  <si>
    <t>გადამყვანი საიმპულსო მილაკის G1/2 გარე ხრახნით M10*1.25 შიდა ხრახნით ნამზ.</t>
  </si>
  <si>
    <t>2/5 მოწყობილობის მაკომპლექტებელი 1640</t>
  </si>
  <si>
    <t>__export__.product_category_4741_b96dfa31</t>
  </si>
  <si>
    <t>__export__.product_template_46170_2dc7b24e</t>
  </si>
  <si>
    <t>6305</t>
  </si>
  <si>
    <t>გადამყვანი საიმპულსო მილაკისთვის ნამზ.</t>
  </si>
  <si>
    <t>__export__.product_template_46171_6f76c1b0</t>
  </si>
  <si>
    <t>9046</t>
  </si>
  <si>
    <t>__export__.product_template_46172_d2779ae6</t>
  </si>
  <si>
    <t>10201</t>
  </si>
  <si>
    <t>გადამყვანი სპეციალური D20-15 გარე ხრახნით ნამზ.</t>
  </si>
  <si>
    <t>__export__.product_template_30813_d2acaa54</t>
  </si>
  <si>
    <t>13487</t>
  </si>
  <si>
    <t xml:space="preserve">გადამყვანი სპეციალური D20-20 გარე ხრახნით ნამზ. </t>
  </si>
  <si>
    <t>__export__.product_template_77791_49c70105</t>
  </si>
  <si>
    <t>6554</t>
  </si>
  <si>
    <t>__export__.product_template_46173_035a4f5a</t>
  </si>
  <si>
    <t>10053</t>
  </si>
  <si>
    <t>გადამყვანი-დამაგრძელებელი საიმპულსო მილაკის 10მმ შიდა ხრახნით ნამზ.</t>
  </si>
  <si>
    <t>__export__.product_template_46174_d7d09dfb</t>
  </si>
  <si>
    <t>8684</t>
  </si>
  <si>
    <t>გადახურვის საცრემლე (ატლივი)</t>
  </si>
  <si>
    <t>2/12/4 სამშენებლო მასალა</t>
  </si>
  <si>
    <t>__export__.product_category_4500_46be51ff</t>
  </si>
  <si>
    <t>__export__.product_template_46175_f7ff7940</t>
  </si>
  <si>
    <t>13521</t>
  </si>
  <si>
    <t>გაზი</t>
  </si>
  <si>
    <t>__export__.product_template_77861_17ece851</t>
  </si>
  <si>
    <t>10200</t>
  </si>
  <si>
    <t>3/4 საყოფაცხოვრებო ტექნიკა</t>
  </si>
  <si>
    <t>__export__.product_category_4501_d155c75c</t>
  </si>
  <si>
    <t>__export__.product_template_46176_f74a32af</t>
  </si>
  <si>
    <t>7291</t>
  </si>
  <si>
    <t>3/3 მრიცხველი</t>
  </si>
  <si>
    <t>__export__.product_category_4502_8f007ea6</t>
  </si>
  <si>
    <t>__export__.product_template_46177_f9ed43bb</t>
  </si>
  <si>
    <t>7397</t>
  </si>
  <si>
    <t>__export__.product_template_46178_602d6c66</t>
  </si>
  <si>
    <t>7398</t>
  </si>
  <si>
    <t>__export__.product_template_46179_45598746</t>
  </si>
  <si>
    <t>9407</t>
  </si>
  <si>
    <t>__export__.product_template_46180_52ff0e4c</t>
  </si>
  <si>
    <t>7278</t>
  </si>
  <si>
    <t>__export__.product_template_46181_0eba7a08</t>
  </si>
  <si>
    <t>2/024</t>
  </si>
  <si>
    <t>გაზის ოდორანტი CPV კოდო 24300000- ეთილ მერკაპტანი</t>
  </si>
  <si>
    <t>2/5 ოდორანტი</t>
  </si>
  <si>
    <t>__export__.product_category_4602_173c401a</t>
  </si>
  <si>
    <t>__export__.product_template_77928_ef418c20</t>
  </si>
  <si>
    <t>3545</t>
  </si>
  <si>
    <t>2/5 საპოხ-საცხები</t>
  </si>
  <si>
    <t>__export__.product_category_4503_48eda825</t>
  </si>
  <si>
    <t>__export__.product_template_46182_029dbe6a</t>
  </si>
  <si>
    <t>7698</t>
  </si>
  <si>
    <t>__export__.product_template_46183_a0fb2b6c</t>
  </si>
  <si>
    <t>8766</t>
  </si>
  <si>
    <t>__export__.product_template_46184_8cf4e840</t>
  </si>
  <si>
    <t>8368</t>
  </si>
  <si>
    <t>__export__.product_template_46185_212f6fe2</t>
  </si>
  <si>
    <t>5361</t>
  </si>
  <si>
    <t>__export__.product_template_46186_1091f20a</t>
  </si>
  <si>
    <t>10474</t>
  </si>
  <si>
    <t>__export__.product_template_46187_6118a1af</t>
  </si>
  <si>
    <t>7666</t>
  </si>
  <si>
    <t>__export__.product_template_46188_d3ce4100</t>
  </si>
  <si>
    <t>8366</t>
  </si>
  <si>
    <t>__export__.product_template_46189_b5051de2</t>
  </si>
  <si>
    <t>8367</t>
  </si>
  <si>
    <t>__export__.product_template_46190_77ddcfed</t>
  </si>
  <si>
    <t>9197</t>
  </si>
  <si>
    <t>გაზის საყოფაცხოვრებო მრიცხველი G4</t>
  </si>
  <si>
    <t>2/12/6 მოწყობილობა სხვა</t>
  </si>
  <si>
    <t>__export__.product_category_4504_f217fda3</t>
  </si>
  <si>
    <t>__export__.product_template_46191_a98febe3</t>
  </si>
  <si>
    <t>619</t>
  </si>
  <si>
    <t>გაზის საყოფაცხოვრებო მრიცხველი G6</t>
  </si>
  <si>
    <t>__export__.product_template_46192_23db8dc1</t>
  </si>
  <si>
    <t>5469</t>
  </si>
  <si>
    <t>3/1 მოწყობილობა ლაბორატორია</t>
  </si>
  <si>
    <t>__export__.product_category_4505_92f86602</t>
  </si>
  <si>
    <t>__export__.product_template_46193_d4cdb644</t>
  </si>
  <si>
    <t>8361</t>
  </si>
  <si>
    <t>__export__.product_template_46194_1efde65d</t>
  </si>
  <si>
    <t>8362</t>
  </si>
  <si>
    <t>__export__.product_template_46195_5c036bbf</t>
  </si>
  <si>
    <t>9442</t>
  </si>
  <si>
    <t>__export__.product_template_46210_eaca1980</t>
  </si>
  <si>
    <t>5363</t>
  </si>
  <si>
    <t>__export__.product_template_46196_a61ac5dc</t>
  </si>
  <si>
    <t>9441</t>
  </si>
  <si>
    <t>__export__.product_template_46212_d37d22fa</t>
  </si>
  <si>
    <t>8363</t>
  </si>
  <si>
    <t>__export__.product_template_46197_addb454f</t>
  </si>
  <si>
    <t>9875</t>
  </si>
  <si>
    <t>__export__.product_template_46198_2464d3c7</t>
  </si>
  <si>
    <t>8364</t>
  </si>
  <si>
    <t>გაზის ტურბინული მრიცხველი DN250 G2500 PN16</t>
  </si>
  <si>
    <t>__export__.product_template_46199_adcc97a1</t>
  </si>
  <si>
    <t>10242</t>
  </si>
  <si>
    <t>__export__.product_template_46200_830942eb</t>
  </si>
  <si>
    <t>9876</t>
  </si>
  <si>
    <t>გაზის ტურბინული მრიცხველი DN300 G4000 PN16</t>
  </si>
  <si>
    <t>__export__.product_template_46201_4f7e22a6</t>
  </si>
  <si>
    <t>8369</t>
  </si>
  <si>
    <t>__export__.product_template_46202_5e2ea96f</t>
  </si>
  <si>
    <t>5362</t>
  </si>
  <si>
    <t>__export__.product_template_46203_68ec21f7</t>
  </si>
  <si>
    <t>9440</t>
  </si>
  <si>
    <t>__export__.product_template_46213_c93f0afd</t>
  </si>
  <si>
    <t>8360</t>
  </si>
  <si>
    <t>__export__.product_template_46204_085fbcb4</t>
  </si>
  <si>
    <t>8768</t>
  </si>
  <si>
    <t>__export__.product_template_46205_11d862a2</t>
  </si>
  <si>
    <t>8769</t>
  </si>
  <si>
    <t>__export__.product_template_46206_8b7e4f01</t>
  </si>
  <si>
    <t>9427</t>
  </si>
  <si>
    <t>__export__.product_template_46207_9672fc58</t>
  </si>
  <si>
    <t>9443</t>
  </si>
  <si>
    <t>გაზის ტურბინული მრიცხველი SM-RI-X DN250 G2500 PN25</t>
  </si>
  <si>
    <t>__export__.product_template_46208_5a18faf8</t>
  </si>
  <si>
    <t>9428</t>
  </si>
  <si>
    <t>__export__.product_template_46209_aa316a63</t>
  </si>
  <si>
    <t>4223</t>
  </si>
  <si>
    <t>გაზის ტურბინული მრიცხველი TRZ2 DN150 G650 PN16</t>
  </si>
  <si>
    <t>__export__.product_template_46211_f1474239</t>
  </si>
  <si>
    <t>7322</t>
  </si>
  <si>
    <t>__export__.product_template_46216_d05f9c49</t>
  </si>
  <si>
    <t>7320</t>
  </si>
  <si>
    <t>__export__.product_template_46214_d6f92ec0</t>
  </si>
  <si>
    <t>7321</t>
  </si>
  <si>
    <t>__export__.product_template_46215_7db52ebf</t>
  </si>
  <si>
    <t>7085</t>
  </si>
  <si>
    <t>__export__.product_template_46217_975eb69e</t>
  </si>
  <si>
    <t>7086</t>
  </si>
  <si>
    <t>__export__.product_template_46218_d9fdfde7</t>
  </si>
  <si>
    <t>7087</t>
  </si>
  <si>
    <t>__export__.product_template_46219_035cc09f</t>
  </si>
  <si>
    <t>7089</t>
  </si>
  <si>
    <t>__export__.product_template_46221_472b9c8f</t>
  </si>
  <si>
    <t>7088</t>
  </si>
  <si>
    <t>__export__.product_template_46220_88df6751</t>
  </si>
  <si>
    <t>10508</t>
  </si>
  <si>
    <t>გაზის ულტრაბგერითი მრიცხველი DN500 Class 300 და ნაკადის მზომი</t>
  </si>
  <si>
    <t>__export__.product_template_46222_a2a1617c</t>
  </si>
  <si>
    <t>5375</t>
  </si>
  <si>
    <t>__export__.product_template_46223_0b33e903</t>
  </si>
  <si>
    <t>5454</t>
  </si>
  <si>
    <t>__export__.product_template_46224_27caf458</t>
  </si>
  <si>
    <t>5339</t>
  </si>
  <si>
    <t>__export__.product_template_46225_33ea97cf</t>
  </si>
  <si>
    <t>5400</t>
  </si>
  <si>
    <t>__export__.product_template_46226_0c977185</t>
  </si>
  <si>
    <t>5374</t>
  </si>
  <si>
    <t>__export__.product_template_46227_db5bc4b2</t>
  </si>
  <si>
    <t>10815</t>
  </si>
  <si>
    <t>გაზის ფილტრი DN100 Class 150</t>
  </si>
  <si>
    <t>2/5 გაზის ფილტრი</t>
  </si>
  <si>
    <t>__export__.product_category_4733_c478bc52</t>
  </si>
  <si>
    <t>__export__.product_template_62701_23c7e061</t>
  </si>
  <si>
    <t>10816</t>
  </si>
  <si>
    <t>გაზის ფილტრი DN100 Class 300</t>
  </si>
  <si>
    <t>__export__.product_template_62702_aeaf0aac</t>
  </si>
  <si>
    <t>9560</t>
  </si>
  <si>
    <t>გაზის ფილტრი DN100 PN25 ნამზ.</t>
  </si>
  <si>
    <t>2/5 გაზის ფილტრი 1640</t>
  </si>
  <si>
    <t>__export__.product_category_4506_86cbcb69</t>
  </si>
  <si>
    <t>__export__.product_template_46229_b10031a5</t>
  </si>
  <si>
    <t>9525</t>
  </si>
  <si>
    <t>__export__.product_template_46228_85da2db2</t>
  </si>
  <si>
    <t>10168</t>
  </si>
  <si>
    <t>გაზის ფილტრი DN100 PN40 ნამზ.</t>
  </si>
  <si>
    <t>__export__.product_template_46230_57f8d2ce</t>
  </si>
  <si>
    <t>10169</t>
  </si>
  <si>
    <t>გაზის ფილტრი DN100 PN64 ნამზ.</t>
  </si>
  <si>
    <t>__export__.product_template_46231_c47a3be9</t>
  </si>
  <si>
    <t>10588</t>
  </si>
  <si>
    <t>გაზის ფილტრი DN100-50 PN40 ნამზ.</t>
  </si>
  <si>
    <t>__export__.product_template_46232_bb0b0c52</t>
  </si>
  <si>
    <t>10817</t>
  </si>
  <si>
    <t>გაზის ფილტრი DN150 Class 150</t>
  </si>
  <si>
    <t>__export__.product_template_62703_b68e1d6d</t>
  </si>
  <si>
    <t>10818</t>
  </si>
  <si>
    <t>გაზის ფილტრი DN150 Class 300</t>
  </si>
  <si>
    <t>__export__.product_template_62705_cba9c4ea</t>
  </si>
  <si>
    <t>9508</t>
  </si>
  <si>
    <t>გაზის ფილტრი DN150 PN25 300 კორპ. ნამზ.</t>
  </si>
  <si>
    <t>__export__.product_template_46234_60bfe21e</t>
  </si>
  <si>
    <t>10808</t>
  </si>
  <si>
    <t>გაზის ფილტრი DN150 PN25 700 კორპ. ნამზ.</t>
  </si>
  <si>
    <t>__export__.product_template_62704_203c77a1</t>
  </si>
  <si>
    <t>9506</t>
  </si>
  <si>
    <t>გაზის ფილტრი DN150 PN25 ნამზ.</t>
  </si>
  <si>
    <t>__export__.product_template_46233_271c6c26</t>
  </si>
  <si>
    <t>10170</t>
  </si>
  <si>
    <t>გაზის ფილტრი DN150 PN40 300 კორპ. ნამზ.</t>
  </si>
  <si>
    <t>__export__.product_template_46235_42261caf</t>
  </si>
  <si>
    <t>10809</t>
  </si>
  <si>
    <t>გაზის ფილტრი DN150 PN40 700 კორპ. ნამზ.</t>
  </si>
  <si>
    <t>__export__.product_template_62706_1f575d01</t>
  </si>
  <si>
    <t>10171</t>
  </si>
  <si>
    <t>გაზის ფილტრი DN150 PN64 300 კორპ. ნამზ.</t>
  </si>
  <si>
    <t>__export__.product_template_46236_8d418d77</t>
  </si>
  <si>
    <t>10810</t>
  </si>
  <si>
    <t>გაზის ფილტრი DN150 PN64 700 კორპ. ნამზ.</t>
  </si>
  <si>
    <t>__export__.product_template_62707_68a80d5f</t>
  </si>
  <si>
    <t>10819</t>
  </si>
  <si>
    <t>გაზის ფილტრი DN200 Class 150</t>
  </si>
  <si>
    <t>__export__.product_template_62708_bf024f0d</t>
  </si>
  <si>
    <t>9504</t>
  </si>
  <si>
    <t>__export__.product_template_46237_57a70d89</t>
  </si>
  <si>
    <t>10172</t>
  </si>
  <si>
    <t>გაზის ფილტრი DN200 PN40 ნამზ.</t>
  </si>
  <si>
    <t>__export__.product_template_46238_c1492e5c</t>
  </si>
  <si>
    <t>10173</t>
  </si>
  <si>
    <t>გაზის ფილტრი DN200 PN64 ნამზ.</t>
  </si>
  <si>
    <t>__export__.product_template_46239_4582f115</t>
  </si>
  <si>
    <t>9636</t>
  </si>
  <si>
    <t>__export__.product_template_46240_4c657e67</t>
  </si>
  <si>
    <t>10174</t>
  </si>
  <si>
    <t>გაზის ფილტრი DN300 PN40 ნამზ.</t>
  </si>
  <si>
    <t>__export__.product_template_46241_3278ecb8</t>
  </si>
  <si>
    <t>10175</t>
  </si>
  <si>
    <t>გაზის ფილტრი DN300 PN64 ნამზ.</t>
  </si>
  <si>
    <t>__export__.product_template_46242_12d3ba2d</t>
  </si>
  <si>
    <t>9558</t>
  </si>
  <si>
    <t>გაზის ფილტრი DN50 PN25 ნამზ.</t>
  </si>
  <si>
    <t>__export__.product_template_46243_4670d4ff</t>
  </si>
  <si>
    <t>10176</t>
  </si>
  <si>
    <t>გაზის ფილტრი DN50 PN40 ნამზ.</t>
  </si>
  <si>
    <t>__export__.product_template_46244_661fa67c</t>
  </si>
  <si>
    <t>10177</t>
  </si>
  <si>
    <t>გაზის ფილტრი DN50 PN64 ნამზ.</t>
  </si>
  <si>
    <t>__export__.product_template_46245_5e15930d</t>
  </si>
  <si>
    <t>10820</t>
  </si>
  <si>
    <t>გაზის ფილტრი DN80 Class 300</t>
  </si>
  <si>
    <t>__export__.product_template_62709_bf4782c8</t>
  </si>
  <si>
    <t>5893</t>
  </si>
  <si>
    <t>გაზის ფილტრი DN80 PN25 ნამზ.</t>
  </si>
  <si>
    <t>__export__.product_template_46246_c85e5620</t>
  </si>
  <si>
    <t>10178</t>
  </si>
  <si>
    <t>__export__.product_template_46247_b28b0cd0</t>
  </si>
  <si>
    <t>10179</t>
  </si>
  <si>
    <t>გაზის ფილტრი DN80 PN64 ნამზ.</t>
  </si>
  <si>
    <t>__export__.product_template_46248_3ecd081b</t>
  </si>
  <si>
    <t>10821</t>
  </si>
  <si>
    <t>გაზის ფილტრის კარტრიჯი D100</t>
  </si>
  <si>
    <t>2/5 გაზის ფილტრის კარტრიჯი</t>
  </si>
  <si>
    <t>__export__.product_category_4507_f760bbb0</t>
  </si>
  <si>
    <t>__export__.product_template_62710_27021c69</t>
  </si>
  <si>
    <t>9516</t>
  </si>
  <si>
    <t>2/5 გაზის ფილტრის კარტრიჯი 1640</t>
  </si>
  <si>
    <t>__export__.product_category_4734_e5337cc3</t>
  </si>
  <si>
    <t>__export__.product_template_46249_477f9ff4</t>
  </si>
  <si>
    <t>10822</t>
  </si>
  <si>
    <t>გაზის ფილტრის კარტრიჯი D150</t>
  </si>
  <si>
    <t>__export__.product_template_62711_a5afcd2e</t>
  </si>
  <si>
    <t>9509</t>
  </si>
  <si>
    <t>გაზის ფილტრის კარტრიჯი D150 300 კორპ. ნამზ.</t>
  </si>
  <si>
    <t>__export__.product_template_46250_4dbbe216</t>
  </si>
  <si>
    <t>10812</t>
  </si>
  <si>
    <t>გაზის ფილტრის კარტრიჯი D150 700 კორპ. ნამზ.</t>
  </si>
  <si>
    <t>__export__.product_template_62712_36cfa869</t>
  </si>
  <si>
    <t>10823</t>
  </si>
  <si>
    <t>გაზის ფილტრის კარტრიჯი D200</t>
  </si>
  <si>
    <t>__export__.product_template_62713_22389b82</t>
  </si>
  <si>
    <t>7872</t>
  </si>
  <si>
    <t>გაზის ფილტრის კარტრიჯი D200 ნამზ.</t>
  </si>
  <si>
    <t>__export__.product_template_46251_c4161fc1</t>
  </si>
  <si>
    <t>9505</t>
  </si>
  <si>
    <t>__export__.product_template_46252_e965d583</t>
  </si>
  <si>
    <t>8849</t>
  </si>
  <si>
    <t>__export__.product_template_46253_afc22f4f</t>
  </si>
  <si>
    <t>5885</t>
  </si>
  <si>
    <t>გაზის ფილტრის კარტრიჯი D50 ნამზ.</t>
  </si>
  <si>
    <t>__export__.product_template_46254_a0b8f8b1</t>
  </si>
  <si>
    <t>10150</t>
  </si>
  <si>
    <t>__export__.product_template_46255_27f4defe</t>
  </si>
  <si>
    <t>10180</t>
  </si>
  <si>
    <t>გაზის ფილტრის კარტრიჯი DN80 ნამზ.</t>
  </si>
  <si>
    <t>__export__.product_template_46256_b5dae2de</t>
  </si>
  <si>
    <t>3678</t>
  </si>
  <si>
    <t>__export__.product_template_46257_a3b42db9</t>
  </si>
  <si>
    <t>1507</t>
  </si>
  <si>
    <t>გაზის ქურა 2 კომფორი</t>
  </si>
  <si>
    <t>3/4 საყოფაცხოვრებო ტექნიკა 1620</t>
  </si>
  <si>
    <t>__export__.product_category_4749_87f5364e</t>
  </si>
  <si>
    <t>__export__.product_template_46258_3d74c14b</t>
  </si>
  <si>
    <t>4095</t>
  </si>
  <si>
    <t>__export__.product_template_46259_ed983b1b</t>
  </si>
  <si>
    <t>10538</t>
  </si>
  <si>
    <t>გათბობის რადიატორის ონკანი უფიტინგო (გამშვები)</t>
  </si>
  <si>
    <t>__export__.product_template_46260_9bb16afd</t>
  </si>
  <si>
    <t>10539</t>
  </si>
  <si>
    <t>გათბობის რადიატორის ონკანი უფიტინგო (მიწოდების)</t>
  </si>
  <si>
    <t>__export__.product_template_46261_df01d340</t>
  </si>
  <si>
    <t>10908</t>
  </si>
  <si>
    <t>გათბობის სისტემის შეკეთება</t>
  </si>
  <si>
    <t>__export__.product_template_63211_400e0aba</t>
  </si>
  <si>
    <t>8386</t>
  </si>
  <si>
    <t>გამათბობელი გაზის (კონვექტორი)</t>
  </si>
  <si>
    <t>__export__.product_template_46263_5e70343e</t>
  </si>
  <si>
    <t>3718</t>
  </si>
  <si>
    <t>გამათბობელი ელექტრო</t>
  </si>
  <si>
    <t>2/12/6 საყოფაცხოვრებო ტექნიკა</t>
  </si>
  <si>
    <t>__export__.product_category_4508_1b3d9e10</t>
  </si>
  <si>
    <t>__export__.product_template_46262_917ca6c3</t>
  </si>
  <si>
    <t>4439</t>
  </si>
  <si>
    <t>2/5 მოწყობილობა სხვა</t>
  </si>
  <si>
    <t>__export__.product_category_4509_6f3b8262</t>
  </si>
  <si>
    <t>__export__.product_template_46264_908269ce</t>
  </si>
  <si>
    <t>6294</t>
  </si>
  <si>
    <t>__export__.product_template_46265_d9e6bc42</t>
  </si>
  <si>
    <t>5205</t>
  </si>
  <si>
    <t>გამანოლებელი მრავალარხიანი</t>
  </si>
  <si>
    <t>__export__.product_template_46266_1ef56183</t>
  </si>
  <si>
    <t>10566</t>
  </si>
  <si>
    <t>გამწოვი ვენტილატორი</t>
  </si>
  <si>
    <t>2/12/4 საყოფაცხოვრებო ტექნიკა</t>
  </si>
  <si>
    <t>__export__.product_category_4510_311fb9ee</t>
  </si>
  <si>
    <t>__export__.product_template_46267_212aee5d</t>
  </si>
  <si>
    <t>10746</t>
  </si>
  <si>
    <t>გამწოვი ვენტილატორი D200 3კვტ.</t>
  </si>
  <si>
    <t>__export__.product_template_62714_dcda66ae</t>
  </si>
  <si>
    <t>8159</t>
  </si>
  <si>
    <t>__export__.product_template_46268_b2e73cad</t>
  </si>
  <si>
    <t>7426</t>
  </si>
  <si>
    <t>__export__.product_template_46269_702ada1b</t>
  </si>
  <si>
    <t>3077</t>
  </si>
  <si>
    <t>__export__.product_template_46270_62eb8b9c</t>
  </si>
  <si>
    <t>10807</t>
  </si>
  <si>
    <t>გარე ვინჩესტერი 2TB HDD</t>
  </si>
  <si>
    <t>__export__.product_template_62715_f6608fcf</t>
  </si>
  <si>
    <t>7876</t>
  </si>
  <si>
    <t>გასაღები სპეციალური</t>
  </si>
  <si>
    <t>__export__.product_template_46271_c4dba3bc</t>
  </si>
  <si>
    <t>9642</t>
  </si>
  <si>
    <t>გგს ნაფარეული ახალი</t>
  </si>
  <si>
    <t>3/7 გგს</t>
  </si>
  <si>
    <t>__export__.product_category_4678_2a78a400</t>
  </si>
  <si>
    <t>__export__.product_template_46272_b4748906</t>
  </si>
  <si>
    <t>6043</t>
  </si>
  <si>
    <t>__export__.product_template_46273_9f83aa80</t>
  </si>
  <si>
    <t>10144</t>
  </si>
  <si>
    <t>3/4 გენერატორი</t>
  </si>
  <si>
    <t>__export__.product_category_4511_36c8d06c</t>
  </si>
  <si>
    <t>__export__.product_template_46274_93b68bc1</t>
  </si>
  <si>
    <t>10143</t>
  </si>
  <si>
    <t>__export__.product_template_46275_c6847937</t>
  </si>
  <si>
    <t>10142</t>
  </si>
  <si>
    <t>გენერატორი დიზელზე 15კვა/12კვტ</t>
  </si>
  <si>
    <t>__export__.product_template_46276_10e81c04</t>
  </si>
  <si>
    <t>10141</t>
  </si>
  <si>
    <t>გენერატორი დიზელზე 27კვა/21.6კვტ</t>
  </si>
  <si>
    <t>3/1 გენერატორი</t>
  </si>
  <si>
    <t>__export__.product_category_4512_34d93e61</t>
  </si>
  <si>
    <t>__export__.product_template_46277_d8c3f2e8</t>
  </si>
  <si>
    <t>10140</t>
  </si>
  <si>
    <t>გენერატორი დიზელზე 44კვა/35.2კვტ</t>
  </si>
  <si>
    <t>__export__.product_template_46278_8ec7bf64</t>
  </si>
  <si>
    <t>10139</t>
  </si>
  <si>
    <t>გენერატორი დიზელზე 70კვა/56კვტ</t>
  </si>
  <si>
    <t>__export__.product_template_46279_3d85cb54</t>
  </si>
  <si>
    <t>10878</t>
  </si>
  <si>
    <t>გეოლოგიური და გეოდეზიური მომსახურება</t>
  </si>
  <si>
    <t>2/5 გეოდეზია / მეტროლოგია</t>
  </si>
  <si>
    <t>__export__.product_category_4690_63e6cb77</t>
  </si>
  <si>
    <t>__export__.product_template_63181_406cb019</t>
  </si>
  <si>
    <t>5160</t>
  </si>
  <si>
    <t>გეომატრასი (პლასტმასის სამშენებლო ბადე)</t>
  </si>
  <si>
    <t>__export__.product_template_46280_eab8910c</t>
  </si>
  <si>
    <t>6457</t>
  </si>
  <si>
    <t>__export__.product_template_46281_66eb7619</t>
  </si>
  <si>
    <t>8786</t>
  </si>
  <si>
    <t>გერიდონი</t>
  </si>
  <si>
    <t>3/4 საოფისე ავეჯი</t>
  </si>
  <si>
    <t>__export__.product_category_4513_c1c58922</t>
  </si>
  <si>
    <t>__export__.product_template_46282_c5437708</t>
  </si>
  <si>
    <t>7906</t>
  </si>
  <si>
    <t>გველის კბენისაგან დამცავი სამოსი</t>
  </si>
  <si>
    <t>2/12/2 სპეც ტანსაცმელი</t>
  </si>
  <si>
    <t>__export__.product_category_4514_31815395</t>
  </si>
  <si>
    <t>__export__.product_template_46283_dd757d40</t>
  </si>
  <si>
    <t>5065</t>
  </si>
  <si>
    <t>__export__.product_template_46284_0dea38a9</t>
  </si>
  <si>
    <t>10458</t>
  </si>
  <si>
    <t>__export__.product_template_46285_f35065b1</t>
  </si>
  <si>
    <t>9386</t>
  </si>
  <si>
    <t>__export__.product_template_46286_dd93a144</t>
  </si>
  <si>
    <t>10403</t>
  </si>
  <si>
    <t>__export__.product_template_46287_3aa27b09</t>
  </si>
  <si>
    <t>9982</t>
  </si>
  <si>
    <t>გონიო მასიური რკინის 150მმ</t>
  </si>
  <si>
    <t>__export__.product_template_46288_cad7264e</t>
  </si>
  <si>
    <t>9351</t>
  </si>
  <si>
    <t>__export__.product_template_46289_7efde1c1</t>
  </si>
  <si>
    <t>9385</t>
  </si>
  <si>
    <t>გონიო მასიური რკინის 500მმ</t>
  </si>
  <si>
    <t>__export__.product_template_46290_dd96e4b5</t>
  </si>
  <si>
    <t>10402</t>
  </si>
  <si>
    <t>__export__.product_template_46291_fadcb9d8</t>
  </si>
  <si>
    <t>3084</t>
  </si>
  <si>
    <t>__export__.product_template_46292_f3b5aa11</t>
  </si>
  <si>
    <t>8048</t>
  </si>
  <si>
    <t>2/12/4 ელექტროობა</t>
  </si>
  <si>
    <t>__export__.product_category_4515_d9bd83ec</t>
  </si>
  <si>
    <t>__export__.product_template_46293_d324bf2d</t>
  </si>
  <si>
    <t>10406</t>
  </si>
  <si>
    <t>გოფრირებული მილი პომპის D100</t>
  </si>
  <si>
    <t>__export__.product_template_46295_0cfc8d35</t>
  </si>
  <si>
    <t>8485</t>
  </si>
  <si>
    <t>გოფრირებული მილი პომპის D100 კომპლ.</t>
  </si>
  <si>
    <t>__export__.product_template_46294_2156cc56</t>
  </si>
  <si>
    <t>7467</t>
  </si>
  <si>
    <t>__export__.product_template_46296_c5128ea4</t>
  </si>
  <si>
    <t>10096</t>
  </si>
  <si>
    <t>გრუნტი კედლის</t>
  </si>
  <si>
    <t>2/12/7 სამღებრო</t>
  </si>
  <si>
    <t>__export__.product_category_4516_bbb2c07f</t>
  </si>
  <si>
    <t>__export__.product_template_46297_8b3ad957</t>
  </si>
  <si>
    <t>3628</t>
  </si>
  <si>
    <t>გულანა კარის საკეტის</t>
  </si>
  <si>
    <t>__export__.product_template_46298_cf8f65d7</t>
  </si>
  <si>
    <t>10880</t>
  </si>
  <si>
    <t>დაზღვევა: თანამშრომლები</t>
  </si>
  <si>
    <t>2/10 დაზღვევა</t>
  </si>
  <si>
    <t>__export__.product_category_4692_18049c57</t>
  </si>
  <si>
    <t>__export__.product_template_63183_bda69611</t>
  </si>
  <si>
    <t>10860</t>
  </si>
  <si>
    <t>დაკალიბრება: ელექტრო და მექანიკური მანომეტრები</t>
  </si>
  <si>
    <t>__export__.product_template_63163_dcd4fca8</t>
  </si>
  <si>
    <t>10859</t>
  </si>
  <si>
    <t>დაკალიბრება: წნევის კალიბრატორი DP620</t>
  </si>
  <si>
    <t>__export__.product_template_63162_e192a84c</t>
  </si>
  <si>
    <t>10987</t>
  </si>
  <si>
    <t>დამაგრძელებელი 5 მეტრიანი</t>
  </si>
  <si>
    <t>__export__.product_template_63290_54eeec2a</t>
  </si>
  <si>
    <t>10645</t>
  </si>
  <si>
    <t>დამაგრძელებელი სპეციალური უჟანგავი 12მმ 1/2</t>
  </si>
  <si>
    <t>__export__.product_template_63116_955359d5</t>
  </si>
  <si>
    <t>10590</t>
  </si>
  <si>
    <t>დამამძიმებელი D219 მილის ბეტონის არმირებული</t>
  </si>
  <si>
    <t>2/5 დამამძიმებელი</t>
  </si>
  <si>
    <t>__export__.product_category_4517_4bc4db94</t>
  </si>
  <si>
    <t>__export__.product_template_46299_8a5f013b</t>
  </si>
  <si>
    <t>10063</t>
  </si>
  <si>
    <t>__export__.product_template_22357_a58cb413</t>
  </si>
  <si>
    <t>10066</t>
  </si>
  <si>
    <t>დამიწების და გრუნტის წინაღობის გამზომი ხელსაწყო</t>
  </si>
  <si>
    <t>__export__.product_template_46300_be4c30e3</t>
  </si>
  <si>
    <t>10212</t>
  </si>
  <si>
    <t>დამიწების მოწყობილობა ჯოხით გადასატანი კომპლ.</t>
  </si>
  <si>
    <t>__export__.product_template_46301_ec9de7c2</t>
  </si>
  <si>
    <t>10862</t>
  </si>
  <si>
    <t>დამოწმება: დიაფრაგმული აღრიცხვის კვანძი (დიაფრაგმა)</t>
  </si>
  <si>
    <t>__export__.product_template_63165_6ac40e08</t>
  </si>
  <si>
    <t>10861</t>
  </si>
  <si>
    <t>დამოწმება: დიაფრაგმული აღრიცხვის კვანძი (მრიცხველი სწორი მონაკვეთი, მილი, დიაფრაგმა)</t>
  </si>
  <si>
    <t>__export__.product_template_63164_33ece0cf</t>
  </si>
  <si>
    <t>10376</t>
  </si>
  <si>
    <t>დამტენი AA ელემენტის</t>
  </si>
  <si>
    <t>__export__.product_template_17073_293ef4e2</t>
  </si>
  <si>
    <t>10377</t>
  </si>
  <si>
    <t>დამტენი D ელემენტის</t>
  </si>
  <si>
    <t>__export__.product_template_17075_0a9caf2a</t>
  </si>
  <si>
    <t>10080</t>
  </si>
  <si>
    <t>დამტენი Trimble R8/R7-სთვის</t>
  </si>
  <si>
    <t>__export__.product_template_46302_aea401ca</t>
  </si>
  <si>
    <t>5973</t>
  </si>
  <si>
    <t>__export__.product_template_46303_947e701f</t>
  </si>
  <si>
    <t>8382</t>
  </si>
  <si>
    <t>3/3 დამცავი სარქველი</t>
  </si>
  <si>
    <t>__export__.product_category_4518_67f2263c</t>
  </si>
  <si>
    <t>__export__.product_template_46304_d59bc2aa</t>
  </si>
  <si>
    <t>10195</t>
  </si>
  <si>
    <t>დამცავი სარქველი DN100 PN16 2.5-4.5</t>
  </si>
  <si>
    <t>__export__.product_template_46305_e4a4026b</t>
  </si>
  <si>
    <t>10196</t>
  </si>
  <si>
    <t>დამცავი სარქველი DN100 PN16 4.5-8.5</t>
  </si>
  <si>
    <t>__export__.product_template_46306_71fde064</t>
  </si>
  <si>
    <t>10197</t>
  </si>
  <si>
    <t>3/3 დამცავი სარქველი 2197</t>
  </si>
  <si>
    <t>__export__.product_category_4735_13ef82a1</t>
  </si>
  <si>
    <t>__export__.product_template_46307_9a248598</t>
  </si>
  <si>
    <t>7585</t>
  </si>
  <si>
    <t>დამცავი სარქველი DN100 PN25</t>
  </si>
  <si>
    <t>__export__.product_template_46308_c17aed0e</t>
  </si>
  <si>
    <t>4467</t>
  </si>
  <si>
    <t>დამცავი სარქველი DN25 PN16</t>
  </si>
  <si>
    <t>__export__.product_template_46309_58b2ba19</t>
  </si>
  <si>
    <t>10186</t>
  </si>
  <si>
    <t>__export__.product_template_46310_f34e093b</t>
  </si>
  <si>
    <t>10187</t>
  </si>
  <si>
    <t>დამცავი სარქველი DN25 PN16 4-8</t>
  </si>
  <si>
    <t>__export__.product_template_46311_0de45893</t>
  </si>
  <si>
    <t>10188</t>
  </si>
  <si>
    <t>დამცავი სარქველი DN25 PN16 8-16</t>
  </si>
  <si>
    <t>__export__.product_template_46312_2ef72880</t>
  </si>
  <si>
    <t>5924</t>
  </si>
  <si>
    <t>დამცავი სარქველი DN50 PN16</t>
  </si>
  <si>
    <t>__export__.product_template_46313_0044aad6</t>
  </si>
  <si>
    <t>10189</t>
  </si>
  <si>
    <t>__export__.product_template_46314_b0bb4d56</t>
  </si>
  <si>
    <t>10190</t>
  </si>
  <si>
    <t>__export__.product_template_46315_ced873dc</t>
  </si>
  <si>
    <t>10191</t>
  </si>
  <si>
    <t>__export__.product_template_46316_d09c47ac</t>
  </si>
  <si>
    <t>6117</t>
  </si>
  <si>
    <t>დამცავი სარქველი DN50 PN25</t>
  </si>
  <si>
    <t>__export__.product_template_46317_0327ee25</t>
  </si>
  <si>
    <t>6184</t>
  </si>
  <si>
    <t>__export__.product_template_46318_f1fa9d45</t>
  </si>
  <si>
    <t>5925</t>
  </si>
  <si>
    <t>__export__.product_template_46319_919770d4</t>
  </si>
  <si>
    <t>10192</t>
  </si>
  <si>
    <t>დამცავი სარქველი DN80 PN16 3-5</t>
  </si>
  <si>
    <t>__export__.product_template_46320_ced74e92</t>
  </si>
  <si>
    <t>10193</t>
  </si>
  <si>
    <t>დამცავი სარქველი DN80 PN16 5-8</t>
  </si>
  <si>
    <t>__export__.product_template_46321_2c6494ce</t>
  </si>
  <si>
    <t>10194</t>
  </si>
  <si>
    <t>__export__.product_template_46322_51237245</t>
  </si>
  <si>
    <t>261</t>
  </si>
  <si>
    <t>__export__.product_template_46323_c6c11d89</t>
  </si>
  <si>
    <t>10182</t>
  </si>
  <si>
    <t>2/5 დამცავი სარქველი</t>
  </si>
  <si>
    <t>__export__.product_category_4519_af2d0ced</t>
  </si>
  <si>
    <t>__export__.product_template_46324_1db0168e</t>
  </si>
  <si>
    <t>10181</t>
  </si>
  <si>
    <t>__export__.product_template_46325_2e22461f</t>
  </si>
  <si>
    <t>10760</t>
  </si>
  <si>
    <t>დამცავი ყუთი DN100 დიაფრაგმისთვის</t>
  </si>
  <si>
    <t>__export__.product_template_62716_7d0aae5a</t>
  </si>
  <si>
    <t>10759</t>
  </si>
  <si>
    <t>დამცავი ყუთი DN150 დიაფრაგმისთვის</t>
  </si>
  <si>
    <t>__export__.product_template_62717_c6eed43d</t>
  </si>
  <si>
    <t>10758</t>
  </si>
  <si>
    <t>დამცავი ყუთი DN200 დიაფრაგმისთვის</t>
  </si>
  <si>
    <t>__export__.product_template_62718_a8969a70</t>
  </si>
  <si>
    <t>10757</t>
  </si>
  <si>
    <t>დამცავი ყუთი DN300 დიაფრაგმისთვის</t>
  </si>
  <si>
    <t>__export__.product_template_62719_a56f7d14</t>
  </si>
  <si>
    <t>10756</t>
  </si>
  <si>
    <t>დამცავი ყუთი DN400 დიაფრაგმისთვის</t>
  </si>
  <si>
    <t>__export__.product_template_62720_e9a18687</t>
  </si>
  <si>
    <t>10325</t>
  </si>
  <si>
    <t>დამცავი შლანგის D16</t>
  </si>
  <si>
    <t>__export__.product_template_46326_27959963</t>
  </si>
  <si>
    <t>9328</t>
  </si>
  <si>
    <t>__export__.product_template_46327_adfbdfbb</t>
  </si>
  <si>
    <t>4582</t>
  </si>
  <si>
    <t>__export__.product_template_46328_253af1ca</t>
  </si>
  <si>
    <t>4570</t>
  </si>
  <si>
    <t>__export__.product_template_46329_bc3fe95e</t>
  </si>
  <si>
    <t>5186</t>
  </si>
  <si>
    <t>დამჭერი ტროსის</t>
  </si>
  <si>
    <t>__export__.product_template_46330_e997b231</t>
  </si>
  <si>
    <t>5245</t>
  </si>
  <si>
    <t>__export__.product_template_46331_381f8fd5</t>
  </si>
  <si>
    <t>3311</t>
  </si>
  <si>
    <t>დამჭიმი ტროსის</t>
  </si>
  <si>
    <t>__export__.product_template_46332_e645ce6b</t>
  </si>
  <si>
    <t>10337</t>
  </si>
  <si>
    <t>2/5 ბრტყელი დამხშობი</t>
  </si>
  <si>
    <t>__export__.product_category_4520_06ba3f48</t>
  </si>
  <si>
    <t>__export__.product_template_46333_ef746fdf</t>
  </si>
  <si>
    <t>10118</t>
  </si>
  <si>
    <t>დანა საკანცელარიო</t>
  </si>
  <si>
    <t>2/12/1 სამეურნეო</t>
  </si>
  <si>
    <t>__export__.product_category_4521_7a120077</t>
  </si>
  <si>
    <t>__export__.product_template_46334_655afc53</t>
  </si>
  <si>
    <t>9821</t>
  </si>
  <si>
    <t>__export__.product_template_46335_b3de036c</t>
  </si>
  <si>
    <t>12210</t>
  </si>
  <si>
    <t>დეკემბრის თვის დაზღვევა</t>
  </si>
  <si>
    <t>__export__.product_template_74516_d2c01b18</t>
  </si>
  <si>
    <t>6515</t>
  </si>
  <si>
    <t>2/12/6 ელექტროობა 2197</t>
  </si>
  <si>
    <t>__export__.product_category_4737_49c02696</t>
  </si>
  <si>
    <t>__export__.product_template_46336_b96edece</t>
  </si>
  <si>
    <t>10283</t>
  </si>
  <si>
    <t>დეფექტოსკოპი ონკანის აკუსტიკური</t>
  </si>
  <si>
    <t>3/1 მოწყობილობა ურღვევი</t>
  </si>
  <si>
    <t>__export__.product_category_4523_277b06d0</t>
  </si>
  <si>
    <t>__export__.product_template_46337_65520d7c</t>
  </si>
  <si>
    <t>10837</t>
  </si>
  <si>
    <t>დეფექტოსკოპი ულტრაბგერითი ფაზირებული</t>
  </si>
  <si>
    <t>__export__.product_template_63360_0b31f27d</t>
  </si>
  <si>
    <t>10916</t>
  </si>
  <si>
    <t>დეფექტოსკოპის შეკეთება</t>
  </si>
  <si>
    <t>3/1 სამეურნეო</t>
  </si>
  <si>
    <t>__export__.product_category_4705_dd084b37</t>
  </si>
  <si>
    <t>__export__.product_template_63219_80658355</t>
  </si>
  <si>
    <t>6326</t>
  </si>
  <si>
    <t>დიაფრაგმა D200</t>
  </si>
  <si>
    <t>2/5 დიაფრაგმა 1620</t>
  </si>
  <si>
    <t>__export__.product_category_4736_5d40c389</t>
  </si>
  <si>
    <t>__export__.product_template_46338_c85d6293</t>
  </si>
  <si>
    <t>9100</t>
  </si>
  <si>
    <t>2/5 დიაფრაგმა</t>
  </si>
  <si>
    <t>__export__.product_category_4524_8f96aec0</t>
  </si>
  <si>
    <t>__export__.product_template_46339_9ef2a10a</t>
  </si>
  <si>
    <t>9625</t>
  </si>
  <si>
    <t>დიაფრაგმა DN150 ნამზ.</t>
  </si>
  <si>
    <t>__export__.product_template_46340_97d9837f</t>
  </si>
  <si>
    <t>10130</t>
  </si>
  <si>
    <t>__export__.product_template_46341_2107a557</t>
  </si>
  <si>
    <t>9529</t>
  </si>
  <si>
    <t>__export__.product_template_46342_abf65995</t>
  </si>
  <si>
    <t>9088</t>
  </si>
  <si>
    <t>__export__.product_template_46343_2155bac5</t>
  </si>
  <si>
    <t>9639</t>
  </si>
  <si>
    <t>__export__.product_template_46344_b8a1a715</t>
  </si>
  <si>
    <t>9644</t>
  </si>
  <si>
    <t>დიაფრაგმა დ200 (13923)</t>
  </si>
  <si>
    <t>__export__.product_template_46345_9d727740</t>
  </si>
  <si>
    <t>244</t>
  </si>
  <si>
    <t>__export__.product_template_46346_7dbf1e54</t>
  </si>
  <si>
    <t>8667</t>
  </si>
  <si>
    <t>2/5 დიაფრაგმა რეგულატორის</t>
  </si>
  <si>
    <t>__export__.product_category_4525_e1eba1b5</t>
  </si>
  <si>
    <t>__export__.product_template_46347_b47c70fb</t>
  </si>
  <si>
    <t>8639</t>
  </si>
  <si>
    <t>__export__.product_template_46348_f4594f2c</t>
  </si>
  <si>
    <t>8640</t>
  </si>
  <si>
    <t>__export__.product_template_46349_9e26da6d</t>
  </si>
  <si>
    <t>8665</t>
  </si>
  <si>
    <t>__export__.product_template_46350_ae328e95</t>
  </si>
  <si>
    <t>8666</t>
  </si>
  <si>
    <t>__export__.product_template_46351_01029c2d</t>
  </si>
  <si>
    <t>11056</t>
  </si>
  <si>
    <t>დიაფრაგმის გარცმის რეზინი DN400</t>
  </si>
  <si>
    <t>2/5 შუასადები რეზინი მამჭიდროვებელი</t>
  </si>
  <si>
    <t>__export__.product_category_4568_71c0fc10</t>
  </si>
  <si>
    <t>__export__.product_template_72243_c0ff55c0</t>
  </si>
  <si>
    <t>10664</t>
  </si>
  <si>
    <t>დიაფრაგმის გარცმის რეზინის პრესფორმა 400მმ ნამზ.</t>
  </si>
  <si>
    <t>__export__.product_template_63133_51483580</t>
  </si>
  <si>
    <t>7685</t>
  </si>
  <si>
    <t>დივანი</t>
  </si>
  <si>
    <t>__export__.product_template_46352_c191e31d</t>
  </si>
  <si>
    <t>3000</t>
  </si>
  <si>
    <t>__export__.product_template_46353_d0a96b5b</t>
  </si>
  <si>
    <t>9346</t>
  </si>
  <si>
    <t>__export__.product_template_46354_881d893a</t>
  </si>
  <si>
    <t>10518</t>
  </si>
  <si>
    <t>დიჯიაი 4G ქსელის მობილური მოდემი</t>
  </si>
  <si>
    <t>__export__.product_template_46040_9b86d292</t>
  </si>
  <si>
    <t>10411</t>
  </si>
  <si>
    <t>დიჯიაი M300 GSM რადარი</t>
  </si>
  <si>
    <t>__export__.product_template_46355_54a49569</t>
  </si>
  <si>
    <t>10410</t>
  </si>
  <si>
    <t>დიჯიაი M300 ერთმაგი გიმბალის სამაგრი</t>
  </si>
  <si>
    <t>__export__.product_template_46356_06c72b9a</t>
  </si>
  <si>
    <t>10409</t>
  </si>
  <si>
    <t>დიჯიაი M300 ორმაგი გიმბალის სამაგრი</t>
  </si>
  <si>
    <t>__export__.product_template_46357_3a2e8a77</t>
  </si>
  <si>
    <t>10412</t>
  </si>
  <si>
    <t>დიჯიაი M300 ფრთა (წყვილი)</t>
  </si>
  <si>
    <t>__export__.product_template_46358_4d8c3488</t>
  </si>
  <si>
    <t>10517</t>
  </si>
  <si>
    <t>დიჯიაი მატრი 350-ის RTK 4G მობილური მოდემი</t>
  </si>
  <si>
    <t>__export__.product_template_46041_efa71a0a</t>
  </si>
  <si>
    <t>10407</t>
  </si>
  <si>
    <t>დიჯიაი სამართავი პულტი</t>
  </si>
  <si>
    <t>__export__.product_template_46359_5238df45</t>
  </si>
  <si>
    <t>10408</t>
  </si>
  <si>
    <t>დიჯიაი სამართავი პულტის ელემენტი</t>
  </si>
  <si>
    <t>__export__.product_template_46360_4de50fe5</t>
  </si>
  <si>
    <t>10434</t>
  </si>
  <si>
    <t>დოკ სადგური Docking station</t>
  </si>
  <si>
    <t>2/12/9 ლიცენზია</t>
  </si>
  <si>
    <t>__export__.product_category_4684_62866aa4</t>
  </si>
  <si>
    <t>__export__.product_template_46361_74e28118</t>
  </si>
  <si>
    <t>5128</t>
  </si>
  <si>
    <t>2/5 სხვა</t>
  </si>
  <si>
    <t>__export__.product_category_4713_90a72c6e</t>
  </si>
  <si>
    <t>__export__.product_template_46362_fbcf85dc</t>
  </si>
  <si>
    <t>10092</t>
  </si>
  <si>
    <t>დრონი უპილოტო საფრენი აპარატი</t>
  </si>
  <si>
    <t>3/6 მოწყობილობა სხვა</t>
  </si>
  <si>
    <t>__export__.product_category_4528_4b5388b7</t>
  </si>
  <si>
    <t>__export__.product_template_46363_062db905</t>
  </si>
  <si>
    <t>10368</t>
  </si>
  <si>
    <t>დრონის RTK მოდული</t>
  </si>
  <si>
    <t>__export__.product_template_46364_d24ebf8c</t>
  </si>
  <si>
    <t>10484</t>
  </si>
  <si>
    <t>დრონის ელემენტების დამტენი სადგური</t>
  </si>
  <si>
    <t>3/6 ხელსაწყო</t>
  </si>
  <si>
    <t>__export__.product_category_4529_fd9cf0c9</t>
  </si>
  <si>
    <t>__export__.product_template_46365_fc8dad17</t>
  </si>
  <si>
    <t>10486</t>
  </si>
  <si>
    <t>დრონის მეთანოდეტექტორის პლატა</t>
  </si>
  <si>
    <t>__export__.product_template_46366_7e06d350</t>
  </si>
  <si>
    <t>10648</t>
  </si>
  <si>
    <t>დროსელი (დრაივერი) ლამპიონის გარე განათების 50 W</t>
  </si>
  <si>
    <t>__export__.product_template_63119_65ddea35</t>
  </si>
  <si>
    <t>8043</t>
  </si>
  <si>
    <t>__export__.product_template_46367_ae358436</t>
  </si>
  <si>
    <t>8942</t>
  </si>
  <si>
    <t>დროსელი შეკიდული ჭერის სანათის</t>
  </si>
  <si>
    <t>__export__.product_template_46368_8f72ba58</t>
  </si>
  <si>
    <t>13556</t>
  </si>
  <si>
    <t xml:space="preserve">დროშა გარე გამოყენების: კომპანიის </t>
  </si>
  <si>
    <t>__export__.product_template_77923_156fde5b</t>
  </si>
  <si>
    <t>13557</t>
  </si>
  <si>
    <t xml:space="preserve">დროშა გარე გამოყენების: საქართველოსი </t>
  </si>
  <si>
    <t>__export__.product_template_77924_02a1468c</t>
  </si>
  <si>
    <t>13558</t>
  </si>
  <si>
    <t>დროშა სამაგიდე</t>
  </si>
  <si>
    <t>__export__.product_template_77925_ed08dc24</t>
  </si>
  <si>
    <t>10777</t>
  </si>
  <si>
    <t xml:space="preserve">დროშა შიდა გამოყენების: კომპანიის </t>
  </si>
  <si>
    <t>__export__.product_template_62721_3da13d38</t>
  </si>
  <si>
    <t>10776</t>
  </si>
  <si>
    <t xml:space="preserve">დროშა შიდა გამოყენების: საქართველოსი </t>
  </si>
  <si>
    <t>__export__.product_template_62722_2ebfd789</t>
  </si>
  <si>
    <t>13560</t>
  </si>
  <si>
    <t>დროშის გამშლელი შიდა გამოყენების</t>
  </si>
  <si>
    <t>2/12/1 საოფისე ინვენტარი</t>
  </si>
  <si>
    <t>__export__.product_category_4530_02abaf43</t>
  </si>
  <si>
    <t>__export__.product_template_77927_e6e300c5</t>
  </si>
  <si>
    <t>7882</t>
  </si>
  <si>
    <t>დროშის სადგამი</t>
  </si>
  <si>
    <t>__export__.product_template_46369_8d5bf238</t>
  </si>
  <si>
    <t>13559</t>
  </si>
  <si>
    <t>დროშის სადგამი სამაგიდე</t>
  </si>
  <si>
    <t>__export__.product_template_77926_f4ca6691</t>
  </si>
  <si>
    <t>10103</t>
  </si>
  <si>
    <t>დუბელ-შურუპი 3.5*25</t>
  </si>
  <si>
    <t>2/12/4 ქანჩი - საყელური - ჭანჭიკი - შურუპი</t>
  </si>
  <si>
    <t>__export__.product_category_4531_652a74c3</t>
  </si>
  <si>
    <t>__export__.product_template_20770_be13953f</t>
  </si>
  <si>
    <t>10547</t>
  </si>
  <si>
    <t>დუბელ-შურუპი 6*35 (გამჭედი დუბელი)</t>
  </si>
  <si>
    <t>__export__.product_template_46370_fe37a2b0</t>
  </si>
  <si>
    <t>6014</t>
  </si>
  <si>
    <t>__export__.product_template_20771_9d97c7ea</t>
  </si>
  <si>
    <t>11136</t>
  </si>
  <si>
    <t>ევროდიზელი (არაკონსოლიდირებული)</t>
  </si>
  <si>
    <t>__export__.product_template_72409_869e1df4</t>
  </si>
  <si>
    <t>11134</t>
  </si>
  <si>
    <t>ევროდიზელი (ბენზინგასამართი)</t>
  </si>
  <si>
    <t>__export__.product_template_72407_7f8b1a2a</t>
  </si>
  <si>
    <t>11135</t>
  </si>
  <si>
    <t>ევროდიზელი (სითხე)</t>
  </si>
  <si>
    <t>__export__.product_template_72408_93c599db</t>
  </si>
  <si>
    <t>9943</t>
  </si>
  <si>
    <t>__export__.product_template_20772_7092e897</t>
  </si>
  <si>
    <t>4424</t>
  </si>
  <si>
    <t>3/1 მოწყობილობა სხვა 1620</t>
  </si>
  <si>
    <t>__export__.product_category_4762_91b05371</t>
  </si>
  <si>
    <t>__export__.product_template_20773_0077437e</t>
  </si>
  <si>
    <t>10023</t>
  </si>
  <si>
    <t>__export__.product_template_20774_ae02aa0c</t>
  </si>
  <si>
    <t>8554</t>
  </si>
  <si>
    <t>2/12/4 ელ. ავტომატური ამომრთველი</t>
  </si>
  <si>
    <t>__export__.product_category_4532_37c98769</t>
  </si>
  <si>
    <t>__export__.product_template_20775_ffdd8b03</t>
  </si>
  <si>
    <t>5757</t>
  </si>
  <si>
    <t>__export__.product_template_20776_9fa9b0d1</t>
  </si>
  <si>
    <t>9825</t>
  </si>
  <si>
    <t>__export__.product_template_20777_5f32c7b7</t>
  </si>
  <si>
    <t>8553</t>
  </si>
  <si>
    <t>__export__.product_template_20778_b3514bb2</t>
  </si>
  <si>
    <t>4081</t>
  </si>
  <si>
    <t>__export__.product_template_20779_0b5f3e83</t>
  </si>
  <si>
    <t>3101</t>
  </si>
  <si>
    <t>ელ. ავტომატური ამომრთველი 2P 16A</t>
  </si>
  <si>
    <t>__export__.product_template_20780_33b169cf</t>
  </si>
  <si>
    <t>8039</t>
  </si>
  <si>
    <t>__export__.product_template_20781_f4753b11</t>
  </si>
  <si>
    <t>5991</t>
  </si>
  <si>
    <t>__export__.product_template_20782_4ea0caaf</t>
  </si>
  <si>
    <t>6448</t>
  </si>
  <si>
    <t>__export__.product_template_20783_c1d4b286</t>
  </si>
  <si>
    <t>4082</t>
  </si>
  <si>
    <t>__export__.product_template_20784_42c2e89f</t>
  </si>
  <si>
    <t>10419</t>
  </si>
  <si>
    <t>__export__.product_template_20785_dfe1a768</t>
  </si>
  <si>
    <t>9838</t>
  </si>
  <si>
    <t>ელ. ავტომატური ამომრთველი 3P 25A</t>
  </si>
  <si>
    <t>__export__.product_template_20786_2dd1a787</t>
  </si>
  <si>
    <t>6191</t>
  </si>
  <si>
    <t>__export__.product_template_20787_455d28f8</t>
  </si>
  <si>
    <t>4553</t>
  </si>
  <si>
    <t>ელ. ავტომატური ამომრთველი 3P 63A</t>
  </si>
  <si>
    <t>__export__.product_template_20788_bc936dd7</t>
  </si>
  <si>
    <t>4516</t>
  </si>
  <si>
    <t>__export__.product_template_20789_2ee77a9a</t>
  </si>
  <si>
    <t>4387</t>
  </si>
  <si>
    <t>3/6 ელექტროობა</t>
  </si>
  <si>
    <t>__export__.product_category_4533_aaa6f82b</t>
  </si>
  <si>
    <t>__export__.product_template_20790_c446fbb3</t>
  </si>
  <si>
    <t>4083</t>
  </si>
  <si>
    <t>__export__.product_template_20791_149f65b6</t>
  </si>
  <si>
    <t>9916</t>
  </si>
  <si>
    <t>__export__.product_template_20792_26a69877</t>
  </si>
  <si>
    <t>3178</t>
  </si>
  <si>
    <t>ელ. დამაგრძელებელი 5მ</t>
  </si>
  <si>
    <t>__export__.product_template_20793_d423b419</t>
  </si>
  <si>
    <t>4560</t>
  </si>
  <si>
    <t>2/12/6 ელექტროობა</t>
  </si>
  <si>
    <t>__export__.product_category_4522_52bae2ff</t>
  </si>
  <si>
    <t>__export__.product_template_20794_2277b11e</t>
  </si>
  <si>
    <t>7536</t>
  </si>
  <si>
    <t>2/5 ელექტროობა</t>
  </si>
  <si>
    <t>__export__.product_category_4534_2d34ba1d</t>
  </si>
  <si>
    <t>__export__.product_template_20795_3506d359</t>
  </si>
  <si>
    <t>3590</t>
  </si>
  <si>
    <t>ელ. ინდიკატორი</t>
  </si>
  <si>
    <t>__export__.product_template_20796_08d8d2a4</t>
  </si>
  <si>
    <t>9016</t>
  </si>
  <si>
    <t>__export__.product_template_20798_9b630eab</t>
  </si>
  <si>
    <t>9501</t>
  </si>
  <si>
    <t>__export__.product_template_20799_b3d3c020</t>
  </si>
  <si>
    <t>9624</t>
  </si>
  <si>
    <t>ელ. კორეტორის ტემპერატურის გადამწოდი გილზა DN150 ნამზ.</t>
  </si>
  <si>
    <t>__export__.product_template_20800_49aed238</t>
  </si>
  <si>
    <t>7893</t>
  </si>
  <si>
    <t>ელ. კორეტორის ტემპერატურის გადამწოდი გილზა DN200 ნამზ.</t>
  </si>
  <si>
    <t>__export__.product_template_20801_8f5cdf2f</t>
  </si>
  <si>
    <t>9034</t>
  </si>
  <si>
    <t>ელ. კორექტ. წნ. საიმპ. გადამყვანი შ/ხრ.M12*1.5-M10*1.25 ნამზ.</t>
  </si>
  <si>
    <t>__export__.product_template_20802_4918c33b</t>
  </si>
  <si>
    <t>9429</t>
  </si>
  <si>
    <t>ელ. კორექტორი ELSTER Ek-220 #4502335</t>
  </si>
  <si>
    <t>3/3 ელ. კორექტორი</t>
  </si>
  <si>
    <t>__export__.product_category_4535_563edaaa</t>
  </si>
  <si>
    <t>__export__.product_template_20803_7e8421e2</t>
  </si>
  <si>
    <t>9430</t>
  </si>
  <si>
    <t>ელ. კორექტორი ELSTER Ek-220 #4505881</t>
  </si>
  <si>
    <t>__export__.product_template_20804_3e6c8ade</t>
  </si>
  <si>
    <t>4242</t>
  </si>
  <si>
    <t>__export__.product_template_20805_99675ff8</t>
  </si>
  <si>
    <t>10237</t>
  </si>
  <si>
    <t>__export__.product_template_20806_017ff66f</t>
  </si>
  <si>
    <t>8715</t>
  </si>
  <si>
    <t>__export__.product_template_20807_2abc754e</t>
  </si>
  <si>
    <t>8714</t>
  </si>
  <si>
    <t>__export__.product_template_20808_e85a3aea</t>
  </si>
  <si>
    <t>8799</t>
  </si>
  <si>
    <t>__export__.product_template_20809_7755a408</t>
  </si>
  <si>
    <t>9927</t>
  </si>
  <si>
    <t>3/3 მოწყობილობის მაკომპლექტებელი</t>
  </si>
  <si>
    <t>__export__.product_category_4536_94fd51a6</t>
  </si>
  <si>
    <t>__export__.product_template_20810_d5075a34</t>
  </si>
  <si>
    <t>9015</t>
  </si>
  <si>
    <t>__export__.product_template_20811_209d7ea7</t>
  </si>
  <si>
    <t>10235</t>
  </si>
  <si>
    <t>ელ. მაგნიტური გამშვები 3RT1025-1A</t>
  </si>
  <si>
    <t>__export__.product_template_20812_6c6e0f63</t>
  </si>
  <si>
    <t>3033</t>
  </si>
  <si>
    <t>2/12/4 ელ. ფურნიტურა</t>
  </si>
  <si>
    <t>__export__.product_category_4537_4ff9c23d</t>
  </si>
  <si>
    <t>__export__.product_template_20813_2a892f4d</t>
  </si>
  <si>
    <t>10116</t>
  </si>
  <si>
    <t>__export__.product_template_20814_b78513e0</t>
  </si>
  <si>
    <t>3751</t>
  </si>
  <si>
    <t>__export__.product_template_20815_545a4ed4</t>
  </si>
  <si>
    <t>10114</t>
  </si>
  <si>
    <t>__export__.product_template_20816_39b1f704</t>
  </si>
  <si>
    <t>8054</t>
  </si>
  <si>
    <t>__export__.product_template_20817_1dd7b39d</t>
  </si>
  <si>
    <t>10653</t>
  </si>
  <si>
    <t>ელ. როზეტი დამიწებით გარე</t>
  </si>
  <si>
    <t>__export__.product_template_63124_db11ac70</t>
  </si>
  <si>
    <t>5983</t>
  </si>
  <si>
    <t>__export__.product_template_20818_66f0831b</t>
  </si>
  <si>
    <t>9841</t>
  </si>
  <si>
    <t>__export__.product_template_20819_b31f2d57</t>
  </si>
  <si>
    <t>3032</t>
  </si>
  <si>
    <t>ელ. სადენი</t>
  </si>
  <si>
    <t>__export__.product_template_20820_e869af7e</t>
  </si>
  <si>
    <t>4557</t>
  </si>
  <si>
    <t>2/5 ელ. სადენი</t>
  </si>
  <si>
    <t>__export__.product_category_4539_0ae6dde9</t>
  </si>
  <si>
    <t>__export__.product_template_20821_a08e4582</t>
  </si>
  <si>
    <t>10232</t>
  </si>
  <si>
    <t>__export__.product_template_20822_a5c929ea</t>
  </si>
  <si>
    <t>8422</t>
  </si>
  <si>
    <t>__export__.product_template_20823_03142387</t>
  </si>
  <si>
    <t>10421</t>
  </si>
  <si>
    <t>__export__.product_template_20824_45fb683a</t>
  </si>
  <si>
    <t>10280</t>
  </si>
  <si>
    <t>ელ. სადენი 1*6 (სიპი)</t>
  </si>
  <si>
    <t>__export__.product_template_46371_c7c9c1e0</t>
  </si>
  <si>
    <t>5950</t>
  </si>
  <si>
    <t>__export__.product_template_20825_9150a3fa</t>
  </si>
  <si>
    <t>10051</t>
  </si>
  <si>
    <t>__export__.product_template_20826_1c153ee3</t>
  </si>
  <si>
    <t>7735</t>
  </si>
  <si>
    <t>__export__.product_template_20827_4274f0ae</t>
  </si>
  <si>
    <t>6596</t>
  </si>
  <si>
    <t>__export__.product_template_20828_276264b7</t>
  </si>
  <si>
    <t>10202</t>
  </si>
  <si>
    <t>__export__.product_template_20829_72f95627</t>
  </si>
  <si>
    <t>4505</t>
  </si>
  <si>
    <t>ელ. სადენი 2*2.5 სპილენძის</t>
  </si>
  <si>
    <t>__export__.product_template_20830_a336b097</t>
  </si>
  <si>
    <t>10022</t>
  </si>
  <si>
    <t>__export__.product_template_20831_e7995ff3</t>
  </si>
  <si>
    <t>3663</t>
  </si>
  <si>
    <t>__export__.product_template_20832_53ee0731</t>
  </si>
  <si>
    <t>9387</t>
  </si>
  <si>
    <t>ელ. სადენი 2*35 (სიპი)</t>
  </si>
  <si>
    <t>__export__.product_template_20833_08b7386a</t>
  </si>
  <si>
    <t>5162</t>
  </si>
  <si>
    <t>ელ. სადენი 2*4 სპილენძის</t>
  </si>
  <si>
    <t>__export__.product_template_20834_0f5f92ae</t>
  </si>
  <si>
    <t>6415</t>
  </si>
  <si>
    <t>__export__.product_template_20835_bd693c94</t>
  </si>
  <si>
    <t>6359</t>
  </si>
  <si>
    <t>ელ. სადენი 2*6 მრავალწვერა</t>
  </si>
  <si>
    <t>__export__.product_template_20836_469cc7f0</t>
  </si>
  <si>
    <t>10021</t>
  </si>
  <si>
    <t>__export__.product_template_20837_a0ae911e</t>
  </si>
  <si>
    <t>5806</t>
  </si>
  <si>
    <t>__export__.product_template_20838_3b7cc4c9</t>
  </si>
  <si>
    <t>9254</t>
  </si>
  <si>
    <t>ელ. სადენი 3*2.5 მშრალი</t>
  </si>
  <si>
    <t>__export__.product_template_20839_d3c002a3</t>
  </si>
  <si>
    <t>10652</t>
  </si>
  <si>
    <t>ელ. სადენი 3*2.5 სპილენძის ერთწვერა ორმ. იზოლ.</t>
  </si>
  <si>
    <t>__export__.product_template_63123_1b7c5812</t>
  </si>
  <si>
    <t>8624</t>
  </si>
  <si>
    <t>ელ. სადენი 3*2.5 სპილენძის მრავალწვერა ორმ. იზოლ.</t>
  </si>
  <si>
    <t>__export__.product_template_20840_113e2d45</t>
  </si>
  <si>
    <t>9278</t>
  </si>
  <si>
    <t>ელ. სადენი 3*4 სპილენძის მრავალწვერა ორმ. იზოლ.</t>
  </si>
  <si>
    <t>__export__.product_template_20841_a1c108a8</t>
  </si>
  <si>
    <t>8980</t>
  </si>
  <si>
    <t>ელ. სადენი 3*6 სპილენძის მრავალწვერა ორმ. იზოლ.</t>
  </si>
  <si>
    <t>__export__.product_template_20842_05ff33cf</t>
  </si>
  <si>
    <t>9324</t>
  </si>
  <si>
    <t>__export__.product_template_20843_7de9fea8</t>
  </si>
  <si>
    <t>8053</t>
  </si>
  <si>
    <t>ელ. სადენი 4*10 (სიპი)</t>
  </si>
  <si>
    <t>__export__.product_template_20844_5c920a78</t>
  </si>
  <si>
    <t>10152</t>
  </si>
  <si>
    <t>ელ. სადენი 4*10 სპილენძის მრავალწვერა ორმ. იზოლ.</t>
  </si>
  <si>
    <t>__export__.product_template_20845_983884fd</t>
  </si>
  <si>
    <t>9330</t>
  </si>
  <si>
    <t>ელ. სადენი 4*16 (სიპი)</t>
  </si>
  <si>
    <t>__export__.product_template_20846_c3e19e95</t>
  </si>
  <si>
    <t>8691</t>
  </si>
  <si>
    <t>__export__.product_template_20847_6e78d34b</t>
  </si>
  <si>
    <t>10279</t>
  </si>
  <si>
    <t>ელ. სადენი 4*2.5 სპილენძის ერთწვერა ორმ.იზოლ</t>
  </si>
  <si>
    <t>__export__.product_template_20848_1e417215</t>
  </si>
  <si>
    <t>10048</t>
  </si>
  <si>
    <t>__export__.product_template_20849_8ade3bc5</t>
  </si>
  <si>
    <t>9184</t>
  </si>
  <si>
    <t>ელ. სადენი 4*25 ალუმინის</t>
  </si>
  <si>
    <t>__export__.product_template_20850_c959105f</t>
  </si>
  <si>
    <t>10151</t>
  </si>
  <si>
    <t>ელ. სადენი 4*25 სპილენძის მრავალწვერა ორმ. იზოლ.</t>
  </si>
  <si>
    <t>__export__.product_template_20851_6d7eb349</t>
  </si>
  <si>
    <t>9230</t>
  </si>
  <si>
    <t>ელ. სადენი 4*35 (სიპი)</t>
  </si>
  <si>
    <t>__export__.product_template_20852_44cf3445</t>
  </si>
  <si>
    <t>8981</t>
  </si>
  <si>
    <t>__export__.product_template_20853_f48b52e1</t>
  </si>
  <si>
    <t>4052</t>
  </si>
  <si>
    <t>__export__.product_template_20854_fdaf207a</t>
  </si>
  <si>
    <t>10153</t>
  </si>
  <si>
    <t>ელ. სადენი 4*6 სპილენძის მრავალწვერა ორმ. იზოლ.</t>
  </si>
  <si>
    <t>__export__.product_template_20855_aad237ca</t>
  </si>
  <si>
    <t>4301</t>
  </si>
  <si>
    <t>__export__.product_template_20856_27fa1934</t>
  </si>
  <si>
    <t>5872</t>
  </si>
  <si>
    <t>__export__.product_template_20857_91f8c9ef</t>
  </si>
  <si>
    <t>3028</t>
  </si>
  <si>
    <t>__export__.product_template_20858_28371674</t>
  </si>
  <si>
    <t>3801</t>
  </si>
  <si>
    <t>__export__.product_template_20859_6c6127e2</t>
  </si>
  <si>
    <t>10223</t>
  </si>
  <si>
    <t>ელ. სადენის ბუნიკი 10კვ.მმ სპილენძის</t>
  </si>
  <si>
    <t>__export__.product_template_20860_7d661f7d</t>
  </si>
  <si>
    <t>10050</t>
  </si>
  <si>
    <t>__export__.product_template_20861_deb52ff5</t>
  </si>
  <si>
    <t>10049</t>
  </si>
  <si>
    <t>__export__.product_template_20862_92679201</t>
  </si>
  <si>
    <t>10224</t>
  </si>
  <si>
    <t>__export__.product_template_20863_c77d12e5</t>
  </si>
  <si>
    <t>6522</t>
  </si>
  <si>
    <t>__export__.product_template_20864_05b31a8b</t>
  </si>
  <si>
    <t>10401</t>
  </si>
  <si>
    <t>ელ. ფაზების გარდამქმნელი</t>
  </si>
  <si>
    <t>__export__.product_template_20865_05b59866</t>
  </si>
  <si>
    <t>7413</t>
  </si>
  <si>
    <t>__export__.product_template_20866_3cc9f907</t>
  </si>
  <si>
    <t>3184</t>
  </si>
  <si>
    <t>__export__.product_template_20867_11fddf76</t>
  </si>
  <si>
    <t>10115</t>
  </si>
  <si>
    <t>__export__.product_template_20868_8e63245c</t>
  </si>
  <si>
    <t>10164</t>
  </si>
  <si>
    <t>__export__.product_template_46372_d5ff2031</t>
  </si>
  <si>
    <t>3155</t>
  </si>
  <si>
    <t>__export__.product_template_46373_98b4209b</t>
  </si>
  <si>
    <t>9332</t>
  </si>
  <si>
    <t>ელ. ძრავი 1.7კვტ</t>
  </si>
  <si>
    <t>2/12/4 მოწყობილობის მაკომპლექტებელი</t>
  </si>
  <si>
    <t>__export__.product_category_4540_b6f9d3ee</t>
  </si>
  <si>
    <t>__export__.product_template_46374_f80fd022</t>
  </si>
  <si>
    <t>10988</t>
  </si>
  <si>
    <t>ელემენტები 2A-20</t>
  </si>
  <si>
    <t>__export__.product_template_63291_732b2c7a</t>
  </si>
  <si>
    <t>10989</t>
  </si>
  <si>
    <t>ელემენტები 3A- 60</t>
  </si>
  <si>
    <t>__export__.product_template_63292_361bd222</t>
  </si>
  <si>
    <t>10660</t>
  </si>
  <si>
    <t>ელემენტი 9V (კრონა)</t>
  </si>
  <si>
    <t>2/12/4 ბატარეა ელემენტი</t>
  </si>
  <si>
    <t>__export__.product_category_4541_ae5ef5c1</t>
  </si>
  <si>
    <t>__export__.product_template_63129_fdf136a7</t>
  </si>
  <si>
    <t>10215</t>
  </si>
  <si>
    <t>ელემენტი AA 1.5v</t>
  </si>
  <si>
    <t>__export__.product_template_46375_bc1d6ec9</t>
  </si>
  <si>
    <t>10081</t>
  </si>
  <si>
    <t>ელემენტი Trimble R8</t>
  </si>
  <si>
    <t>__export__.product_template_46376_c44986c5</t>
  </si>
  <si>
    <t>9945</t>
  </si>
  <si>
    <t>ელემენტი დასატენი (AA ზომის აკუმულატორი)</t>
  </si>
  <si>
    <t>2/12/6 ბატარეა ელემენტი</t>
  </si>
  <si>
    <t>__export__.product_category_4542_3179c586</t>
  </si>
  <si>
    <t>__export__.product_template_46377_59f38179</t>
  </si>
  <si>
    <t>9944</t>
  </si>
  <si>
    <t>__export__.product_template_46378_c8eff476</t>
  </si>
  <si>
    <t>13520</t>
  </si>
  <si>
    <t>ელექტრიკოსების სერტიფიცირება</t>
  </si>
  <si>
    <t>2/9 სტანდარტიზაცია</t>
  </si>
  <si>
    <t>__export__.product_category_4727_21b97e16</t>
  </si>
  <si>
    <t>__export__.product_template_77858_ef1ddf91</t>
  </si>
  <si>
    <t>8857</t>
  </si>
  <si>
    <t>__export__.product_template_46379_a424cba0</t>
  </si>
  <si>
    <t>10516</t>
  </si>
  <si>
    <t>ელექტრო ქურა 2 კომფორიანი</t>
  </si>
  <si>
    <t>__export__.product_template_46381_75e8d8d6</t>
  </si>
  <si>
    <t>6110</t>
  </si>
  <si>
    <t>2/5 ელექტროდი</t>
  </si>
  <si>
    <t>__export__.product_category_4543_31a03091</t>
  </si>
  <si>
    <t>__export__.product_template_46382_68bbcb12</t>
  </si>
  <si>
    <t>8069</t>
  </si>
  <si>
    <t>ელექტროდი 2.5მმ უჟანგავი</t>
  </si>
  <si>
    <t>__export__.product_template_46383_95df540c</t>
  </si>
  <si>
    <t>8033</t>
  </si>
  <si>
    <t>__export__.product_template_46384_7c0d6086</t>
  </si>
  <si>
    <t>8143</t>
  </si>
  <si>
    <t>__export__.product_template_46385_b3037f77</t>
  </si>
  <si>
    <t>6109</t>
  </si>
  <si>
    <t>__export__.product_template_46386_8c7b0a24</t>
  </si>
  <si>
    <t>8536</t>
  </si>
  <si>
    <t>__export__.product_template_46387_27a620d2</t>
  </si>
  <si>
    <t>3702</t>
  </si>
  <si>
    <t>__export__.product_template_46389_16617b20</t>
  </si>
  <si>
    <t>1520</t>
  </si>
  <si>
    <t>__export__.product_template_46388_5e77166f</t>
  </si>
  <si>
    <t>3781</t>
  </si>
  <si>
    <t>__export__.product_template_46390_1fa5aecc</t>
  </si>
  <si>
    <t>3134</t>
  </si>
  <si>
    <t>__export__.product_template_46391_e52e64c4</t>
  </si>
  <si>
    <t>6455</t>
  </si>
  <si>
    <t>__export__.product_template_46392_2088e0f8</t>
  </si>
  <si>
    <t>7593</t>
  </si>
  <si>
    <t>__export__.product_template_46393_c20a3e32</t>
  </si>
  <si>
    <t>8141</t>
  </si>
  <si>
    <t>__export__.product_template_46394_74ce4fe8</t>
  </si>
  <si>
    <t>5922</t>
  </si>
  <si>
    <t>__export__.product_template_46395_774c19b4</t>
  </si>
  <si>
    <t>5271</t>
  </si>
  <si>
    <t>__export__.product_template_46396_ecdb711b</t>
  </si>
  <si>
    <t>5711</t>
  </si>
  <si>
    <t>__export__.product_template_46397_85ce9501</t>
  </si>
  <si>
    <t>6866</t>
  </si>
  <si>
    <t>__export__.product_template_46398_155bd861</t>
  </si>
  <si>
    <t>5771</t>
  </si>
  <si>
    <t>__export__.product_template_46399_af192987</t>
  </si>
  <si>
    <t>9288</t>
  </si>
  <si>
    <t>__export__.product_template_46400_cae240e1</t>
  </si>
  <si>
    <t>5852</t>
  </si>
  <si>
    <t>__export__.product_template_46401_a45f14c2</t>
  </si>
  <si>
    <t>10274</t>
  </si>
  <si>
    <t>__export__.product_template_46402_6e5bc3f2</t>
  </si>
  <si>
    <t>10275</t>
  </si>
  <si>
    <t>ვაზნა 312მმ 1Ь62 სახარატო ჩარხის კომპლექტში</t>
  </si>
  <si>
    <t>__export__.product_template_46403_2053ae14</t>
  </si>
  <si>
    <t>10342</t>
  </si>
  <si>
    <t>ვაზნა 315მმ 1Д63 სახარატო ჩარხის კომპლექტში</t>
  </si>
  <si>
    <t>__export__.product_template_46404_4f1127e9</t>
  </si>
  <si>
    <t>4373</t>
  </si>
  <si>
    <t>2/12/6 სამღებრო</t>
  </si>
  <si>
    <t>__export__.product_category_4544_6a7bbbde</t>
  </si>
  <si>
    <t>__export__.product_template_46405_467be47d</t>
  </si>
  <si>
    <t>11015</t>
  </si>
  <si>
    <t>ვედრო პლასმასის 10 ლიტრიანი</t>
  </si>
  <si>
    <t>__export__.product_template_63318_6e5b0895</t>
  </si>
  <si>
    <t>591</t>
  </si>
  <si>
    <t>__export__.product_template_46406_a935f0f7</t>
  </si>
  <si>
    <t>5282</t>
  </si>
  <si>
    <t>__export__.product_template_46407_f2fe5896</t>
  </si>
  <si>
    <t>6322</t>
  </si>
  <si>
    <t>__export__.product_template_46408_7fce6792</t>
  </si>
  <si>
    <t>3775</t>
  </si>
  <si>
    <t>__export__.product_template_46409_0e2fdab6</t>
  </si>
  <si>
    <t>2065</t>
  </si>
  <si>
    <t>__export__.product_template_46410_aa852036</t>
  </si>
  <si>
    <t>10552</t>
  </si>
  <si>
    <t>ვენტილი არგო</t>
  </si>
  <si>
    <t>__export__.product_template_46411_e064c03a</t>
  </si>
  <si>
    <t>3438</t>
  </si>
  <si>
    <t>__export__.product_template_46412_eefa1927</t>
  </si>
  <si>
    <t>5064</t>
  </si>
  <si>
    <t>__export__.product_template_46413_2b915a63</t>
  </si>
  <si>
    <t>3225</t>
  </si>
  <si>
    <t>__export__.product_template_46414_0eb8a4c2</t>
  </si>
  <si>
    <t>10046</t>
  </si>
  <si>
    <t>ვიდეო ჩამწერი NVR ქსელური</t>
  </si>
  <si>
    <t>3/6 ქსელი 2197</t>
  </si>
  <si>
    <t>__export__.product_category_4755_11bf2faf</t>
  </si>
  <si>
    <t>__export__.product_template_46415_bb08b0d7</t>
  </si>
  <si>
    <t>ზეთი CHAMPION NEW EN. 5W40 EXTRA 205L</t>
  </si>
  <si>
    <t>__export__.product_template_47698_f068bbb5</t>
  </si>
  <si>
    <t>6324</t>
  </si>
  <si>
    <t>__export__.product_template_46416_55b9a4bb</t>
  </si>
  <si>
    <t>9926</t>
  </si>
  <si>
    <t>ზეთი მრიცხველისთვის S2BL10</t>
  </si>
  <si>
    <t>__export__.product_template_46417_1a3a436e</t>
  </si>
  <si>
    <t>10502</t>
  </si>
  <si>
    <t>ზეთი ჩარხის მიმმართველების სასრიალოდ</t>
  </si>
  <si>
    <t>__export__.product_template_46418_a708024b</t>
  </si>
  <si>
    <t>10272</t>
  </si>
  <si>
    <t>ზენკერი 30მმ</t>
  </si>
  <si>
    <t>__export__.product_template_46419_aba563ce</t>
  </si>
  <si>
    <t>5714</t>
  </si>
  <si>
    <t>__export__.product_template_46420_d5ddb623</t>
  </si>
  <si>
    <t>5707</t>
  </si>
  <si>
    <t>__export__.product_template_46421_9c74c5c0</t>
  </si>
  <si>
    <t>6885</t>
  </si>
  <si>
    <t>__export__.product_template_46422_be78a012</t>
  </si>
  <si>
    <t>8099</t>
  </si>
  <si>
    <t>__export__.product_template_46423_ff708495</t>
  </si>
  <si>
    <t>10216</t>
  </si>
  <si>
    <t>ზოლოვანა 20*3 ლითონის</t>
  </si>
  <si>
    <t>__export__.product_template_46424_8d3a3e5e</t>
  </si>
  <si>
    <t>5927</t>
  </si>
  <si>
    <t>__export__.product_template_46425_ddbbb486</t>
  </si>
  <si>
    <t>8197</t>
  </si>
  <si>
    <t>__export__.product_template_46426_792285fd</t>
  </si>
  <si>
    <t>8097</t>
  </si>
  <si>
    <t>__export__.product_template_46427_b45acf8e</t>
  </si>
  <si>
    <t>8098</t>
  </si>
  <si>
    <t>__export__.product_template_46428_6ce0d9f2</t>
  </si>
  <si>
    <t>5288</t>
  </si>
  <si>
    <t>__export__.product_template_46429_8903723c</t>
  </si>
  <si>
    <t>9152</t>
  </si>
  <si>
    <t>ზოლოვანა 50*20 ლითონის</t>
  </si>
  <si>
    <t>__export__.product_template_46430_91b44bb5</t>
  </si>
  <si>
    <t>3832</t>
  </si>
  <si>
    <t>__export__.product_template_46431_765a2db9</t>
  </si>
  <si>
    <t>10359</t>
  </si>
  <si>
    <t>ზოლოვანა 60*15 ლითონის</t>
  </si>
  <si>
    <t>__export__.product_template_46432_67523c4f</t>
  </si>
  <si>
    <t>5755</t>
  </si>
  <si>
    <t>ზოლოვანა 60*20 ლითონის</t>
  </si>
  <si>
    <t>__export__.product_template_46433_0874e503</t>
  </si>
  <si>
    <t>5713</t>
  </si>
  <si>
    <t>__export__.product_template_46434_d11a9587</t>
  </si>
  <si>
    <t>9289</t>
  </si>
  <si>
    <t>__export__.product_template_46435_dbf39758</t>
  </si>
  <si>
    <t>5716</t>
  </si>
  <si>
    <t>__export__.product_template_46436_570ae6e9</t>
  </si>
  <si>
    <t>10135</t>
  </si>
  <si>
    <t>__export__.product_template_46437_e9e8aa78</t>
  </si>
  <si>
    <t>3297</t>
  </si>
  <si>
    <t>__export__.product_template_46438_1002bd42</t>
  </si>
  <si>
    <t>4206</t>
  </si>
  <si>
    <t>3/1 ზოლურის საჭრელი</t>
  </si>
  <si>
    <t>__export__.product_category_4546_075b4d3d</t>
  </si>
  <si>
    <t>__export__.product_template_46439_2fc50967</t>
  </si>
  <si>
    <t>8778</t>
  </si>
  <si>
    <t>ზოლურის მოსაჭრელი ხელსაწყო ავტომატური</t>
  </si>
  <si>
    <t>__export__.product_template_46440_557a70d0</t>
  </si>
  <si>
    <t>ზონალურ-საათობრივი პარკინგი</t>
  </si>
  <si>
    <t>__export__.product_template_73842_1fdc7197</t>
  </si>
  <si>
    <t>3266</t>
  </si>
  <si>
    <t>__export__.product_template_46441_02468de4</t>
  </si>
  <si>
    <t>10162</t>
  </si>
  <si>
    <t>ზუმფარა რულონი 100 250მმ</t>
  </si>
  <si>
    <t>__export__.product_template_46442_e779285c</t>
  </si>
  <si>
    <t>10161</t>
  </si>
  <si>
    <t>ზუმფარა რულონი 120 250მმ</t>
  </si>
  <si>
    <t>__export__.product_template_46443_14a96e70</t>
  </si>
  <si>
    <t>10163</t>
  </si>
  <si>
    <t>ზუმფარა რულონი 80 250მმ</t>
  </si>
  <si>
    <t>__export__.product_template_46444_f8b97716</t>
  </si>
  <si>
    <t>10148</t>
  </si>
  <si>
    <t>ზუმფარა სახეხი მანქანის 115*280 8 ნახვრ.</t>
  </si>
  <si>
    <t>2/12/6 სახარჯი მასალა</t>
  </si>
  <si>
    <t>__export__.product_category_4547_110df797</t>
  </si>
  <si>
    <t>__export__.product_template_46445_b4d6ef35</t>
  </si>
  <si>
    <t>10101</t>
  </si>
  <si>
    <t>ზუმფარა ღრუბელზე 120</t>
  </si>
  <si>
    <t>__export__.product_template_46446_5649f435</t>
  </si>
  <si>
    <t>10102</t>
  </si>
  <si>
    <t>ზუმფარა ღრუბელზე 80</t>
  </si>
  <si>
    <t>__export__.product_template_46447_417142a0</t>
  </si>
  <si>
    <t>8619</t>
  </si>
  <si>
    <t>ზღუდარი მ/გ საჰაერო გადასასვლელისთვის</t>
  </si>
  <si>
    <t>2/5 ლითონის კონსტრუქცია</t>
  </si>
  <si>
    <t>__export__.product_category_4548_eccb5418</t>
  </si>
  <si>
    <t>__export__.product_template_46448_ca49cb3a</t>
  </si>
  <si>
    <t>6212</t>
  </si>
  <si>
    <t>თაბაშირ-მუყაოს C პროფილი</t>
  </si>
  <si>
    <t>__export__.product_template_46450_b14120bf</t>
  </si>
  <si>
    <t>10545</t>
  </si>
  <si>
    <t>თაბაშირ-მუყაოს CD პროფილი</t>
  </si>
  <si>
    <t>__export__.product_template_46451_03057a0a</t>
  </si>
  <si>
    <t>6213</t>
  </si>
  <si>
    <t>თაბაშირ-მუყაოს U პროფილი</t>
  </si>
  <si>
    <t>__export__.product_template_46452_495d750f</t>
  </si>
  <si>
    <t>9256</t>
  </si>
  <si>
    <t>__export__.product_template_46453_ac89b587</t>
  </si>
  <si>
    <t>10544</t>
  </si>
  <si>
    <t>თაბაშირ-მუყაოს ფილა 12.5მმ</t>
  </si>
  <si>
    <t>__export__.product_template_46454_c666c853</t>
  </si>
  <si>
    <t>9199</t>
  </si>
  <si>
    <t>თაბაშირ-მუყაოს ფილა 12.5მმ ცეცხლგამძლე</t>
  </si>
  <si>
    <t>__export__.product_template_46455_98e25558</t>
  </si>
  <si>
    <t>10104</t>
  </si>
  <si>
    <t>თაბაშირის ბათქაში</t>
  </si>
  <si>
    <t>__export__.product_template_46449_c0111a56</t>
  </si>
  <si>
    <t>9193</t>
  </si>
  <si>
    <t>თავაკი სარტყამი ღრმა 85მმ</t>
  </si>
  <si>
    <t>2/5 ინსტრუმენტი</t>
  </si>
  <si>
    <t>__export__.product_category_4651_2be7a47e</t>
  </si>
  <si>
    <t>__export__.product_template_46456_b9ed43e9</t>
  </si>
  <si>
    <t>3083</t>
  </si>
  <si>
    <t>__export__.product_template_46457_ba231ead</t>
  </si>
  <si>
    <t>3127</t>
  </si>
  <si>
    <t>__export__.product_template_46458_9052aa81</t>
  </si>
  <si>
    <t>3128</t>
  </si>
  <si>
    <t>__export__.product_template_46459_9e0eb562</t>
  </si>
  <si>
    <t>8790</t>
  </si>
  <si>
    <t>თარო დასაკიდი</t>
  </si>
  <si>
    <t>3/1 საოფისე ავეჯი</t>
  </si>
  <si>
    <t>__export__.product_category_4551_5b657500</t>
  </si>
  <si>
    <t>__export__.product_template_46460_d40cf4a5</t>
  </si>
  <si>
    <t>8111</t>
  </si>
  <si>
    <t>__export__.product_template_46461_a71fd4bf</t>
  </si>
  <si>
    <t>6577</t>
  </si>
  <si>
    <t>__export__.product_template_46462_bf05c5a3</t>
  </si>
  <si>
    <t>8658</t>
  </si>
  <si>
    <t>__export__.product_template_46463_eb66d08c</t>
  </si>
  <si>
    <t>6578</t>
  </si>
  <si>
    <t>__export__.product_template_46464_432843af</t>
  </si>
  <si>
    <t>5308</t>
  </si>
  <si>
    <t>__export__.product_template_46465_6fa21cb0</t>
  </si>
  <si>
    <t>5948</t>
  </si>
  <si>
    <t>__export__.product_template_46466_1726033f</t>
  </si>
  <si>
    <t>6051</t>
  </si>
  <si>
    <t>__export__.product_template_46467_5721b0cf</t>
  </si>
  <si>
    <t>9182</t>
  </si>
  <si>
    <t>2/12/1 საყოფაცხოვრებო ტექნიკა</t>
  </si>
  <si>
    <t>__export__.product_category_4552_5fd8592a</t>
  </si>
  <si>
    <t>__export__.product_template_46468_7bd39bb8</t>
  </si>
  <si>
    <t>5858</t>
  </si>
  <si>
    <t>__export__.product_template_46469_5cd8da74</t>
  </si>
  <si>
    <t>5881</t>
  </si>
  <si>
    <t>__export__.product_template_46470_dc5fbb3c</t>
  </si>
  <si>
    <t>5880</t>
  </si>
  <si>
    <t>__export__.product_template_46471_43e28ae4</t>
  </si>
  <si>
    <t>5882</t>
  </si>
  <si>
    <t>__export__.product_template_46472_ca5b7376</t>
  </si>
  <si>
    <t>10085</t>
  </si>
  <si>
    <t>__export__.product_template_46473_8ffd8f8d</t>
  </si>
  <si>
    <t>5884</t>
  </si>
  <si>
    <t>__export__.product_template_46474_66d01f13</t>
  </si>
  <si>
    <t>4062</t>
  </si>
  <si>
    <t>თერმოსი 8-10ლ</t>
  </si>
  <si>
    <t>__export__.product_template_46475_447fc938</t>
  </si>
  <si>
    <t>10541</t>
  </si>
  <si>
    <t>თვითმჭრელი შურუპი 3.9*25</t>
  </si>
  <si>
    <t>__export__.product_template_46476_dae56aa1</t>
  </si>
  <si>
    <t>10542</t>
  </si>
  <si>
    <t>თვითმჭრელი შურუპი 3.9*32</t>
  </si>
  <si>
    <t>__export__.product_template_46477_f84f9f29</t>
  </si>
  <si>
    <t>10540</t>
  </si>
  <si>
    <t>თვითმჭრელი შურუპი 4.2*25</t>
  </si>
  <si>
    <t>__export__.product_template_46478_e4cd54a6</t>
  </si>
  <si>
    <t>3454</t>
  </si>
  <si>
    <t>__export__.product_template_46479_620844db</t>
  </si>
  <si>
    <t>10047</t>
  </si>
  <si>
    <t>__export__.product_template_46480_cb5b7fde</t>
  </si>
  <si>
    <t>8137</t>
  </si>
  <si>
    <t>__export__.product_template_46481_2b70dd83</t>
  </si>
  <si>
    <t>3884</t>
  </si>
  <si>
    <t>__export__.product_template_46482_587e5518</t>
  </si>
  <si>
    <t>3883</t>
  </si>
  <si>
    <t>__export__.product_template_46483_e5291500</t>
  </si>
  <si>
    <t>8964</t>
  </si>
  <si>
    <t>__export__.product_template_46484_c6d1d659</t>
  </si>
  <si>
    <t>5051</t>
  </si>
  <si>
    <t>__export__.product_template_46485_6e0b365c</t>
  </si>
  <si>
    <t>3177</t>
  </si>
  <si>
    <t>__export__.product_template_46486_34d251bc</t>
  </si>
  <si>
    <t>3200</t>
  </si>
  <si>
    <t>__export__.product_template_46487_34d383bb</t>
  </si>
  <si>
    <t>3158</t>
  </si>
  <si>
    <t>__export__.product_template_46488_516e3a67</t>
  </si>
  <si>
    <t>6168</t>
  </si>
  <si>
    <t>__export__.product_template_46490_19b34aab</t>
  </si>
  <si>
    <t>5072</t>
  </si>
  <si>
    <t>__export__.product_template_46489_debf3f08</t>
  </si>
  <si>
    <t>8906</t>
  </si>
  <si>
    <t>__export__.product_template_46491_75839a9b</t>
  </si>
  <si>
    <t>11016</t>
  </si>
  <si>
    <t>იატაკის საწმენდი (ჯაგრისი)</t>
  </si>
  <si>
    <t>__export__.product_template_63319_12a848ad</t>
  </si>
  <si>
    <t>11017</t>
  </si>
  <si>
    <t>იატაკის საწმენდი ჯოხი</t>
  </si>
  <si>
    <t>__export__.product_template_63320_58262f03</t>
  </si>
  <si>
    <t>10214</t>
  </si>
  <si>
    <t>ინდიკატორი ელექტრო 12v-1000v</t>
  </si>
  <si>
    <t>__export__.product_template_20797_d786f70e</t>
  </si>
  <si>
    <t>6698</t>
  </si>
  <si>
    <t>ინდიკატორი სადგარით</t>
  </si>
  <si>
    <t>__export__.product_template_46492_2a83ec18</t>
  </si>
  <si>
    <t>10443</t>
  </si>
  <si>
    <t>ინდუსტრიული სკანერი შენადუღ ნაკერების შესამოწმებლად</t>
  </si>
  <si>
    <t>__export__.product_template_46493_c1727aaf</t>
  </si>
  <si>
    <t>8262</t>
  </si>
  <si>
    <t>ინსტრუმენტების ნაკრები 80 ნაჭრ</t>
  </si>
  <si>
    <t>__export__.product_template_46494_2d386a41</t>
  </si>
  <si>
    <t>10480</t>
  </si>
  <si>
    <t>ინციდენტების და მოვლენების მართვის (SIEM) ავტომატიზაციის (SOAR) და ვებ აპლიკაციების დაცვის სისტემა</t>
  </si>
  <si>
    <t>__export__.product_template_46495_1b333dd3</t>
  </si>
  <si>
    <t>10898</t>
  </si>
  <si>
    <t>იურიდიული: იურიდიული და სხვა მომსახურება</t>
  </si>
  <si>
    <t>__export__.product_template_63201_b962e6dc</t>
  </si>
  <si>
    <t>8655</t>
  </si>
  <si>
    <t>__export__.product_template_46496_9ac59b37</t>
  </si>
  <si>
    <t>10589</t>
  </si>
  <si>
    <t>კაბელ-არხი 60*100 პლასტმასის</t>
  </si>
  <si>
    <t>__export__.product_template_46497_d1034c44</t>
  </si>
  <si>
    <t>9262</t>
  </si>
  <si>
    <t>2/5 ქსელი</t>
  </si>
  <si>
    <t>__export__.product_category_4553_6675a7a2</t>
  </si>
  <si>
    <t>__export__.product_template_46498_89f73b1a</t>
  </si>
  <si>
    <t>5102</t>
  </si>
  <si>
    <t>__export__.product_template_46499_481aa2bb</t>
  </si>
  <si>
    <t>8928</t>
  </si>
  <si>
    <t>3/6 ქსელი</t>
  </si>
  <si>
    <t>__export__.product_category_4545_7bea14f5</t>
  </si>
  <si>
    <t>__export__.product_template_46500_71d74862</t>
  </si>
  <si>
    <t>10654</t>
  </si>
  <si>
    <t>კაბელი ქსელის 6 კატეგორიის UTP</t>
  </si>
  <si>
    <t>__export__.product_template_63125_8d45ce81</t>
  </si>
  <si>
    <t>4436</t>
  </si>
  <si>
    <t>__export__.product_template_46501_4c6d6d38</t>
  </si>
  <si>
    <t>5470</t>
  </si>
  <si>
    <t>კათოდური დაცვის სადგური</t>
  </si>
  <si>
    <t>__export__.product_template_46502_5d8918ff</t>
  </si>
  <si>
    <t>5863</t>
  </si>
  <si>
    <t>__export__.product_template_46503_7f187254</t>
  </si>
  <si>
    <t>10773</t>
  </si>
  <si>
    <t>კალამი ბრენდირებული GGTC</t>
  </si>
  <si>
    <t>__export__.product_template_62723_4264a40d</t>
  </si>
  <si>
    <t>7478</t>
  </si>
  <si>
    <t>კალას მავთული 60/40 0.7მმ 250გრ</t>
  </si>
  <si>
    <t>__export__.product_template_46504_40b7ccfd</t>
  </si>
  <si>
    <t>10775</t>
  </si>
  <si>
    <t>კალენდარი ბრენირებული GGTC</t>
  </si>
  <si>
    <t>__export__.product_template_62724_72987bd1</t>
  </si>
  <si>
    <t>10939</t>
  </si>
  <si>
    <t>კალენდარი კედლის</t>
  </si>
  <si>
    <t>__export__.product_template_63242_11046dc5</t>
  </si>
  <si>
    <t>10940</t>
  </si>
  <si>
    <t>კალკულატორი</t>
  </si>
  <si>
    <t>__export__.product_template_63243_e1531796</t>
  </si>
  <si>
    <t>3604</t>
  </si>
  <si>
    <t>__export__.product_template_46505_5bb5a65b</t>
  </si>
  <si>
    <t>8780</t>
  </si>
  <si>
    <t>3/6 კამერა</t>
  </si>
  <si>
    <t>__export__.product_category_4554_afc8e56e</t>
  </si>
  <si>
    <t>__export__.product_template_46506_182e68c9</t>
  </si>
  <si>
    <t>10167</t>
  </si>
  <si>
    <t>2/12/4 ხელსაწყო</t>
  </si>
  <si>
    <t>__export__.product_category_4555_4e761c0f</t>
  </si>
  <si>
    <t>__export__.product_template_46507_78d0ed2e</t>
  </si>
  <si>
    <t>10909</t>
  </si>
  <si>
    <t>კანალიზაციის სისტემის შეკეთება</t>
  </si>
  <si>
    <t>__export__.product_template_63212_f79cc43f</t>
  </si>
  <si>
    <t>10246</t>
  </si>
  <si>
    <t>კანისტრა 100ლ რკინის</t>
  </si>
  <si>
    <t>__export__.product_template_46508_c9a0e06e</t>
  </si>
  <si>
    <t>10247</t>
  </si>
  <si>
    <t>კანისტრა 200ლ რკინის</t>
  </si>
  <si>
    <t>__export__.product_template_46509_d789e5ee</t>
  </si>
  <si>
    <t>4358</t>
  </si>
  <si>
    <t>__export__.product_template_46510_9123b1c4</t>
  </si>
  <si>
    <t>3762</t>
  </si>
  <si>
    <t>__export__.product_template_46511_d5f0bae6</t>
  </si>
  <si>
    <t>10245</t>
  </si>
  <si>
    <t>კანისტრა 50ლ რკინის</t>
  </si>
  <si>
    <t>__export__.product_template_46512_48aacd76</t>
  </si>
  <si>
    <t>9261</t>
  </si>
  <si>
    <t>კანიფოლი</t>
  </si>
  <si>
    <t>__export__.product_template_46513_4cd7c4ce</t>
  </si>
  <si>
    <t>8788</t>
  </si>
  <si>
    <t>__export__.product_template_46514_64208c27</t>
  </si>
  <si>
    <t>10211</t>
  </si>
  <si>
    <t>კარადა გარდერობის საკიდი მეტალის</t>
  </si>
  <si>
    <t>__export__.product_template_46515_bf8b1daa</t>
  </si>
  <si>
    <t>7884</t>
  </si>
  <si>
    <t>კარადა ელ. მანომეტრისათვის რკინის</t>
  </si>
  <si>
    <t>2/12/4 სამონტაჟო</t>
  </si>
  <si>
    <t>__export__.product_category_4711_f3402a4a</t>
  </si>
  <si>
    <t>__export__.product_template_46516_712d15df</t>
  </si>
  <si>
    <t>5498</t>
  </si>
  <si>
    <t>კარადა თაროებით</t>
  </si>
  <si>
    <t>__export__.product_template_46517_17fbf8e0</t>
  </si>
  <si>
    <t>10813</t>
  </si>
  <si>
    <t>კარადა კომბინირებული</t>
  </si>
  <si>
    <t>__export__.product_template_62725_0956195f</t>
  </si>
  <si>
    <t>6521</t>
  </si>
  <si>
    <t>2/12/4 სხვა</t>
  </si>
  <si>
    <t>__export__.product_category_4712_72a218d0</t>
  </si>
  <si>
    <t>__export__.product_template_46518_551a5d54</t>
  </si>
  <si>
    <t>7633</t>
  </si>
  <si>
    <t>__export__.product_template_46519_f3466e3a</t>
  </si>
  <si>
    <t>10303</t>
  </si>
  <si>
    <t>__export__.product_template_46520_486f6a56</t>
  </si>
  <si>
    <t>10076</t>
  </si>
  <si>
    <t>კარადა საოფისე ბაინდერებისათვის ნახ.ღია</t>
  </si>
  <si>
    <t>__export__.product_template_46521_98bea825</t>
  </si>
  <si>
    <t>4320</t>
  </si>
  <si>
    <t>2/12/6 სამეურნეო 2197</t>
  </si>
  <si>
    <t>__export__.product_category_4763_7830630c</t>
  </si>
  <si>
    <t>__export__.product_template_46522_ebbec2ea</t>
  </si>
  <si>
    <t>4556</t>
  </si>
  <si>
    <t>__export__.product_template_46523_28242360</t>
  </si>
  <si>
    <t>8926</t>
  </si>
  <si>
    <t>__export__.product_template_46524_c87f2f59</t>
  </si>
  <si>
    <t>3264</t>
  </si>
  <si>
    <t>__export__.product_template_46525_c80fa9a3</t>
  </si>
  <si>
    <t>10111</t>
  </si>
  <si>
    <t>კარი შიდა მდფ</t>
  </si>
  <si>
    <t>__export__.product_template_46526_d0f26af4</t>
  </si>
  <si>
    <t>5129</t>
  </si>
  <si>
    <t>__export__.product_template_46527_d6332add</t>
  </si>
  <si>
    <t>10985</t>
  </si>
  <si>
    <t>კედლის საათი</t>
  </si>
  <si>
    <t>__export__.product_template_63288_a4a7cc28</t>
  </si>
  <si>
    <t>10055</t>
  </si>
  <si>
    <t>კედლის სისქის ულტრაბგერითი საზომი</t>
  </si>
  <si>
    <t>__export__.product_template_46528_6752ead1</t>
  </si>
  <si>
    <t>8544</t>
  </si>
  <si>
    <t>__export__.product_template_46529_94ccc692</t>
  </si>
  <si>
    <t>8579</t>
  </si>
  <si>
    <t>__export__.product_template_46530_123e5ad4</t>
  </si>
  <si>
    <t>8545</t>
  </si>
  <si>
    <t>__export__.product_template_46531_9e458a67</t>
  </si>
  <si>
    <t>10889</t>
  </si>
  <si>
    <t>კვალიფიკაციის ასამაღლებელი კურსები/ტრეინინგი ზოგადი</t>
  </si>
  <si>
    <t>2/9 ტრეინინგი</t>
  </si>
  <si>
    <t>__export__.product_category_4686_4479f64a</t>
  </si>
  <si>
    <t>__export__.product_template_63192_311235e1</t>
  </si>
  <si>
    <t>5810</t>
  </si>
  <si>
    <t>კვების ბლოკი 220v-12v</t>
  </si>
  <si>
    <t>__export__.product_template_46533_b9ff2d77</t>
  </si>
  <si>
    <t>10476</t>
  </si>
  <si>
    <t>კვების ბლოკი 220v-13.5v</t>
  </si>
  <si>
    <t>__export__.product_template_46532_66ba8702</t>
  </si>
  <si>
    <t>6272</t>
  </si>
  <si>
    <t>2/12/6 სამეურნეო</t>
  </si>
  <si>
    <t>__export__.product_category_4557_ad5d36ff</t>
  </si>
  <si>
    <t>__export__.product_template_46534_4edadeda</t>
  </si>
  <si>
    <t>8680</t>
  </si>
  <si>
    <t>__export__.product_template_46535_abd80619</t>
  </si>
  <si>
    <t>11009</t>
  </si>
  <si>
    <t xml:space="preserve">კლავიატურა დისტანციური </t>
  </si>
  <si>
    <t>__export__.product_template_63312_4a46991c</t>
  </si>
  <si>
    <t>11006</t>
  </si>
  <si>
    <t>კლავიატურა კაბელით</t>
  </si>
  <si>
    <t>__export__.product_template_63309_22048c94</t>
  </si>
  <si>
    <t>9839</t>
  </si>
  <si>
    <t>კლემნიკი პლასტმასის</t>
  </si>
  <si>
    <t>__export__.product_template_46536_485594d9</t>
  </si>
  <si>
    <t>10941</t>
  </si>
  <si>
    <t>კლიფსი</t>
  </si>
  <si>
    <t>__export__.product_template_63244_b7f97f36</t>
  </si>
  <si>
    <t>6650</t>
  </si>
  <si>
    <t>__export__.product_template_46537_7b36b910</t>
  </si>
  <si>
    <t>3203</t>
  </si>
  <si>
    <t>__export__.product_template_46538_d22fcf9b</t>
  </si>
  <si>
    <t>8541</t>
  </si>
  <si>
    <t>__export__.product_template_46539_270c23bb</t>
  </si>
  <si>
    <t>10899</t>
  </si>
  <si>
    <t>კომერციული დეპარტამენტი: საკონსულტაციო მომსახურება</t>
  </si>
  <si>
    <t>__export__.product_template_63202_c4c9fbb4</t>
  </si>
  <si>
    <t>11058</t>
  </si>
  <si>
    <t>კომპანიის ბლანკების დამზადება</t>
  </si>
  <si>
    <t>__export__.product_template_72245_dfcb1c8a</t>
  </si>
  <si>
    <t>10277</t>
  </si>
  <si>
    <t>კომპიუტერი პერსონალური გაძლიერებული</t>
  </si>
  <si>
    <t>3/2 კომპიუტერი ნოუთბუქი</t>
  </si>
  <si>
    <t>__export__.product_category_4558_0de64a36</t>
  </si>
  <si>
    <t>__export__.product_template_46540_f16575ef</t>
  </si>
  <si>
    <t>7660</t>
  </si>
  <si>
    <t>კომპიუტერი პერსონალური სტანდარტული</t>
  </si>
  <si>
    <t>__export__.product_template_46541_49057f78</t>
  </si>
  <si>
    <t>10057</t>
  </si>
  <si>
    <t>კომპიუტერის არასტანდარტული ქეისი</t>
  </si>
  <si>
    <t>__export__.product_template_46542_84438513</t>
  </si>
  <si>
    <t>10913</t>
  </si>
  <si>
    <t>კომპიუტერული ტექნიკის შეკეთება</t>
  </si>
  <si>
    <t>__export__.product_template_63216_97b6d316</t>
  </si>
  <si>
    <t>9295</t>
  </si>
  <si>
    <t>__export__.product_template_46543_dbbe8dc2</t>
  </si>
  <si>
    <t>10431</t>
  </si>
  <si>
    <t>კომუტატორი A ტიპის</t>
  </si>
  <si>
    <t>__export__.product_template_46544_058476da</t>
  </si>
  <si>
    <t>10432</t>
  </si>
  <si>
    <t>კომუტატორი B ტიპის</t>
  </si>
  <si>
    <t>__export__.product_template_46545_2b8867b7</t>
  </si>
  <si>
    <t>10091</t>
  </si>
  <si>
    <t>3/4 კონდიციონერი</t>
  </si>
  <si>
    <t>__export__.product_category_4559_f2ef90aa</t>
  </si>
  <si>
    <t>__export__.product_template_46546_3e7c656d</t>
  </si>
  <si>
    <t>00-00012984</t>
  </si>
  <si>
    <t>კონდიციონერი millen MYZ-12KQV-on/off Full set</t>
  </si>
  <si>
    <t>ა/მ ინსტრუმენტი</t>
  </si>
  <si>
    <t>__export__.product_category_1283_757a8550</t>
  </si>
  <si>
    <t>__export__.product_template_47727_0d33995d</t>
  </si>
  <si>
    <t>10911</t>
  </si>
  <si>
    <t>კონდიციონერის შეკეთება</t>
  </si>
  <si>
    <t>__export__.product_template_63214_5a63ac58</t>
  </si>
  <si>
    <t>10536</t>
  </si>
  <si>
    <t>კონექტორი (კლემნიკი) 2.5 კვ.მმ.</t>
  </si>
  <si>
    <t>__export__.product_template_46547_7d753a84</t>
  </si>
  <si>
    <t>9348</t>
  </si>
  <si>
    <t>__export__.product_template_46548_5e5fdb53</t>
  </si>
  <si>
    <t>8885</t>
  </si>
  <si>
    <t>კონექტორი ქსელის კაბელის (პაჩკორდი)</t>
  </si>
  <si>
    <t>__export__.product_template_46549_38bdd20f</t>
  </si>
  <si>
    <t>10310</t>
  </si>
  <si>
    <t>კონვენტორი 485 ინტერფეისი RS485 to WiFi</t>
  </si>
  <si>
    <t>__export__.product_template_46550_c4bcc10f</t>
  </si>
  <si>
    <t>10537</t>
  </si>
  <si>
    <t>კონტეინერი სენდვიჩ პანელის (საცხოვრებელი)</t>
  </si>
  <si>
    <t>3/4 ჯიხური კონტეინერი</t>
  </si>
  <si>
    <t>__export__.product_category_4560_fa21750e</t>
  </si>
  <si>
    <t>__export__.product_template_46551_ac60d51b</t>
  </si>
  <si>
    <t>6157</t>
  </si>
  <si>
    <t>__export__.product_template_46552_1f90f967</t>
  </si>
  <si>
    <t>6232</t>
  </si>
  <si>
    <t>__export__.product_template_46553_e18d1edf</t>
  </si>
  <si>
    <t>10078</t>
  </si>
  <si>
    <t>კონტროლერის დასამაგრებელი ჯოხი-2მ</t>
  </si>
  <si>
    <t>2/5 სამონტაჟო</t>
  </si>
  <si>
    <t>__export__.product_category_4714_ecf6bed4</t>
  </si>
  <si>
    <t>__export__.product_template_46554_3e0fc663</t>
  </si>
  <si>
    <t>9983</t>
  </si>
  <si>
    <t>კონუსი მორზე 2-5</t>
  </si>
  <si>
    <t>__export__.product_template_46555_aea7d0c6</t>
  </si>
  <si>
    <t>9984</t>
  </si>
  <si>
    <t>კონუსი მორზე 3-5</t>
  </si>
  <si>
    <t>__export__.product_template_46556_b5ab42a7</t>
  </si>
  <si>
    <t>10734</t>
  </si>
  <si>
    <t>კონუსური გარესახრახნი დიუმური ხრახნისთვის გოსტ-6111 K1</t>
  </si>
  <si>
    <t>__export__.product_template_62726_5161deb4</t>
  </si>
  <si>
    <t>10730</t>
  </si>
  <si>
    <t>კონუსური გარესახრახნი დიუმური ხრახნისთვის გოსტ-6111 K1/16</t>
  </si>
  <si>
    <t>__export__.product_template_62727_6e2e8020</t>
  </si>
  <si>
    <t>10732</t>
  </si>
  <si>
    <t>კონუსური გარესახრახნი დიუმური ხრახნისთვის გოსტ-6111 K1/4</t>
  </si>
  <si>
    <t>__export__.product_template_62728_3e2ce735</t>
  </si>
  <si>
    <t>10731</t>
  </si>
  <si>
    <t>კონუსური გარესახრახნი დიუმური ხრახნისთვის გოსტ-6111 K1/8</t>
  </si>
  <si>
    <t>__export__.product_template_62729_12cebae8</t>
  </si>
  <si>
    <t>10733</t>
  </si>
  <si>
    <t>კონუსური გარესახრახნი დიუმური ხრახნისთვის გოსტ-6111 K3/8</t>
  </si>
  <si>
    <t>__export__.product_template_62730_95d66a5e</t>
  </si>
  <si>
    <t>10729</t>
  </si>
  <si>
    <t>კონუსური გარესახრახნი მილისებრი ცილინდრული ხრახნისთვის გოსტ-6211 Rc1</t>
  </si>
  <si>
    <t>__export__.product_template_62731_20d58caf</t>
  </si>
  <si>
    <t>10725</t>
  </si>
  <si>
    <t>კონუსური გარესახრახნი მილისებრი ცილინდრული ხრახნისთვის გოსტ-6211 Rc1/16</t>
  </si>
  <si>
    <t>__export__.product_template_62732_7ab0eb9b</t>
  </si>
  <si>
    <t>10727</t>
  </si>
  <si>
    <t>კონუსური გარესახრახნი მილისებრი ცილინდრული ხრახნისთვის გოსტ-6211 Rc1/4</t>
  </si>
  <si>
    <t>__export__.product_template_62733_5607cbe8</t>
  </si>
  <si>
    <t>10726</t>
  </si>
  <si>
    <t>კონუსური გარესახრახნი მილისებრი ცილინდრული ხრახნისთვის გოსტ-6211 Rc1/8</t>
  </si>
  <si>
    <t>__export__.product_template_62734_067386d6</t>
  </si>
  <si>
    <t>10728</t>
  </si>
  <si>
    <t>კონუსური გარესახრახნი მილისებრი ცილინდრული ხრახნისთვის გოსტ-6211 Rc3/8</t>
  </si>
  <si>
    <t>__export__.product_template_62735_3d068311</t>
  </si>
  <si>
    <t>10719</t>
  </si>
  <si>
    <t>კონუსური შიგსახრახნი დიუმური ხრახნისთვის გოსტ-6111 K1</t>
  </si>
  <si>
    <t>__export__.product_template_62736_cc6e1a29</t>
  </si>
  <si>
    <t>10715</t>
  </si>
  <si>
    <t>კონუსური შიგსახრახნი დიუმური ხრახნისთვის გოსტ-6111 K1/16</t>
  </si>
  <si>
    <t>__export__.product_template_62737_6893b546</t>
  </si>
  <si>
    <t>10717</t>
  </si>
  <si>
    <t>კონუსური შიგსახრახნი დიუმური ხრახნისთვის გოსტ-6111 K1/4</t>
  </si>
  <si>
    <t>__export__.product_template_62738_3b045aba</t>
  </si>
  <si>
    <t>10716</t>
  </si>
  <si>
    <t>კონუსური შიგსახრახნი დიუმური ხრახნისთვის გოსტ-6111 K1/8</t>
  </si>
  <si>
    <t>__export__.product_template_62739_2aa40025</t>
  </si>
  <si>
    <t>10718</t>
  </si>
  <si>
    <t>კონუსური შიგსახრახნი დიუმური ხრახნისთვის გოსტ-6111 K3/8</t>
  </si>
  <si>
    <t>__export__.product_template_62740_7ee051f4</t>
  </si>
  <si>
    <t>10724</t>
  </si>
  <si>
    <t>კონუსური შიგსახრახნი მილისებრი ცილინდრული ხრახნისთვის გოსტ-6211 Rc1</t>
  </si>
  <si>
    <t>__export__.product_template_62741_bf782a53</t>
  </si>
  <si>
    <t>10720</t>
  </si>
  <si>
    <t>კონუსური შიგსახრახნი მილისებრი ცილინდრული ხრახნისთვის გოსტ-6211 Rc1/16</t>
  </si>
  <si>
    <t>__export__.product_template_62742_1c2021ba</t>
  </si>
  <si>
    <t>10722</t>
  </si>
  <si>
    <t>კონუსური შიგსახრახნი მილისებრი ცილინდრული ხრახნისთვის გოსტ-6211 Rc1/4</t>
  </si>
  <si>
    <t>__export__.product_template_62743_43052793</t>
  </si>
  <si>
    <t>10721</t>
  </si>
  <si>
    <t>კონუსური შიგსახრახნი მილისებრი ცილინდრული ხრახნისთვის გოსტ-6211 Rc1/8</t>
  </si>
  <si>
    <t>__export__.product_template_62744_227f062f</t>
  </si>
  <si>
    <t>10723</t>
  </si>
  <si>
    <t>კონუსური შიგსახრახნი მილისებრი ცილინდრული ხრახნისთვის გოსტ-6211 Rc3/8</t>
  </si>
  <si>
    <t>__export__.product_template_62745_5e6abdce</t>
  </si>
  <si>
    <t>7093</t>
  </si>
  <si>
    <t>__export__.product_template_46560_804d8587</t>
  </si>
  <si>
    <t>7090</t>
  </si>
  <si>
    <t>__export__.product_template_46557_0080c016</t>
  </si>
  <si>
    <t>7092</t>
  </si>
  <si>
    <t>__export__.product_template_46559_31b4cc49</t>
  </si>
  <si>
    <t>7091</t>
  </si>
  <si>
    <t>__export__.product_template_46558_da36a2db</t>
  </si>
  <si>
    <t>10942</t>
  </si>
  <si>
    <t>კორექტორი კალამი</t>
  </si>
  <si>
    <t>__export__.product_template_63245_ab6e80e4</t>
  </si>
  <si>
    <t>10943</t>
  </si>
  <si>
    <t>კორექტორი ფუნჯით</t>
  </si>
  <si>
    <t>__export__.product_template_63246_6f22f09e</t>
  </si>
  <si>
    <t>10259</t>
  </si>
  <si>
    <t>კოროზიის ტესტირების ინდუსტრიული სკანერი (კომპლექტი)</t>
  </si>
  <si>
    <t>__export__.product_template_46561_f05c378f</t>
  </si>
  <si>
    <t>7552</t>
  </si>
  <si>
    <t>კოქსი</t>
  </si>
  <si>
    <t>2/5 ინერტული მასალა</t>
  </si>
  <si>
    <t>__export__.product_category_4561_74b3270d</t>
  </si>
  <si>
    <t>__export__.product_template_46562_c707150e</t>
  </si>
  <si>
    <t>8581</t>
  </si>
  <si>
    <t>__export__.product_template_46563_1960c055</t>
  </si>
  <si>
    <t>3653</t>
  </si>
  <si>
    <t>კუთხოვანა 100*100*6</t>
  </si>
  <si>
    <t>__export__.product_template_46564_489f65a3</t>
  </si>
  <si>
    <t>10134</t>
  </si>
  <si>
    <t>კუთხოვანა 250*250*10</t>
  </si>
  <si>
    <t>__export__.product_template_46565_1d566f06</t>
  </si>
  <si>
    <t>5172</t>
  </si>
  <si>
    <t>__export__.product_template_46566_56aec88c</t>
  </si>
  <si>
    <t>8588</t>
  </si>
  <si>
    <t>კუთხოვანა 30*30*3</t>
  </si>
  <si>
    <t>__export__.product_template_46567_3a864734</t>
  </si>
  <si>
    <t>3605</t>
  </si>
  <si>
    <t>__export__.product_template_46568_3e3630e8</t>
  </si>
  <si>
    <t>3779</t>
  </si>
  <si>
    <t>__export__.product_template_46569_d507dadf</t>
  </si>
  <si>
    <t>7909</t>
  </si>
  <si>
    <t>კუთხოვანა 40*40*4</t>
  </si>
  <si>
    <t>__export__.product_template_46570_c53f1133</t>
  </si>
  <si>
    <t>7908</t>
  </si>
  <si>
    <t>__export__.product_template_46571_15517d65</t>
  </si>
  <si>
    <t>8192</t>
  </si>
  <si>
    <t>კუთხოვანა 50*50*3 მოთუთიებული</t>
  </si>
  <si>
    <t>__export__.product_template_46572_0fb21829</t>
  </si>
  <si>
    <t>3070</t>
  </si>
  <si>
    <t>__export__.product_template_46573_b07b071a</t>
  </si>
  <si>
    <t>8096</t>
  </si>
  <si>
    <t>__export__.product_template_46574_06adf01d</t>
  </si>
  <si>
    <t>3769</t>
  </si>
  <si>
    <t>კუთხოვანა 60*60*4</t>
  </si>
  <si>
    <t>__export__.product_template_46575_1e85ced8</t>
  </si>
  <si>
    <t>4471</t>
  </si>
  <si>
    <t>კუთხოვანა 70*70*5</t>
  </si>
  <si>
    <t>__export__.product_template_46576_2327077a</t>
  </si>
  <si>
    <t>3768</t>
  </si>
  <si>
    <t>__export__.product_template_46577_504bd9a0</t>
  </si>
  <si>
    <t>8512</t>
  </si>
  <si>
    <t>__export__.product_template_46578_d807dc0f</t>
  </si>
  <si>
    <t>10858</t>
  </si>
  <si>
    <t>ლაბორატორიათშორისი შედარებითი ანალიზები</t>
  </si>
  <si>
    <t>__export__.product_template_63161_dc3a311e</t>
  </si>
  <si>
    <t>6381</t>
  </si>
  <si>
    <t>ლამინატი</t>
  </si>
  <si>
    <t>__export__.product_template_46579_4e3003f4</t>
  </si>
  <si>
    <t>7561</t>
  </si>
  <si>
    <t>ლამინატის პლინტუსი</t>
  </si>
  <si>
    <t>__export__.product_template_46580_2016c5a5</t>
  </si>
  <si>
    <t>8634</t>
  </si>
  <si>
    <t>ლამინატის პლინტუსის კუთხე შიდა</t>
  </si>
  <si>
    <t>__export__.product_template_46581_f89db002</t>
  </si>
  <si>
    <t>8637</t>
  </si>
  <si>
    <t>ლამინატის პლინტუსის საცობი (დაბოლოება)</t>
  </si>
  <si>
    <t>__export__.product_template_46582_7565248b</t>
  </si>
  <si>
    <t>9169</t>
  </si>
  <si>
    <t>ლამინატის პლინტუსის ფიტინგი</t>
  </si>
  <si>
    <t>__export__.product_template_46583_7af66e7e</t>
  </si>
  <si>
    <t>8636</t>
  </si>
  <si>
    <t>ლამინატის პლინტუსის შეერთება</t>
  </si>
  <si>
    <t>__export__.product_template_46584_4ae1e0f5</t>
  </si>
  <si>
    <t>6376</t>
  </si>
  <si>
    <t>ლამინატის ქვესაგები</t>
  </si>
  <si>
    <t>__export__.product_template_46585_dd244108</t>
  </si>
  <si>
    <t>4054</t>
  </si>
  <si>
    <t>__export__.product_template_46586_48fd930a</t>
  </si>
  <si>
    <t>10651</t>
  </si>
  <si>
    <t>ლამპიონი გარე განათების მზის ელემენტზე 150w</t>
  </si>
  <si>
    <t>__export__.product_template_63122_1064b1af</t>
  </si>
  <si>
    <t>7576</t>
  </si>
  <si>
    <t>__export__.product_template_46587_fa26919c</t>
  </si>
  <si>
    <t>7725</t>
  </si>
  <si>
    <t>__export__.product_template_46588_7dd4b7a1</t>
  </si>
  <si>
    <t>10422</t>
  </si>
  <si>
    <t>ლამპიონის ჩიპი 50ვტ.</t>
  </si>
  <si>
    <t>__export__.product_template_46589_6c6948e3</t>
  </si>
  <si>
    <t>10131</t>
  </si>
  <si>
    <t>ლემო-ბნს კონექტორის გადამყვანი ადაპტერი LF-BM</t>
  </si>
  <si>
    <t>3/2 სხვა</t>
  </si>
  <si>
    <t>__export__.product_category_4728_ade4c0f6</t>
  </si>
  <si>
    <t>__export__.product_template_46590_e25791f4</t>
  </si>
  <si>
    <t>10281</t>
  </si>
  <si>
    <t>ლენტი ნაჭრის არმირებული 48მმ*10მ</t>
  </si>
  <si>
    <t>__export__.product_template_46591_eefd4be6</t>
  </si>
  <si>
    <t>5960</t>
  </si>
  <si>
    <t>ლითონის კვადრატი მასიური 10*10</t>
  </si>
  <si>
    <t>2/5 ლითონის მასალა წარმოება</t>
  </si>
  <si>
    <t>__export__.product_category_4563_a98c0f8d</t>
  </si>
  <si>
    <t>__export__.product_template_46592_1b44629d</t>
  </si>
  <si>
    <t>5809</t>
  </si>
  <si>
    <t>__export__.product_template_46593_59b82838</t>
  </si>
  <si>
    <t>7609</t>
  </si>
  <si>
    <t>__export__.product_template_46594_b5c46378</t>
  </si>
  <si>
    <t>5869</t>
  </si>
  <si>
    <t>__export__.product_template_46595_4f648d4c</t>
  </si>
  <si>
    <t>5850</t>
  </si>
  <si>
    <t>__export__.product_template_46596_a9b2cdb0</t>
  </si>
  <si>
    <t>6409</t>
  </si>
  <si>
    <t>__export__.product_template_46597_36088bd2</t>
  </si>
  <si>
    <t>8513</t>
  </si>
  <si>
    <t>ლითონის მრგვალი ნამზადი 16მმ</t>
  </si>
  <si>
    <t>__export__.product_template_46598_ee6b24ff</t>
  </si>
  <si>
    <t>5270</t>
  </si>
  <si>
    <t>__export__.product_template_46599_e652227b</t>
  </si>
  <si>
    <t>5851</t>
  </si>
  <si>
    <t>__export__.product_template_46600_f41038bb</t>
  </si>
  <si>
    <t>7610</t>
  </si>
  <si>
    <t>__export__.product_template_46601_fb4a70fc</t>
  </si>
  <si>
    <t>8969</t>
  </si>
  <si>
    <t>__export__.product_template_46602_8162b192</t>
  </si>
  <si>
    <t>7443</t>
  </si>
  <si>
    <t>__export__.product_template_46603_2a32d468</t>
  </si>
  <si>
    <t>6258</t>
  </si>
  <si>
    <t>__export__.product_template_46604_33860a1b</t>
  </si>
  <si>
    <t>6259</t>
  </si>
  <si>
    <t>__export__.product_template_46605_627698eb</t>
  </si>
  <si>
    <t>6374</t>
  </si>
  <si>
    <t>__export__.product_template_46606_e086f5b9</t>
  </si>
  <si>
    <t>7442</t>
  </si>
  <si>
    <t>__export__.product_template_46607_805282a3</t>
  </si>
  <si>
    <t>5225</t>
  </si>
  <si>
    <t>ლითონის მრგვალი ნამზადი 70მმ (კგ)</t>
  </si>
  <si>
    <t>__export__.product_template_46608_f7003a74</t>
  </si>
  <si>
    <t>5226</t>
  </si>
  <si>
    <t>__export__.product_template_46609_a97f375b</t>
  </si>
  <si>
    <t>3666</t>
  </si>
  <si>
    <t>__export__.product_template_46610_0345a003</t>
  </si>
  <si>
    <t>6410</t>
  </si>
  <si>
    <t>ლითონის მრგვალი ნამზადი 90მმ (კგ)</t>
  </si>
  <si>
    <t>__export__.product_template_46611_c565dae1</t>
  </si>
  <si>
    <t>10505</t>
  </si>
  <si>
    <t>ლითონის ფურცელი 400*400*400 (სამკუთხა აბრისთვის)</t>
  </si>
  <si>
    <t>2/5 მანიშნებელი</t>
  </si>
  <si>
    <t>__export__.product_category_4564_ca55021d</t>
  </si>
  <si>
    <t>__export__.product_template_46612_15781c15</t>
  </si>
  <si>
    <t>3170</t>
  </si>
  <si>
    <t>2/5 ლილვაკი - ფუნჯი</t>
  </si>
  <si>
    <t>__export__.product_category_4565_a9ae843f</t>
  </si>
  <si>
    <t>__export__.product_template_46613_ed68ef07</t>
  </si>
  <si>
    <t>9878</t>
  </si>
  <si>
    <t>__export__.product_template_46614_c165f5ea</t>
  </si>
  <si>
    <t>3795</t>
  </si>
  <si>
    <t>__export__.product_template_46615_22ff7059</t>
  </si>
  <si>
    <t>10872</t>
  </si>
  <si>
    <t>ლიფტის მომსახურება</t>
  </si>
  <si>
    <t>__export__.product_template_63175_4bd9892b</t>
  </si>
  <si>
    <t>10910</t>
  </si>
  <si>
    <t>ლიფტის შეკეთება</t>
  </si>
  <si>
    <t>__export__.product_template_63213_d35ad4f7</t>
  </si>
  <si>
    <t>10849</t>
  </si>
  <si>
    <t>ლიცენზია - Arcicad</t>
  </si>
  <si>
    <t>__export__.product_template_63152_07497f55</t>
  </si>
  <si>
    <t>10848</t>
  </si>
  <si>
    <t>ლიცენზია - Auto-Cad</t>
  </si>
  <si>
    <t>__export__.product_template_63151_a0514b5f</t>
  </si>
  <si>
    <t>10851</t>
  </si>
  <si>
    <t>ლიცენზია - Cisco Call Manager - შიდატრელეფონია</t>
  </si>
  <si>
    <t>__export__.product_template_63154_5f30ff0a</t>
  </si>
  <si>
    <t>10845</t>
  </si>
  <si>
    <t>ლიცენზია - Cisco Firewall- IPS, Malware, SSL-dec, URL-cat, VPN-25User, Smart net</t>
  </si>
  <si>
    <t>__export__.product_template_63148_b2220751</t>
  </si>
  <si>
    <t>10850</t>
  </si>
  <si>
    <t>ლიცენზია - Civil3D</t>
  </si>
  <si>
    <t>__export__.product_template_63153_1a9f37db</t>
  </si>
  <si>
    <t>10847</t>
  </si>
  <si>
    <t>ლიცენზია - GIS</t>
  </si>
  <si>
    <t>__export__.product_template_63150_60d86047</t>
  </si>
  <si>
    <t>10844</t>
  </si>
  <si>
    <t>ლიცენზია - ManageEngine EndpointCentral</t>
  </si>
  <si>
    <t>__export__.product_template_63147_d3abea96</t>
  </si>
  <si>
    <t>10841</t>
  </si>
  <si>
    <t xml:space="preserve">ლიცენზია - Microsoft  SQL Server 2022 Standard </t>
  </si>
  <si>
    <t>__export__.product_template_63144_a6453325</t>
  </si>
  <si>
    <t>10842</t>
  </si>
  <si>
    <t>ლიცენზია - Microsoft  Windows  Server 2025 Standard</t>
  </si>
  <si>
    <t>__export__.product_template_63145_78f9d22d</t>
  </si>
  <si>
    <t>10846</t>
  </si>
  <si>
    <t>ლიცენზია - Paloalto-Firewall</t>
  </si>
  <si>
    <t>__export__.product_template_63149_a1c1afed</t>
  </si>
  <si>
    <t>10852</t>
  </si>
  <si>
    <t>ლიცენზია - SSL Certificates</t>
  </si>
  <si>
    <t>__export__.product_template_63155_994a9160</t>
  </si>
  <si>
    <t>10843</t>
  </si>
  <si>
    <t>ლიცენზია - Windows 11, Microsoft Office</t>
  </si>
  <si>
    <t>__export__.product_template_63146_ce307084</t>
  </si>
  <si>
    <t>10853</t>
  </si>
  <si>
    <t>ლიცენზია - კიბერუსაფრთხოება (Splunk, Corelight, F5, Sentinelone, pam)</t>
  </si>
  <si>
    <t>__export__.product_template_63156_2ff287a7</t>
  </si>
  <si>
    <t>10372</t>
  </si>
  <si>
    <t>ლიცენზია ზოგადი</t>
  </si>
  <si>
    <t>__export__.product_template_46616_d7e3bc05</t>
  </si>
  <si>
    <t>10876</t>
  </si>
  <si>
    <t>ლიცენზია: FMG</t>
  </si>
  <si>
    <t>__export__.product_template_63179_91dec3e5</t>
  </si>
  <si>
    <t>10875</t>
  </si>
  <si>
    <t>ლიცენზია: Odoo</t>
  </si>
  <si>
    <t>__export__.product_template_63178_b1628fee</t>
  </si>
  <si>
    <t>3229</t>
  </si>
  <si>
    <t>__export__.product_template_46617_3f1432ba</t>
  </si>
  <si>
    <t>8151</t>
  </si>
  <si>
    <t>__export__.product_template_46618_94f8f6ed</t>
  </si>
  <si>
    <t>678</t>
  </si>
  <si>
    <t>__export__.product_template_46619_54a5dad9</t>
  </si>
  <si>
    <t>8595</t>
  </si>
  <si>
    <t>__export__.product_template_46620_5af0a397</t>
  </si>
  <si>
    <t>6183</t>
  </si>
  <si>
    <t>ლურსმანი 30მმ</t>
  </si>
  <si>
    <t>__export__.product_template_46621_6d06a087</t>
  </si>
  <si>
    <t>8150</t>
  </si>
  <si>
    <t>__export__.product_template_46622_82c3c34f</t>
  </si>
  <si>
    <t>926</t>
  </si>
  <si>
    <t>__export__.product_template_46623_6aa76f5a</t>
  </si>
  <si>
    <t>10405</t>
  </si>
  <si>
    <t>__export__.product_template_46624_ee6550f8</t>
  </si>
  <si>
    <t>4512</t>
  </si>
  <si>
    <t>__export__.product_template_46625_9a617208</t>
  </si>
  <si>
    <t>4475</t>
  </si>
  <si>
    <t>__export__.product_template_46626_7d5d2a4a</t>
  </si>
  <si>
    <t>11018</t>
  </si>
  <si>
    <t>ლურჯი საპონი</t>
  </si>
  <si>
    <t>__export__.product_template_63321_17106565</t>
  </si>
  <si>
    <t>8925</t>
  </si>
  <si>
    <t>ლუქი მაგნიტური ველის თვითწებადი</t>
  </si>
  <si>
    <t>__export__.product_template_46627_30b567dc</t>
  </si>
  <si>
    <t>4555</t>
  </si>
  <si>
    <t>__export__.product_template_46628_df9f2aed</t>
  </si>
  <si>
    <t>8525</t>
  </si>
  <si>
    <t>ლუქი პლასტმასის ერთჯერადი</t>
  </si>
  <si>
    <t>__export__.product_template_46629_6cf5f04b</t>
  </si>
  <si>
    <t>10466</t>
  </si>
  <si>
    <t>__export__.product_template_46630_5ec6d92c</t>
  </si>
  <si>
    <t>10465</t>
  </si>
  <si>
    <t>__export__.product_template_46631_b017c6a6</t>
  </si>
  <si>
    <t>6613</t>
  </si>
  <si>
    <t>__export__.product_template_46632_1f317d1e</t>
  </si>
  <si>
    <t>8302</t>
  </si>
  <si>
    <t>__export__.product_template_46633_875be915</t>
  </si>
  <si>
    <t>8303</t>
  </si>
  <si>
    <t>__export__.product_template_46634_9196b733</t>
  </si>
  <si>
    <t>00004</t>
  </si>
  <si>
    <t>მაგიდა</t>
  </si>
  <si>
    <t>__export__.product_template_33629_40f1d454</t>
  </si>
  <si>
    <t>10510</t>
  </si>
  <si>
    <t>მაგიდა გასაშლელი (საველე)</t>
  </si>
  <si>
    <t>__export__.product_template_46635_05441728</t>
  </si>
  <si>
    <t>10074</t>
  </si>
  <si>
    <t>მაგიდა ინსტრუმენტებისთვის ნამზ.</t>
  </si>
  <si>
    <t>3/4 სამეურნეო</t>
  </si>
  <si>
    <t>__export__.product_category_4566_28d64137</t>
  </si>
  <si>
    <t>__export__.product_template_46636_4deda2cc</t>
  </si>
  <si>
    <t>8709</t>
  </si>
  <si>
    <t>მაგიდა საკონფერენციო</t>
  </si>
  <si>
    <t>__export__.product_template_46637_dfbe98bd</t>
  </si>
  <si>
    <t>8773</t>
  </si>
  <si>
    <t>მაგიდა სამზარეულოს</t>
  </si>
  <si>
    <t>__export__.product_template_46638_dddf14a5</t>
  </si>
  <si>
    <t>8771</t>
  </si>
  <si>
    <t>__export__.product_template_46639_28d25474</t>
  </si>
  <si>
    <t>9431</t>
  </si>
  <si>
    <t>მაგიდა საოფისე სტანდარტული</t>
  </si>
  <si>
    <t>__export__.product_template_46640_4c81bff6</t>
  </si>
  <si>
    <t>10814</t>
  </si>
  <si>
    <t>მაგიდა საოფისე სტანდარტული ტუმბოთი</t>
  </si>
  <si>
    <t>__export__.product_template_62746_5726f8e4</t>
  </si>
  <si>
    <t>7474</t>
  </si>
  <si>
    <t>__export__.product_template_46641_2655a10a</t>
  </si>
  <si>
    <t>9827</t>
  </si>
  <si>
    <t>__export__.product_template_46642_247e4f6d</t>
  </si>
  <si>
    <t>9828</t>
  </si>
  <si>
    <t>__export__.product_template_46643_27cb39d0</t>
  </si>
  <si>
    <t>8108</t>
  </si>
  <si>
    <t>__export__.product_template_46644_5bdf1e78</t>
  </si>
  <si>
    <t>8528</t>
  </si>
  <si>
    <t>__export__.product_template_46645_7aacbe74</t>
  </si>
  <si>
    <t>9221</t>
  </si>
  <si>
    <t>__export__.product_template_46647_6194e413</t>
  </si>
  <si>
    <t>8193</t>
  </si>
  <si>
    <t>__export__.product_template_46646_af5b2b6f</t>
  </si>
  <si>
    <t>9312</t>
  </si>
  <si>
    <t>__export__.product_template_46648_ba5a5de0</t>
  </si>
  <si>
    <t>9210</t>
  </si>
  <si>
    <t>__export__.product_template_46649_af604c82</t>
  </si>
  <si>
    <t>8692</t>
  </si>
  <si>
    <t>მავთული გამომწვარი 1.6მმ</t>
  </si>
  <si>
    <t>__export__.product_template_46650_8077eef5</t>
  </si>
  <si>
    <t>6032</t>
  </si>
  <si>
    <t>__export__.product_template_46651_dc1f1212</t>
  </si>
  <si>
    <t>8947</t>
  </si>
  <si>
    <t>__export__.product_template_46652_511a7be3</t>
  </si>
  <si>
    <t>3484</t>
  </si>
  <si>
    <t>__export__.product_template_46653_493935a2</t>
  </si>
  <si>
    <t>7948</t>
  </si>
  <si>
    <t>__export__.product_template_46655_1a681267</t>
  </si>
  <si>
    <t>7910</t>
  </si>
  <si>
    <t>__export__.product_template_46654_2b17208b</t>
  </si>
  <si>
    <t>3798</t>
  </si>
  <si>
    <t>__export__.product_template_46656_9348327b</t>
  </si>
  <si>
    <t>9218</t>
  </si>
  <si>
    <t>__export__.product_template_46658_2fdc1b82</t>
  </si>
  <si>
    <t>7913</t>
  </si>
  <si>
    <t>__export__.product_template_46657_b3c321ba</t>
  </si>
  <si>
    <t>9327</t>
  </si>
  <si>
    <t>__export__.product_template_46659_09597d5c</t>
  </si>
  <si>
    <t>8191</t>
  </si>
  <si>
    <t>__export__.product_template_46660_fec58a87</t>
  </si>
  <si>
    <t>4554</t>
  </si>
  <si>
    <t>__export__.product_template_46661_088016ec</t>
  </si>
  <si>
    <t>10891</t>
  </si>
  <si>
    <t>მავნე ნივთიერებების უტილიზაცია</t>
  </si>
  <si>
    <t>2/5 უტილიზაცია</t>
  </si>
  <si>
    <t>__export__.product_category_4697_f560caf8</t>
  </si>
  <si>
    <t>__export__.product_template_63194_7cc14c41</t>
  </si>
  <si>
    <t>10075</t>
  </si>
  <si>
    <t>მავნებლების მოსაგერიებელი აპარატი-მზის ენერგიაზე მომუშავე</t>
  </si>
  <si>
    <t>__export__.product_template_46662_b700fd91</t>
  </si>
  <si>
    <t>10670</t>
  </si>
  <si>
    <t>მაიზოლირ. კერამიკული ქურო DN100*6</t>
  </si>
  <si>
    <t>2/5 მაიზოლირებელი ქურო</t>
  </si>
  <si>
    <t>__export__.product_category_4567_c9dc9883</t>
  </si>
  <si>
    <t>__export__.product_template_63139_71b7cf5b</t>
  </si>
  <si>
    <t>10420</t>
  </si>
  <si>
    <t>მაიზოლირ. კერამიკული ქურო DN200</t>
  </si>
  <si>
    <t>__export__.product_template_46663_09b06ad5</t>
  </si>
  <si>
    <t>9911</t>
  </si>
  <si>
    <t>მაიზოლირ. კერამიკული ქურო DN300</t>
  </si>
  <si>
    <t>__export__.product_template_46664_181ff7c9</t>
  </si>
  <si>
    <t>9912</t>
  </si>
  <si>
    <t>მაიზოლირ. კერამიკული ქურო DN500</t>
  </si>
  <si>
    <t>__export__.product_template_46665_cffe9e58</t>
  </si>
  <si>
    <t>5486</t>
  </si>
  <si>
    <t>2/5 მაიზოლირებელი ქურო 2197</t>
  </si>
  <si>
    <t>__export__.product_category_4738_282aeaf5</t>
  </si>
  <si>
    <t>__export__.product_template_46666_571366c4</t>
  </si>
  <si>
    <t>10448</t>
  </si>
  <si>
    <t>მაიზოლირებელი ქურო DN300</t>
  </si>
  <si>
    <t>__export__.product_template_46667_cb2b0668</t>
  </si>
  <si>
    <t>10447</t>
  </si>
  <si>
    <t>მაიზოლირებელი ქურო DN500</t>
  </si>
  <si>
    <t>__export__.product_template_46668_7452aa44</t>
  </si>
  <si>
    <t>8546</t>
  </si>
  <si>
    <t>__export__.product_template_46669_73b810d7</t>
  </si>
  <si>
    <t>10944</t>
  </si>
  <si>
    <t>მაკრატელი</t>
  </si>
  <si>
    <t>__export__.product_template_63247_f5f6bdc0</t>
  </si>
  <si>
    <t>3180</t>
  </si>
  <si>
    <t>__export__.product_template_46670_40916f7a</t>
  </si>
  <si>
    <t>3175</t>
  </si>
  <si>
    <t>__export__.product_template_46671_5a0f5021</t>
  </si>
  <si>
    <t>3359</t>
  </si>
  <si>
    <t>__export__.product_template_46672_38563600</t>
  </si>
  <si>
    <t>10529</t>
  </si>
  <si>
    <t>მამჭიდროვებელი რგოლი (რეზინის 15.3*2.4)</t>
  </si>
  <si>
    <t>__export__.product_template_46673_c4af6490</t>
  </si>
  <si>
    <t>10528</t>
  </si>
  <si>
    <t>მამჭიდროვებელი რგოლი (რეზინის 19.6*2.4)</t>
  </si>
  <si>
    <t>__export__.product_template_46674_2598fa17</t>
  </si>
  <si>
    <t>10525</t>
  </si>
  <si>
    <t>მამჭიდროვებელი რგოლი (რეზინის 30*4.5)</t>
  </si>
  <si>
    <t>__export__.product_template_46675_95926a3e</t>
  </si>
  <si>
    <t>10524</t>
  </si>
  <si>
    <t>მამჭიდროვებელი რგოლი (რეზინის 34*4.5)</t>
  </si>
  <si>
    <t>__export__.product_template_46676_3b3a9168</t>
  </si>
  <si>
    <t>10526</t>
  </si>
  <si>
    <t>მამჭიდროვებელი რგოლი (რეზინის 49.4*3.1)</t>
  </si>
  <si>
    <t>__export__.product_template_46677_4842a7a4</t>
  </si>
  <si>
    <t>10523</t>
  </si>
  <si>
    <t>მამჭიდროვებელი რგოლი (რეზინის 70*6)</t>
  </si>
  <si>
    <t>__export__.product_template_46678_055c100f</t>
  </si>
  <si>
    <t>10527</t>
  </si>
  <si>
    <t>მამჭიდროვებელი რგოლი (რეზინის 80*3)</t>
  </si>
  <si>
    <t>__export__.product_template_46679_3da502af</t>
  </si>
  <si>
    <t>10477</t>
  </si>
  <si>
    <t>მამჭიდროვებელი რგოლი (რეზინის OR10*2.5) NBK</t>
  </si>
  <si>
    <t>__export__.product_template_46680_d7ae1465</t>
  </si>
  <si>
    <t>10530</t>
  </si>
  <si>
    <t>მამჭიდროვებელი რგოლი (რეზინის OR16*2.5)</t>
  </si>
  <si>
    <t>__export__.product_template_46681_196c2c98</t>
  </si>
  <si>
    <t>9969</t>
  </si>
  <si>
    <t>მანათობელი სვეტი უსაფრთხოების</t>
  </si>
  <si>
    <t>__export__.product_template_46682_467f3fb4</t>
  </si>
  <si>
    <t>9812</t>
  </si>
  <si>
    <t>__export__.product_template_46683_80a25278</t>
  </si>
  <si>
    <t>4564</t>
  </si>
  <si>
    <t>__export__.product_template_46684_3e4ce823</t>
  </si>
  <si>
    <t>8613</t>
  </si>
  <si>
    <t>__export__.product_template_46685_6c5caf7f</t>
  </si>
  <si>
    <t>6201</t>
  </si>
  <si>
    <t>მანიშნებელი - საგზაო ნიშანი 120*120</t>
  </si>
  <si>
    <t>__export__.product_template_46686_64420411</t>
  </si>
  <si>
    <t>6200</t>
  </si>
  <si>
    <t>მანიშნებელი - საგზაო ნიშანი 500*500</t>
  </si>
  <si>
    <t>__export__.product_template_46687_42d0ae52</t>
  </si>
  <si>
    <t>6541</t>
  </si>
  <si>
    <t>__export__.product_template_46688_6d222df2</t>
  </si>
  <si>
    <t>8610</t>
  </si>
  <si>
    <t>მანიშნებელი - სახანძრო სამაშველო სამსახური</t>
  </si>
  <si>
    <t>__export__.product_template_46689_143aec09</t>
  </si>
  <si>
    <t>6194</t>
  </si>
  <si>
    <t>მანიშნებელი - სტოპი საგზაო ნიშანი</t>
  </si>
  <si>
    <t>__export__.product_template_46690_142f1da1</t>
  </si>
  <si>
    <t>8612</t>
  </si>
  <si>
    <t>მანიშნებელი - ტერიტორიაზე მანქანის შეყვანა აკრძალულია</t>
  </si>
  <si>
    <t>__export__.product_template_46691_d5fc69b3</t>
  </si>
  <si>
    <t>3582</t>
  </si>
  <si>
    <t>__export__.product_template_46692_afe03707</t>
  </si>
  <si>
    <t>9811</t>
  </si>
  <si>
    <t>__export__.product_template_46693_303290fe</t>
  </si>
  <si>
    <t>8917</t>
  </si>
  <si>
    <t>__export__.product_template_46694_ec3c3281</t>
  </si>
  <si>
    <t>9815</t>
  </si>
  <si>
    <t>__export__.product_template_46695_596db49c</t>
  </si>
  <si>
    <t>10082</t>
  </si>
  <si>
    <t>მანიშნებელი აბრა - "112" ორგმინა 250*250*3მმ ნაბეჭდი</t>
  </si>
  <si>
    <t>__export__.product_template_46696_441ebcae</t>
  </si>
  <si>
    <t>8608</t>
  </si>
  <si>
    <t>__export__.product_template_21534_54ebb97e</t>
  </si>
  <si>
    <t>8609</t>
  </si>
  <si>
    <t>__export__.product_template_21535_02e9fec7</t>
  </si>
  <si>
    <t>8614</t>
  </si>
  <si>
    <t>__export__.product_template_21536_baea41ad</t>
  </si>
  <si>
    <t>8617</t>
  </si>
  <si>
    <t>__export__.product_template_21537_79726f81</t>
  </si>
  <si>
    <t>6042</t>
  </si>
  <si>
    <t>მანომეტრები გლიცერინით</t>
  </si>
  <si>
    <t>2/12/6 მანომეტრი</t>
  </si>
  <si>
    <t>__export__.product_category_4569_149086a2</t>
  </si>
  <si>
    <t>__export__.product_template_21538_b52dd826</t>
  </si>
  <si>
    <t>3047</t>
  </si>
  <si>
    <t>__export__.product_template_21539_0ccc2bdd</t>
  </si>
  <si>
    <t>10577</t>
  </si>
  <si>
    <t>__export__.product_template_46697_b641566b</t>
  </si>
  <si>
    <t>7526</t>
  </si>
  <si>
    <t>__export__.product_template_21540_8fc18a89</t>
  </si>
  <si>
    <t>8971</t>
  </si>
  <si>
    <t>__export__.product_template_21541_3c6c6b3b</t>
  </si>
  <si>
    <t>5174</t>
  </si>
  <si>
    <t>__export__.product_template_21542_dba8ee21</t>
  </si>
  <si>
    <t>4398</t>
  </si>
  <si>
    <t>__export__.product_template_21543_1a3def93</t>
  </si>
  <si>
    <t>8972</t>
  </si>
  <si>
    <t>__export__.product_template_21544_c82253e7</t>
  </si>
  <si>
    <t>3855</t>
  </si>
  <si>
    <t>__export__.product_template_21545_bb84f510</t>
  </si>
  <si>
    <t>9211</t>
  </si>
  <si>
    <t>__export__.product_template_21546_eac194c7</t>
  </si>
  <si>
    <t>8973</t>
  </si>
  <si>
    <t>__export__.product_template_21547_9aee0f2e</t>
  </si>
  <si>
    <t>3856</t>
  </si>
  <si>
    <t>__export__.product_template_21548_2cfdfde8</t>
  </si>
  <si>
    <t>8883</t>
  </si>
  <si>
    <t>__export__.product_template_21549_006967b1</t>
  </si>
  <si>
    <t>6124</t>
  </si>
  <si>
    <t>__export__.product_template_21550_bcd80682</t>
  </si>
  <si>
    <t>8974</t>
  </si>
  <si>
    <t>__export__.product_template_21551_eaf7643f</t>
  </si>
  <si>
    <t>6425</t>
  </si>
  <si>
    <t>__export__.product_template_21552_5922a7cd</t>
  </si>
  <si>
    <t>5804</t>
  </si>
  <si>
    <t>__export__.product_template_21553_44f77452</t>
  </si>
  <si>
    <t>8046</t>
  </si>
  <si>
    <t>__export__.product_template_21554_4470ab9b</t>
  </si>
  <si>
    <t>4004</t>
  </si>
  <si>
    <t>__export__.product_template_21555_f714a443</t>
  </si>
  <si>
    <t>8739</t>
  </si>
  <si>
    <t>__export__.product_template_21556_8815ba55</t>
  </si>
  <si>
    <t>8530</t>
  </si>
  <si>
    <t>__export__.product_template_21557_161f280a</t>
  </si>
  <si>
    <t>10945</t>
  </si>
  <si>
    <t>მარკერი დაფის</t>
  </si>
  <si>
    <t>__export__.product_template_63248_1d06dd1d</t>
  </si>
  <si>
    <t>10946</t>
  </si>
  <si>
    <t>მარკერი დისკზე დასაწერი</t>
  </si>
  <si>
    <t>__export__.product_template_63249_899586be</t>
  </si>
  <si>
    <t>10947</t>
  </si>
  <si>
    <t>მარკერი მეტალის (ბურთულიანი)</t>
  </si>
  <si>
    <t>__export__.product_template_63250_3149ca9d</t>
  </si>
  <si>
    <t>10948</t>
  </si>
  <si>
    <t>მარკერი რეზინის ზედაპირზე დასაწერი</t>
  </si>
  <si>
    <t>__export__.product_template_63251_767fe8a2</t>
  </si>
  <si>
    <t>10949</t>
  </si>
  <si>
    <t>მარკერი ფერადი</t>
  </si>
  <si>
    <t>__export__.product_template_63252_8852dc5f</t>
  </si>
  <si>
    <t>5134</t>
  </si>
  <si>
    <t>__export__.product_template_21558_6e5614e0</t>
  </si>
  <si>
    <t>4383</t>
  </si>
  <si>
    <t>__export__.product_template_21559_83b96d52</t>
  </si>
  <si>
    <t>4561</t>
  </si>
  <si>
    <t>__export__.product_template_21560_4a4d2e46</t>
  </si>
  <si>
    <t>3881</t>
  </si>
  <si>
    <t>__export__.product_template_21561_b170f894</t>
  </si>
  <si>
    <t>11008</t>
  </si>
  <si>
    <t>მაუსი დისტანციური</t>
  </si>
  <si>
    <t>__export__.product_template_63311_d58edc91</t>
  </si>
  <si>
    <t>11007</t>
  </si>
  <si>
    <t>მაუსი კაბელით</t>
  </si>
  <si>
    <t>__export__.product_template_63310_2c35e135</t>
  </si>
  <si>
    <t>8621</t>
  </si>
  <si>
    <t>მაშუქი საგანგებო (სირენა) 12v</t>
  </si>
  <si>
    <t>__export__.product_template_21562_a25300d1</t>
  </si>
  <si>
    <t>8831</t>
  </si>
  <si>
    <t>მაცივარი 1 კამერიანი</t>
  </si>
  <si>
    <t>__export__.product_template_21563_59e5464f</t>
  </si>
  <si>
    <t>10519</t>
  </si>
  <si>
    <t>მაცივარი 2 კამერიანი</t>
  </si>
  <si>
    <t>__export__.product_template_46698_81fa4c6c</t>
  </si>
  <si>
    <t>10531</t>
  </si>
  <si>
    <t>მედიკამენტები და სამედიცინო ინვენტარი</t>
  </si>
  <si>
    <t>__export__.product_template_46699_5410fede</t>
  </si>
  <si>
    <t>10514</t>
  </si>
  <si>
    <t>მეთანო დეტექტორი გაზის გაჟონვის (საყოფაცხოვრებო)</t>
  </si>
  <si>
    <t>__export__.product_template_46700_3cc608a3</t>
  </si>
  <si>
    <t>4240</t>
  </si>
  <si>
    <t>მეთანო დეტექტორი გაზის გაჟონვის დეტექტორი</t>
  </si>
  <si>
    <t>3/1 მოწყობილობა ექსპლოატაცია</t>
  </si>
  <si>
    <t>__export__.product_category_4571_5aa773ee</t>
  </si>
  <si>
    <t>__export__.product_template_21564_15b90f17</t>
  </si>
  <si>
    <t>10646</t>
  </si>
  <si>
    <t>მეთანო დეტექტორი კვადროციკლზე დასამონტაჟებელი</t>
  </si>
  <si>
    <t>__export__.product_template_63117_61e99fa2</t>
  </si>
  <si>
    <t>10647</t>
  </si>
  <si>
    <t>მეთანო დეტექტორი ხელის ოპტიკური</t>
  </si>
  <si>
    <t>__export__.product_template_63118_5d1f6a28</t>
  </si>
  <si>
    <t>10199</t>
  </si>
  <si>
    <t>მერქანბოჭკოვანი ფილა (დვპ) 152*50*10მმ</t>
  </si>
  <si>
    <t>__export__.product_template_21565_0b1bdfeb</t>
  </si>
  <si>
    <t>11000</t>
  </si>
  <si>
    <t>მეტალოპლასტმასის საკეტი სახელურბეით</t>
  </si>
  <si>
    <t>__export__.product_template_63303_baabcb49</t>
  </si>
  <si>
    <t>11013</t>
  </si>
  <si>
    <t>მეხსიერების ბარათი 64GB</t>
  </si>
  <si>
    <t>__export__.product_template_63316_ec5b67ea</t>
  </si>
  <si>
    <t>8985</t>
  </si>
  <si>
    <t>__export__.product_template_21566_6f51c654</t>
  </si>
  <si>
    <t>10371</t>
  </si>
  <si>
    <t>მეხსიერების ბარათი microSD 256GB</t>
  </si>
  <si>
    <t>__export__.product_template_21567_a7a00639</t>
  </si>
  <si>
    <t>10394</t>
  </si>
  <si>
    <t>__export__.product_template_21568_895523ad</t>
  </si>
  <si>
    <t>8836</t>
  </si>
  <si>
    <t>3/3 მზის ელემენტი</t>
  </si>
  <si>
    <t>__export__.product_category_4572_71f1f152</t>
  </si>
  <si>
    <t>__export__.product_template_21569_68ebd484</t>
  </si>
  <si>
    <t>8837</t>
  </si>
  <si>
    <t>__export__.product_template_21570_65fc44b1</t>
  </si>
  <si>
    <t>5370</t>
  </si>
  <si>
    <t>__export__.product_template_21571_e63de813</t>
  </si>
  <si>
    <t>5385</t>
  </si>
  <si>
    <t>__export__.product_template_21572_253a89f6</t>
  </si>
  <si>
    <t>5369</t>
  </si>
  <si>
    <t>__export__.product_template_21573_e89d253f</t>
  </si>
  <si>
    <t>8728</t>
  </si>
  <si>
    <t>__export__.product_template_21574_05e4e8b4</t>
  </si>
  <si>
    <t>10771</t>
  </si>
  <si>
    <t>მთავარი დატაცენტრი</t>
  </si>
  <si>
    <t>__export__.product_template_77889_eb75dfb0</t>
  </si>
  <si>
    <t>10567</t>
  </si>
  <si>
    <t>მიკროტალღური ღუმელი</t>
  </si>
  <si>
    <t>__export__.product_template_46701_09f18271</t>
  </si>
  <si>
    <t>8507</t>
  </si>
  <si>
    <t>__export__.product_template_21575_d2abbab3</t>
  </si>
  <si>
    <t>4523</t>
  </si>
  <si>
    <t>__export__.product_template_21576_c7efb941</t>
  </si>
  <si>
    <t>8506</t>
  </si>
  <si>
    <t>__export__.product_template_21577_19fee3dc</t>
  </si>
  <si>
    <t>00002</t>
  </si>
  <si>
    <t>მილი 18-08</t>
  </si>
  <si>
    <t>__export__.product_template_33623_0e879376</t>
  </si>
  <si>
    <t>10450</t>
  </si>
  <si>
    <t>2/5 მილი 1000</t>
  </si>
  <si>
    <t>__export__.product_category_4573_0a95056e</t>
  </si>
  <si>
    <t>__export__.product_template_21578_671eafef</t>
  </si>
  <si>
    <t>4414</t>
  </si>
  <si>
    <t>2/5 მილი 100</t>
  </si>
  <si>
    <t>__export__.product_category_4574_38f32bea</t>
  </si>
  <si>
    <t>__export__.product_template_21579_46a18f71</t>
  </si>
  <si>
    <t>10137</t>
  </si>
  <si>
    <t>მილი D1016*12</t>
  </si>
  <si>
    <t>__export__.product_template_21580_af517c73</t>
  </si>
  <si>
    <t>10498</t>
  </si>
  <si>
    <t>__export__.product_template_46702_2edd898e</t>
  </si>
  <si>
    <t>5825</t>
  </si>
  <si>
    <t>__export__.product_template_21581_be6d79b5</t>
  </si>
  <si>
    <t>8453</t>
  </si>
  <si>
    <t>__export__.product_template_21582_937f6b92</t>
  </si>
  <si>
    <t>7516</t>
  </si>
  <si>
    <t>__export__.product_template_21583_3f21be2e</t>
  </si>
  <si>
    <t>8504</t>
  </si>
  <si>
    <t>__export__.product_template_21584_9fbe5e8e</t>
  </si>
  <si>
    <t>8116</t>
  </si>
  <si>
    <t>მილი D1020*12 სამმაგი იზოლაციით</t>
  </si>
  <si>
    <t>__export__.product_template_21585_277c6928</t>
  </si>
  <si>
    <t>7448</t>
  </si>
  <si>
    <t>__export__.product_template_21586_5fe1f846</t>
  </si>
  <si>
    <t>6899</t>
  </si>
  <si>
    <t>__export__.product_template_21587_7d98b454</t>
  </si>
  <si>
    <t>6287</t>
  </si>
  <si>
    <t>__export__.product_template_21588_a031889e</t>
  </si>
  <si>
    <t>7449</t>
  </si>
  <si>
    <t>__export__.product_template_21589_1bd3f962</t>
  </si>
  <si>
    <t>8499</t>
  </si>
  <si>
    <t>__export__.product_template_21590_e85c3cdd</t>
  </si>
  <si>
    <t>6418</t>
  </si>
  <si>
    <t>__export__.product_template_21591_49bbbb38</t>
  </si>
  <si>
    <t>8072</t>
  </si>
  <si>
    <t>__export__.product_template_21592_cbfe0183</t>
  </si>
  <si>
    <t>3075</t>
  </si>
  <si>
    <t>__export__.product_template_21593_f90139ea</t>
  </si>
  <si>
    <t>10593</t>
  </si>
  <si>
    <t>მილი D114*6 სამმაგი იზოლაციით</t>
  </si>
  <si>
    <t>__export__.product_template_46703_eb2837c0</t>
  </si>
  <si>
    <t>5182</t>
  </si>
  <si>
    <t>__export__.product_template_21594_95097d15</t>
  </si>
  <si>
    <t>7832</t>
  </si>
  <si>
    <t>__export__.product_template_21595_56969227</t>
  </si>
  <si>
    <t>7436</t>
  </si>
  <si>
    <t>__export__.product_template_21596_79969458</t>
  </si>
  <si>
    <t>10786</t>
  </si>
  <si>
    <t>მილი D114*8 უნაკერო</t>
  </si>
  <si>
    <t>__export__.product_template_62747_f00285d1</t>
  </si>
  <si>
    <t>3765</t>
  </si>
  <si>
    <t>__export__.product_template_21597_fbf953ac</t>
  </si>
  <si>
    <t>9394</t>
  </si>
  <si>
    <t>მილი D114.3*4</t>
  </si>
  <si>
    <t>__export__.product_template_21598_114e28d4</t>
  </si>
  <si>
    <t>8459</t>
  </si>
  <si>
    <t>მილი D12*2 უჟანგავი</t>
  </si>
  <si>
    <t>2/5 მილი უჟანგავი</t>
  </si>
  <si>
    <t>__export__.product_category_4575_a88fd750</t>
  </si>
  <si>
    <t>__export__.product_template_22355_d2aca4b4</t>
  </si>
  <si>
    <t>7841</t>
  </si>
  <si>
    <t>__export__.product_template_21599_dab96ade</t>
  </si>
  <si>
    <t>8426</t>
  </si>
  <si>
    <t>2/5 მილი 1200</t>
  </si>
  <si>
    <t>__export__.product_category_4576_eb9d265e</t>
  </si>
  <si>
    <t>__export__.product_template_21600_e91bb4d8</t>
  </si>
  <si>
    <t>10596</t>
  </si>
  <si>
    <t>მილი D1220*14</t>
  </si>
  <si>
    <t>__export__.product_template_46704_86491b0c</t>
  </si>
  <si>
    <t>9915</t>
  </si>
  <si>
    <t>მილი D1220*14 სამმაგი იზოლაციით</t>
  </si>
  <si>
    <t>__export__.product_template_21601_0106c5e8</t>
  </si>
  <si>
    <t>6637</t>
  </si>
  <si>
    <t>__export__.product_template_21602_8322796d</t>
  </si>
  <si>
    <t>6452</t>
  </si>
  <si>
    <t>__export__.product_template_21603_05e86a4f</t>
  </si>
  <si>
    <t>6017</t>
  </si>
  <si>
    <t>მილი D127*4 უნაკერო</t>
  </si>
  <si>
    <t>__export__.product_template_21604_b0f3a480</t>
  </si>
  <si>
    <t>7515</t>
  </si>
  <si>
    <t>__export__.product_template_21605_ae4949fd</t>
  </si>
  <si>
    <t>7450</t>
  </si>
  <si>
    <t>2/5 მილი 150</t>
  </si>
  <si>
    <t>__export__.product_category_4577_d68d06c1</t>
  </si>
  <si>
    <t>__export__.product_template_21606_f43e96e5</t>
  </si>
  <si>
    <t>6209</t>
  </si>
  <si>
    <t>2/5 მილი 15 - 40</t>
  </si>
  <si>
    <t>__export__.product_category_4578_2eda1e50</t>
  </si>
  <si>
    <t>__export__.product_template_21607_a4db5256</t>
  </si>
  <si>
    <t>9887</t>
  </si>
  <si>
    <t>__export__.product_template_21608_a6ee21f1</t>
  </si>
  <si>
    <t>7836</t>
  </si>
  <si>
    <t>2/5 მილი 150 - 160</t>
  </si>
  <si>
    <t>__export__.product_category_4579_d125b05f</t>
  </si>
  <si>
    <t>__export__.product_template_21609_df26c2ce</t>
  </si>
  <si>
    <t>6285</t>
  </si>
  <si>
    <t>__export__.product_template_21610_bb7b9814</t>
  </si>
  <si>
    <t>8982</t>
  </si>
  <si>
    <t>მილი D159*10 უნაკერო</t>
  </si>
  <si>
    <t>__export__.product_template_21611_1e0cce59</t>
  </si>
  <si>
    <t>5208</t>
  </si>
  <si>
    <t>__export__.product_template_21612_99fcb32a</t>
  </si>
  <si>
    <t>7447</t>
  </si>
  <si>
    <t>მილი D159*5 უნაკერო</t>
  </si>
  <si>
    <t>__export__.product_template_21613_a7002303</t>
  </si>
  <si>
    <t>7451</t>
  </si>
  <si>
    <t>__export__.product_template_21616_bea3ee47</t>
  </si>
  <si>
    <t>8075</t>
  </si>
  <si>
    <t>__export__.product_template_21614_3ae3ba02</t>
  </si>
  <si>
    <t>5816</t>
  </si>
  <si>
    <t>__export__.product_template_21615_548a295e</t>
  </si>
  <si>
    <t>10827</t>
  </si>
  <si>
    <t>მილი D159*7</t>
  </si>
  <si>
    <t>__export__.product_template_62748_f872af99</t>
  </si>
  <si>
    <t>7444</t>
  </si>
  <si>
    <t>__export__.product_template_21617_a3315a70</t>
  </si>
  <si>
    <t>10217</t>
  </si>
  <si>
    <t>__export__.product_template_21618_5cfccdc0</t>
  </si>
  <si>
    <t>7435</t>
  </si>
  <si>
    <t>__export__.product_template_21619_a88cc298</t>
  </si>
  <si>
    <t>10459</t>
  </si>
  <si>
    <t>__export__.product_template_21620_b730e8e1</t>
  </si>
  <si>
    <t>10788</t>
  </si>
  <si>
    <t>მილი D168*10 უნაკერო</t>
  </si>
  <si>
    <t>__export__.product_template_62749_b2ded8fe</t>
  </si>
  <si>
    <t>10824</t>
  </si>
  <si>
    <t>მილი D168*6</t>
  </si>
  <si>
    <t>__export__.product_template_62750_8070961a</t>
  </si>
  <si>
    <t>8071</t>
  </si>
  <si>
    <t>__export__.product_template_21621_52b00219</t>
  </si>
  <si>
    <t>8458</t>
  </si>
  <si>
    <t>__export__.product_template_21622_021fdb7c</t>
  </si>
  <si>
    <t>8078</t>
  </si>
  <si>
    <t>__export__.product_template_21623_24fd7e8f</t>
  </si>
  <si>
    <t>10787</t>
  </si>
  <si>
    <t>მილი D168*9 უნაკერო</t>
  </si>
  <si>
    <t>__export__.product_template_62751_73287ac7</t>
  </si>
  <si>
    <t>5994</t>
  </si>
  <si>
    <t>__export__.product_template_21624_212d6205</t>
  </si>
  <si>
    <t>7842</t>
  </si>
  <si>
    <t>2/5 მილი 180</t>
  </si>
  <si>
    <t>__export__.product_category_4580_fe9ec314</t>
  </si>
  <si>
    <t>__export__.product_template_21625_ad156f10</t>
  </si>
  <si>
    <t>7729</t>
  </si>
  <si>
    <t>2/5 მილი 200</t>
  </si>
  <si>
    <t>__export__.product_category_4581_eae1fa3e</t>
  </si>
  <si>
    <t>__export__.product_template_21626_793af1bf</t>
  </si>
  <si>
    <t>8450</t>
  </si>
  <si>
    <t>__export__.product_template_21627_a8a34fb5</t>
  </si>
  <si>
    <t>9888</t>
  </si>
  <si>
    <t>მილი D20*2.5 უნაკერო</t>
  </si>
  <si>
    <t>__export__.product_template_21628_2485b471</t>
  </si>
  <si>
    <t>6210</t>
  </si>
  <si>
    <t>__export__.product_template_21629_b2914816</t>
  </si>
  <si>
    <t>5987</t>
  </si>
  <si>
    <t>__export__.product_template_21630_08e13690</t>
  </si>
  <si>
    <t>8983</t>
  </si>
  <si>
    <t>მილი D219*10 უნაკერო</t>
  </si>
  <si>
    <t>__export__.product_template_21631_7cbf4cbd</t>
  </si>
  <si>
    <t>7438</t>
  </si>
  <si>
    <t>__export__.product_template_21632_459bf770</t>
  </si>
  <si>
    <t>7439</t>
  </si>
  <si>
    <t>__export__.product_template_46705_57430dde</t>
  </si>
  <si>
    <t>3172</t>
  </si>
  <si>
    <t>__export__.product_template_22268_d8871529</t>
  </si>
  <si>
    <t>5993</t>
  </si>
  <si>
    <t>__export__.product_template_22269_601853fe</t>
  </si>
  <si>
    <t>10594</t>
  </si>
  <si>
    <t>მილი D219*6</t>
  </si>
  <si>
    <t>__export__.product_template_46706_0489f68f</t>
  </si>
  <si>
    <t>5139</t>
  </si>
  <si>
    <t>__export__.product_template_22270_4a75c2f2</t>
  </si>
  <si>
    <t>8457</t>
  </si>
  <si>
    <t>__export__.product_template_22271_b05b8d68</t>
  </si>
  <si>
    <t>7845</t>
  </si>
  <si>
    <t>__export__.product_template_22272_57121426</t>
  </si>
  <si>
    <t>8456</t>
  </si>
  <si>
    <t>__export__.product_template_22273_5543a7a6</t>
  </si>
  <si>
    <t>10828</t>
  </si>
  <si>
    <t>მილი D219*8</t>
  </si>
  <si>
    <t>__export__.product_template_62752_feeb1e7f</t>
  </si>
  <si>
    <t>5181</t>
  </si>
  <si>
    <t>__export__.product_template_22274_3c546e1d</t>
  </si>
  <si>
    <t>8455</t>
  </si>
  <si>
    <t>__export__.product_template_22275_9c754a41</t>
  </si>
  <si>
    <t>10789</t>
  </si>
  <si>
    <t>მილი D219*9 უნაკერო</t>
  </si>
  <si>
    <t>__export__.product_template_62753_715cf66c</t>
  </si>
  <si>
    <t>10663</t>
  </si>
  <si>
    <t>__export__.product_template_63132_456c93b5</t>
  </si>
  <si>
    <t>9395</t>
  </si>
  <si>
    <t>მილი D219.1*4</t>
  </si>
  <si>
    <t>__export__.product_template_22276_9b54089e</t>
  </si>
  <si>
    <t>9216</t>
  </si>
  <si>
    <t>__export__.product_template_22277_bba1d1f4</t>
  </si>
  <si>
    <t>10793</t>
  </si>
  <si>
    <t>მილი D245*12 უნაკერო</t>
  </si>
  <si>
    <t>__export__.product_template_62754_de87e4c3</t>
  </si>
  <si>
    <t>10794</t>
  </si>
  <si>
    <t>მილი D245*14 უნაკერო</t>
  </si>
  <si>
    <t>__export__.product_template_62755_781f2b62</t>
  </si>
  <si>
    <t>10591</t>
  </si>
  <si>
    <t>მილი D25*3</t>
  </si>
  <si>
    <t>__export__.product_template_46707_77b02abf</t>
  </si>
  <si>
    <t>7844</t>
  </si>
  <si>
    <t>__export__.product_template_22278_b39ab53d</t>
  </si>
  <si>
    <t>7834</t>
  </si>
  <si>
    <t>__export__.product_template_22279_38946820</t>
  </si>
  <si>
    <t>6451</t>
  </si>
  <si>
    <t>__export__.product_template_22280_5ac0d0ac</t>
  </si>
  <si>
    <t>6274</t>
  </si>
  <si>
    <t>__export__.product_template_22281_7697b586</t>
  </si>
  <si>
    <t>3370</t>
  </si>
  <si>
    <t>__export__.product_template_22282_5d74aa75</t>
  </si>
  <si>
    <t>5962</t>
  </si>
  <si>
    <t>2/5 მილი 270</t>
  </si>
  <si>
    <t>__export__.product_category_4582_8899c092</t>
  </si>
  <si>
    <t>__export__.product_template_22283_771afd01</t>
  </si>
  <si>
    <t>9165</t>
  </si>
  <si>
    <t>__export__.product_template_22284_99c56b55</t>
  </si>
  <si>
    <t>10795</t>
  </si>
  <si>
    <t>მილი D273*11 უნაკერო</t>
  </si>
  <si>
    <t>__export__.product_template_62756_7dd92b71</t>
  </si>
  <si>
    <t>10796</t>
  </si>
  <si>
    <t>მილი D273*12 უნაკერო</t>
  </si>
  <si>
    <t>__export__.product_template_62757_a09c784d</t>
  </si>
  <si>
    <t>8080</t>
  </si>
  <si>
    <t>__export__.product_template_22285_a1704809</t>
  </si>
  <si>
    <t>7434</t>
  </si>
  <si>
    <t>__export__.product_template_22286_83f211d7</t>
  </si>
  <si>
    <t>5289</t>
  </si>
  <si>
    <t>__export__.product_template_22287_1a65ffa3</t>
  </si>
  <si>
    <t>4568</t>
  </si>
  <si>
    <t>__export__.product_template_22288_57228618</t>
  </si>
  <si>
    <t>8081</t>
  </si>
  <si>
    <t>__export__.product_template_22289_00b2add4</t>
  </si>
  <si>
    <t>7835</t>
  </si>
  <si>
    <t>__export__.product_template_22290_4c39378c</t>
  </si>
  <si>
    <t>3506</t>
  </si>
  <si>
    <t>2/5 მილი 300</t>
  </si>
  <si>
    <t>__export__.product_category_4583_efa65612</t>
  </si>
  <si>
    <t>__export__.product_template_22291_abd010ac</t>
  </si>
  <si>
    <t>7475</t>
  </si>
  <si>
    <t>__export__.product_template_22292_9f0e1df8</t>
  </si>
  <si>
    <t>5953</t>
  </si>
  <si>
    <t>__export__.product_template_22293_a3ad67af</t>
  </si>
  <si>
    <t>8662</t>
  </si>
  <si>
    <t>__export__.product_template_22294_fec1ae63</t>
  </si>
  <si>
    <t>7500</t>
  </si>
  <si>
    <t>__export__.product_template_22295_496efbae</t>
  </si>
  <si>
    <t>8517</t>
  </si>
  <si>
    <t>__export__.product_template_22296_c647a3ca</t>
  </si>
  <si>
    <t>7440</t>
  </si>
  <si>
    <t>__export__.product_template_22297_d8391fe0</t>
  </si>
  <si>
    <t>8522</t>
  </si>
  <si>
    <t>მილი D325*5 უჟანგავი</t>
  </si>
  <si>
    <t>__export__.product_template_22356_613066d1</t>
  </si>
  <si>
    <t>8074</t>
  </si>
  <si>
    <t>__export__.product_template_22298_4842ea7f</t>
  </si>
  <si>
    <t>7830</t>
  </si>
  <si>
    <t>__export__.product_template_22299_e2df2a73</t>
  </si>
  <si>
    <t>8062</t>
  </si>
  <si>
    <t>მილი D325*7 უნაკერო</t>
  </si>
  <si>
    <t>__export__.product_template_22300_170b446f</t>
  </si>
  <si>
    <t>7456</t>
  </si>
  <si>
    <t>__export__.product_template_22303_e78c72cf</t>
  </si>
  <si>
    <t>7433</t>
  </si>
  <si>
    <t>__export__.product_template_22301_6b1ac6ed</t>
  </si>
  <si>
    <t>5818</t>
  </si>
  <si>
    <t>__export__.product_template_22302_21f9f1de</t>
  </si>
  <si>
    <t>8498</t>
  </si>
  <si>
    <t>__export__.product_template_22304_2679335e</t>
  </si>
  <si>
    <t>5788</t>
  </si>
  <si>
    <t>__export__.product_template_22305_5e15fc92</t>
  </si>
  <si>
    <t>5813</t>
  </si>
  <si>
    <t>__export__.product_template_22306_781419b9</t>
  </si>
  <si>
    <t>9871</t>
  </si>
  <si>
    <t>მილი D420*10</t>
  </si>
  <si>
    <t>2/5 მილი 400</t>
  </si>
  <si>
    <t>__export__.product_category_4584_f658a88d</t>
  </si>
  <si>
    <t>__export__.product_template_22307_dd871cac</t>
  </si>
  <si>
    <t>10635</t>
  </si>
  <si>
    <t>მილი D420*8</t>
  </si>
  <si>
    <t>2/5 მილი 500</t>
  </si>
  <si>
    <t>__export__.product_category_4585_c5cd4873</t>
  </si>
  <si>
    <t>__export__.product_template_47717_48b5d45f</t>
  </si>
  <si>
    <t>10363</t>
  </si>
  <si>
    <t>__export__.product_template_22308_39bc308b</t>
  </si>
  <si>
    <t>10511</t>
  </si>
  <si>
    <t>მილი D508*20 ლითონის</t>
  </si>
  <si>
    <t>__export__.product_template_46708_8de1f5c0</t>
  </si>
  <si>
    <t>9831</t>
  </si>
  <si>
    <t>მილი D530*10</t>
  </si>
  <si>
    <t>__export__.product_template_22309_dbb66e35</t>
  </si>
  <si>
    <t>8125</t>
  </si>
  <si>
    <t>__export__.product_template_22310_6bf07388</t>
  </si>
  <si>
    <t>10597</t>
  </si>
  <si>
    <t>მილი D530*12</t>
  </si>
  <si>
    <t>__export__.product_template_46709_d611da22</t>
  </si>
  <si>
    <t>10334</t>
  </si>
  <si>
    <t>მილი D530*12 უნაკერო</t>
  </si>
  <si>
    <t>__export__.product_template_22311_2d2e87d4</t>
  </si>
  <si>
    <t>8117</t>
  </si>
  <si>
    <t>__export__.product_template_22312_46d9da69</t>
  </si>
  <si>
    <t>10598</t>
  </si>
  <si>
    <t>მილი D530*14 უნაკერო</t>
  </si>
  <si>
    <t>__export__.product_template_46710_ff33d25c</t>
  </si>
  <si>
    <t>7737</t>
  </si>
  <si>
    <t>__export__.product_template_22313_0a547c12</t>
  </si>
  <si>
    <t>8802</t>
  </si>
  <si>
    <t>__export__.product_template_46711_c9701f32</t>
  </si>
  <si>
    <t>10218</t>
  </si>
  <si>
    <t>მილი D530*8 სამმაგი იზოლაციით</t>
  </si>
  <si>
    <t>__export__.product_template_22314_9e179b44</t>
  </si>
  <si>
    <t>6182</t>
  </si>
  <si>
    <t>2/5 მილი 50</t>
  </si>
  <si>
    <t>__export__.product_category_4586_03a6c775</t>
  </si>
  <si>
    <t>__export__.product_template_22316_ca195dc1</t>
  </si>
  <si>
    <t>3066</t>
  </si>
  <si>
    <t>__export__.product_template_22315_3cd037a1</t>
  </si>
  <si>
    <t>10059</t>
  </si>
  <si>
    <t>მილი D57*6</t>
  </si>
  <si>
    <t>__export__.product_template_22317_d7e57aa6</t>
  </si>
  <si>
    <t>5814</t>
  </si>
  <si>
    <t>__export__.product_template_22318_797b664e</t>
  </si>
  <si>
    <t>8497</t>
  </si>
  <si>
    <t>__export__.product_template_22319_29b7884c</t>
  </si>
  <si>
    <t>10839</t>
  </si>
  <si>
    <t>მილი D6*1 უჟანგავი</t>
  </si>
  <si>
    <t>__export__.product_template_63105_bbe7288c</t>
  </si>
  <si>
    <t>10811</t>
  </si>
  <si>
    <t>მილი D60*6 უნაკერო</t>
  </si>
  <si>
    <t>2/5 მილი 60</t>
  </si>
  <si>
    <t>__export__.product_category_4587_bc3fb5f6</t>
  </si>
  <si>
    <t>__export__.product_template_62758_589d610b</t>
  </si>
  <si>
    <t>5104</t>
  </si>
  <si>
    <t>__export__.product_template_22320_51bdc9c7</t>
  </si>
  <si>
    <t>8079</t>
  </si>
  <si>
    <t>__export__.product_template_22321_cdaafd92</t>
  </si>
  <si>
    <t>10238</t>
  </si>
  <si>
    <t>მილი D63.5*6 უნაკერო (ფოლადი 20 ან 09P2C,დამზ.მაღალი სიზუსტით)</t>
  </si>
  <si>
    <t>__export__.product_template_22322_3b76fd33</t>
  </si>
  <si>
    <t>10781</t>
  </si>
  <si>
    <t>მილი D63.5*7 უნაკერო</t>
  </si>
  <si>
    <t>__export__.product_template_62759_d0c94cbb</t>
  </si>
  <si>
    <t>10782</t>
  </si>
  <si>
    <t>მილი D63.5*8 უნაკერო</t>
  </si>
  <si>
    <t>__export__.product_template_62760_c85ac2c2</t>
  </si>
  <si>
    <t>10784</t>
  </si>
  <si>
    <t>მილი D68*10 უნაკერო</t>
  </si>
  <si>
    <t>__export__.product_template_62761_acef476f</t>
  </si>
  <si>
    <t>8454</t>
  </si>
  <si>
    <t>__export__.product_template_22323_ce673dba</t>
  </si>
  <si>
    <t>10513</t>
  </si>
  <si>
    <t>მილი D68*8 უნაკერო</t>
  </si>
  <si>
    <t>__export__.product_template_46712_033ace8f</t>
  </si>
  <si>
    <t>10783</t>
  </si>
  <si>
    <t>მილი D68*9 უნაკერო</t>
  </si>
  <si>
    <t>__export__.product_template_62762_e5458e29</t>
  </si>
  <si>
    <t>8886</t>
  </si>
  <si>
    <t>მილი D711*10</t>
  </si>
  <si>
    <t>2/5 მილი 700</t>
  </si>
  <si>
    <t>__export__.product_category_4588_7acc8e9a</t>
  </si>
  <si>
    <t>__export__.product_template_22324_3f191a59</t>
  </si>
  <si>
    <t>10595</t>
  </si>
  <si>
    <t>მილი D711*10 სამმაგი იზოლაციით</t>
  </si>
  <si>
    <t>__export__.product_template_46713_35cc6202</t>
  </si>
  <si>
    <t>7513</t>
  </si>
  <si>
    <t>__export__.product_template_22325_11b0e8b3</t>
  </si>
  <si>
    <t>4492</t>
  </si>
  <si>
    <t>მილი D720 (მეორადი)</t>
  </si>
  <si>
    <t>__export__.product_template_22326_9bfd1252</t>
  </si>
  <si>
    <t>8115</t>
  </si>
  <si>
    <t>__export__.product_template_22327_c924bdfa</t>
  </si>
  <si>
    <t>8119</t>
  </si>
  <si>
    <t>მილი D720*10 სამმაგი იზოლაციით</t>
  </si>
  <si>
    <t>__export__.product_template_22328_6e91b8ee</t>
  </si>
  <si>
    <t>9832</t>
  </si>
  <si>
    <t>__export__.product_template_22329_9408c23c</t>
  </si>
  <si>
    <t>8123</t>
  </si>
  <si>
    <t>მილი D720*14</t>
  </si>
  <si>
    <t>__export__.product_template_22330_62684d60</t>
  </si>
  <si>
    <t>7514</t>
  </si>
  <si>
    <t>მილი D720*14 სამმაგი იზოლაციით</t>
  </si>
  <si>
    <t>__export__.product_template_22331_109ee5e9</t>
  </si>
  <si>
    <t>10599</t>
  </si>
  <si>
    <t>მილი D720*14 უნაკერო</t>
  </si>
  <si>
    <t>__export__.product_template_46714_c5b187e7</t>
  </si>
  <si>
    <t>10600</t>
  </si>
  <si>
    <t>მილი D720*16</t>
  </si>
  <si>
    <t>__export__.product_template_46715_58d27b85</t>
  </si>
  <si>
    <t>10335</t>
  </si>
  <si>
    <t>მილი D720*16 უნაკერო</t>
  </si>
  <si>
    <t>__export__.product_template_22332_1f84cd67</t>
  </si>
  <si>
    <t>10790</t>
  </si>
  <si>
    <t>მილი D720*18</t>
  </si>
  <si>
    <t>__export__.product_template_62763_b214d11e</t>
  </si>
  <si>
    <t>10791</t>
  </si>
  <si>
    <t>მილი D720*20</t>
  </si>
  <si>
    <t>__export__.product_template_62764_b3c204aa</t>
  </si>
  <si>
    <t>10792</t>
  </si>
  <si>
    <t>მილი D720*22</t>
  </si>
  <si>
    <t>__export__.product_template_62765_cd75797e</t>
  </si>
  <si>
    <t>8124</t>
  </si>
  <si>
    <t>__export__.product_template_22333_5ecd07a6</t>
  </si>
  <si>
    <t>8118</t>
  </si>
  <si>
    <t>__export__.product_template_22334_b8fd285b</t>
  </si>
  <si>
    <t>3071</t>
  </si>
  <si>
    <t>2/5 მილი 70</t>
  </si>
  <si>
    <t>__export__.product_category_4589_40c1d58a</t>
  </si>
  <si>
    <t>__export__.product_template_22335_68573d09</t>
  </si>
  <si>
    <t>9139</t>
  </si>
  <si>
    <t>__export__.product_template_22336_370af6a9</t>
  </si>
  <si>
    <t>8523</t>
  </si>
  <si>
    <t>2/5 მილი 800</t>
  </si>
  <si>
    <t>__export__.product_category_4590_3fe1a81b</t>
  </si>
  <si>
    <t>__export__.product_template_22337_2bb3c0d0</t>
  </si>
  <si>
    <t>13</t>
  </si>
  <si>
    <t>__export__.product_template_22338_a61b3efd</t>
  </si>
  <si>
    <t>8126</t>
  </si>
  <si>
    <t>__export__.product_template_22339_9dd0a571</t>
  </si>
  <si>
    <t>12</t>
  </si>
  <si>
    <t>__export__.product_template_22340_e061d78a</t>
  </si>
  <si>
    <t>3595</t>
  </si>
  <si>
    <t>2/5 მილი 80</t>
  </si>
  <si>
    <t>__export__.product_category_4591_cd01f22a</t>
  </si>
  <si>
    <t>__export__.product_template_22341_4f9abbb8</t>
  </si>
  <si>
    <t>6181</t>
  </si>
  <si>
    <t>__export__.product_template_22342_d421eeda</t>
  </si>
  <si>
    <t>6453</t>
  </si>
  <si>
    <t>__export__.product_template_22343_76a35c96</t>
  </si>
  <si>
    <t>3754</t>
  </si>
  <si>
    <t>__export__.product_template_22344_80edbb37</t>
  </si>
  <si>
    <t>5147</t>
  </si>
  <si>
    <t>__export__.product_template_22345_28953fc3</t>
  </si>
  <si>
    <t>10592</t>
  </si>
  <si>
    <t>მილი D89*6</t>
  </si>
  <si>
    <t>__export__.product_template_46716_c5695495</t>
  </si>
  <si>
    <t>5137</t>
  </si>
  <si>
    <t>__export__.product_template_22346_731a0442</t>
  </si>
  <si>
    <t>8514</t>
  </si>
  <si>
    <t>__export__.product_template_22347_9c440137</t>
  </si>
  <si>
    <t>7840</t>
  </si>
  <si>
    <t>__export__.product_template_22348_165ecd4f</t>
  </si>
  <si>
    <t>10785</t>
  </si>
  <si>
    <t>მილი D95*7 უნაკერო</t>
  </si>
  <si>
    <t>__export__.product_template_62766_562634c0</t>
  </si>
  <si>
    <t>7441</t>
  </si>
  <si>
    <t>__export__.product_template_22349_690ec2ce</t>
  </si>
  <si>
    <t>6436</t>
  </si>
  <si>
    <t>__export__.product_template_22350_b591b50a</t>
  </si>
  <si>
    <t>6432</t>
  </si>
  <si>
    <t>__export__.product_template_22351_e86035ce</t>
  </si>
  <si>
    <t>9846</t>
  </si>
  <si>
    <t>მილი თუნუქის D110</t>
  </si>
  <si>
    <t>__export__.product_template_22352_965fcb60</t>
  </si>
  <si>
    <t>8495</t>
  </si>
  <si>
    <t>__export__.product_template_22353_2e23e966</t>
  </si>
  <si>
    <t>10555</t>
  </si>
  <si>
    <t>მილი პლ. D20 წყლის</t>
  </si>
  <si>
    <t>__export__.product_template_46717_faa0014e</t>
  </si>
  <si>
    <t>10747</t>
  </si>
  <si>
    <t>მილი პლ. D200 3000მმ კანალიზაციის</t>
  </si>
  <si>
    <t>__export__.product_template_62767_8ea14f31</t>
  </si>
  <si>
    <t>10554</t>
  </si>
  <si>
    <t>მილი პლ. D25 წყლის</t>
  </si>
  <si>
    <t>__export__.product_template_46718_fd192aab</t>
  </si>
  <si>
    <t>10550</t>
  </si>
  <si>
    <t>მილი პლ. D50 1000მმ კანალიზაციის</t>
  </si>
  <si>
    <t>__export__.product_template_46719_583735b8</t>
  </si>
  <si>
    <t>10549</t>
  </si>
  <si>
    <t>მილი პლ. D50 3000მმ კანალიზაციის</t>
  </si>
  <si>
    <t>__export__.product_template_46720_89ff3f19</t>
  </si>
  <si>
    <t>8509</t>
  </si>
  <si>
    <t>__export__.product_template_22354_10d5917b</t>
  </si>
  <si>
    <t>2055</t>
  </si>
  <si>
    <t>3/1 მოწყობილობა 1620</t>
  </si>
  <si>
    <t>__export__.product_category_4739_577555e9</t>
  </si>
  <si>
    <t>__export__.product_template_22358_3934d82a</t>
  </si>
  <si>
    <t>10802</t>
  </si>
  <si>
    <t>მილის დაზიანებული იზოლაციის დეტექტორი</t>
  </si>
  <si>
    <t>__export__.product_template_62768_ad3051a7</t>
  </si>
  <si>
    <t>4258</t>
  </si>
  <si>
    <t>__export__.product_template_22359_bfea8f32</t>
  </si>
  <si>
    <t>9444</t>
  </si>
  <si>
    <t>მილის ზედაპირის ხორკლიანობის (სიმქისის) ტესტერი</t>
  </si>
  <si>
    <t>__export__.product_template_22360_79e03559</t>
  </si>
  <si>
    <t>7875</t>
  </si>
  <si>
    <t>__export__.product_template_22361_c36e74b8</t>
  </si>
  <si>
    <t>10442</t>
  </si>
  <si>
    <t>მილის მიმქაჩი ნამზ.</t>
  </si>
  <si>
    <t>__export__.product_template_22362_66e505d0</t>
  </si>
  <si>
    <t>13535</t>
  </si>
  <si>
    <t xml:space="preserve">მილის საიზოლაციო დნობადი სანთელი 10მმX270მმ </t>
  </si>
  <si>
    <t>__export__.product_template_77875_5914710b</t>
  </si>
  <si>
    <t>5980</t>
  </si>
  <si>
    <t>__export__.product_template_22363_b215ef1d</t>
  </si>
  <si>
    <t>4579</t>
  </si>
  <si>
    <t>__export__.product_template_22364_b200ce00</t>
  </si>
  <si>
    <t>10276</t>
  </si>
  <si>
    <t>__export__.product_template_22365_22a6cec1</t>
  </si>
  <si>
    <t>4581</t>
  </si>
  <si>
    <t>__export__.product_template_22366_d339745a</t>
  </si>
  <si>
    <t>5105</t>
  </si>
  <si>
    <t>__export__.product_template_46721_3bd11126</t>
  </si>
  <si>
    <t>13532</t>
  </si>
  <si>
    <t xml:space="preserve">მილის საიზოლაციო სარემონტო პაჩი 1,6მმX150მმX10მ </t>
  </si>
  <si>
    <t>__export__.product_template_77872_185657df</t>
  </si>
  <si>
    <t>5106</t>
  </si>
  <si>
    <t>__export__.product_template_46722_666f79be</t>
  </si>
  <si>
    <t>13533</t>
  </si>
  <si>
    <t>მილის საიზოლაციო შემავსებელი მასტიკა 3მმX40მმX6მ</t>
  </si>
  <si>
    <t>__export__.product_template_77873_473ce788</t>
  </si>
  <si>
    <t>9928</t>
  </si>
  <si>
    <t>მილის საღუნი მექანიკური ინსტრუმენტი</t>
  </si>
  <si>
    <t>__export__.product_template_46723_e95cb23b</t>
  </si>
  <si>
    <t>1820</t>
  </si>
  <si>
    <t>__export__.product_template_46724_b7d2f090</t>
  </si>
  <si>
    <t>9342</t>
  </si>
  <si>
    <t>__export__.product_template_46725_30c50cad</t>
  </si>
  <si>
    <t>8092</t>
  </si>
  <si>
    <t>__export__.product_template_46726_4e8c1eaf</t>
  </si>
  <si>
    <t>9341</t>
  </si>
  <si>
    <t>მილკვადრატი 15*15*2</t>
  </si>
  <si>
    <t>__export__.product_template_46727_44fed844</t>
  </si>
  <si>
    <t>10093</t>
  </si>
  <si>
    <t>__export__.product_template_46728_306d5c35</t>
  </si>
  <si>
    <t>10198</t>
  </si>
  <si>
    <t>მილკვადრატი 20*20*2</t>
  </si>
  <si>
    <t>__export__.product_template_46729_8ef2ec94</t>
  </si>
  <si>
    <t>10570</t>
  </si>
  <si>
    <t>მილკვადრატი 30*30*1.8</t>
  </si>
  <si>
    <t>__export__.product_template_46730_27f0310a</t>
  </si>
  <si>
    <t>3766</t>
  </si>
  <si>
    <t>__export__.product_template_46731_e5488681</t>
  </si>
  <si>
    <t>6413</t>
  </si>
  <si>
    <t>__export__.product_template_46732_4ea2c4b2</t>
  </si>
  <si>
    <t>9163</t>
  </si>
  <si>
    <t>__export__.product_template_46733_14659cd2</t>
  </si>
  <si>
    <t>9323</t>
  </si>
  <si>
    <t>__export__.product_template_46734_0ca9b93d</t>
  </si>
  <si>
    <t>8095</t>
  </si>
  <si>
    <t>__export__.product_template_46735_46f8859f</t>
  </si>
  <si>
    <t>5211</t>
  </si>
  <si>
    <t>__export__.product_template_46736_77589d3e</t>
  </si>
  <si>
    <t>4354</t>
  </si>
  <si>
    <t>__export__.product_template_46737_b308ee5d</t>
  </si>
  <si>
    <t>4353</t>
  </si>
  <si>
    <t>__export__.product_template_46738_93517b47</t>
  </si>
  <si>
    <t>8094</t>
  </si>
  <si>
    <t>__export__.product_template_46739_32e47a75</t>
  </si>
  <si>
    <t>3057</t>
  </si>
  <si>
    <t>__export__.product_template_46740_d4c3401b</t>
  </si>
  <si>
    <t>8496</t>
  </si>
  <si>
    <t>__export__.product_template_46741_faad129c</t>
  </si>
  <si>
    <t>8093</t>
  </si>
  <si>
    <t>__export__.product_template_46742_67c774f9</t>
  </si>
  <si>
    <t>5786</t>
  </si>
  <si>
    <t>__export__.product_template_46743_abb3ef10</t>
  </si>
  <si>
    <t>6180</t>
  </si>
  <si>
    <t>__export__.product_template_46744_4745714e</t>
  </si>
  <si>
    <t>5167</t>
  </si>
  <si>
    <t>__export__.product_template_46745_9f132599</t>
  </si>
  <si>
    <t>9604</t>
  </si>
  <si>
    <t>მილმიმყვანი D15</t>
  </si>
  <si>
    <t>__export__.product_template_46746_40f962c6</t>
  </si>
  <si>
    <t>7887</t>
  </si>
  <si>
    <t>მილმიმყვანი D15 გარე ხრახნით ექსვკუთხა</t>
  </si>
  <si>
    <t>__export__.product_template_46747_113ce64b</t>
  </si>
  <si>
    <t>9097</t>
  </si>
  <si>
    <t>2/5 სახარჯი მასალა 1640</t>
  </si>
  <si>
    <t>__export__.product_category_4746_4db32126</t>
  </si>
  <si>
    <t>__export__.product_template_46748_0686b6b5</t>
  </si>
  <si>
    <t>8508</t>
  </si>
  <si>
    <t>__export__.product_template_46749_f2075709</t>
  </si>
  <si>
    <t>5831</t>
  </si>
  <si>
    <t>__export__.product_template_46750_5523830a</t>
  </si>
  <si>
    <t>3783</t>
  </si>
  <si>
    <t>__export__.product_template_46751_5c989205</t>
  </si>
  <si>
    <t>5970</t>
  </si>
  <si>
    <t>__export__.product_template_46752_3b56c6d9</t>
  </si>
  <si>
    <t>6480</t>
  </si>
  <si>
    <t>__export__.product_template_46753_90f0bae7</t>
  </si>
  <si>
    <t>9293</t>
  </si>
  <si>
    <t>__export__.product_template_46754_5f6adb8d</t>
  </si>
  <si>
    <t>7780</t>
  </si>
  <si>
    <t>__export__.product_template_46755_bf2c6cd2</t>
  </si>
  <si>
    <t>7701</t>
  </si>
  <si>
    <t>2/5 მილტუჩი</t>
  </si>
  <si>
    <t>__export__.product_category_4594_caaff64f</t>
  </si>
  <si>
    <t>__export__.product_template_46756_c0c4c266</t>
  </si>
  <si>
    <t>9849</t>
  </si>
  <si>
    <t>__export__.product_template_46757_e73cd4be</t>
  </si>
  <si>
    <t>7949</t>
  </si>
  <si>
    <t>__export__.product_template_46758_f2fc2461</t>
  </si>
  <si>
    <t>10578</t>
  </si>
  <si>
    <t>მილტუჩი DN100 PN40 საყელურიანი</t>
  </si>
  <si>
    <t>__export__.product_template_46759_0d3e4ed3</t>
  </si>
  <si>
    <t>9949</t>
  </si>
  <si>
    <t>მილტუჩი DN100 PN55 ბრტყელი</t>
  </si>
  <si>
    <t>__export__.product_template_46760_73072d55</t>
  </si>
  <si>
    <t>10382</t>
  </si>
  <si>
    <t>__export__.product_template_46761_bd403cf8</t>
  </si>
  <si>
    <t>9920</t>
  </si>
  <si>
    <t>__export__.product_template_46762_2bd63026</t>
  </si>
  <si>
    <t>9851</t>
  </si>
  <si>
    <t>მილტუჩი DN150 PN16 საყელურიანი</t>
  </si>
  <si>
    <t>__export__.product_template_46763_25961307</t>
  </si>
  <si>
    <t>7430</t>
  </si>
  <si>
    <t>__export__.product_template_46764_b8da3f82</t>
  </si>
  <si>
    <t>10383</t>
  </si>
  <si>
    <t>__export__.product_template_46765_64c27dd8</t>
  </si>
  <si>
    <t>1005</t>
  </si>
  <si>
    <t>__export__.product_template_46766_3fc108de</t>
  </si>
  <si>
    <t>8131</t>
  </si>
  <si>
    <t>__export__.product_template_46767_806adf65</t>
  </si>
  <si>
    <t>9950</t>
  </si>
  <si>
    <t>მილტუჩი DN150 PN55 ბრტყელი</t>
  </si>
  <si>
    <t>__export__.product_template_46768_c0ff4403</t>
  </si>
  <si>
    <t>10385</t>
  </si>
  <si>
    <t>__export__.product_template_46769_e4e58d6b</t>
  </si>
  <si>
    <t>4483</t>
  </si>
  <si>
    <t>__export__.product_template_46770_9d3540dd</t>
  </si>
  <si>
    <t>9850</t>
  </si>
  <si>
    <t>__export__.product_template_46771_ef73b23e</t>
  </si>
  <si>
    <t>9338</t>
  </si>
  <si>
    <t>__export__.product_template_46772_022a4563</t>
  </si>
  <si>
    <t>10219</t>
  </si>
  <si>
    <t>მილტუჩი DN200 PN40 ბრტყელი სპეციალური</t>
  </si>
  <si>
    <t>__export__.product_template_46773_57779d98</t>
  </si>
  <si>
    <t>9822</t>
  </si>
  <si>
    <t>__export__.product_template_46774_858e1a07</t>
  </si>
  <si>
    <t>8130</t>
  </si>
  <si>
    <t>__export__.product_template_46775_85981d76</t>
  </si>
  <si>
    <t>9951</t>
  </si>
  <si>
    <t>მილტუჩი DN200 PN55 ბრტყელი</t>
  </si>
  <si>
    <t>__export__.product_template_46776_5e359ca7</t>
  </si>
  <si>
    <t>10384</t>
  </si>
  <si>
    <t>__export__.product_template_46777_a9971553</t>
  </si>
  <si>
    <t>7462</t>
  </si>
  <si>
    <t>__export__.product_template_46778_d5d325a9</t>
  </si>
  <si>
    <t>9823</t>
  </si>
  <si>
    <t>მილტუჩი DN200 PN64 კომპლ.</t>
  </si>
  <si>
    <t>__export__.product_template_46779_3d8ca6ec</t>
  </si>
  <si>
    <t>6016</t>
  </si>
  <si>
    <t>__export__.product_template_46780_f54e3b60</t>
  </si>
  <si>
    <t>7429</t>
  </si>
  <si>
    <t>__export__.product_template_46781_b63153eb</t>
  </si>
  <si>
    <t>9853</t>
  </si>
  <si>
    <t>__export__.product_template_46782_75768df9</t>
  </si>
  <si>
    <t>9852</t>
  </si>
  <si>
    <t>__export__.product_template_46783_4610243c</t>
  </si>
  <si>
    <t>7738</t>
  </si>
  <si>
    <t>__export__.product_template_46784_33a285ff</t>
  </si>
  <si>
    <t>9824</t>
  </si>
  <si>
    <t>მილტუჩი DN300 PN25 კომპლ.</t>
  </si>
  <si>
    <t>__export__.product_template_46785_12205709</t>
  </si>
  <si>
    <t>10386</t>
  </si>
  <si>
    <t>__export__.product_template_46786_febf6f55</t>
  </si>
  <si>
    <t>10220</t>
  </si>
  <si>
    <t>მილტუჩი DN300 PN40 ბრტყელი სპეციალური</t>
  </si>
  <si>
    <t>__export__.product_template_46787_99f9634d</t>
  </si>
  <si>
    <t>7531</t>
  </si>
  <si>
    <t>__export__.product_template_46788_c4913eaa</t>
  </si>
  <si>
    <t>9952</t>
  </si>
  <si>
    <t>მილტუჩი DN300 PN55 ბრტყელი</t>
  </si>
  <si>
    <t>__export__.product_template_46789_f1280f8e</t>
  </si>
  <si>
    <t>10387</t>
  </si>
  <si>
    <t>__export__.product_template_46790_76582fbb</t>
  </si>
  <si>
    <t>9919</t>
  </si>
  <si>
    <t>მილტუჩი DN300 PN63 საყელურიანი ГОСТ 33259-2015</t>
  </si>
  <si>
    <t>__export__.product_template_46791_746cea67</t>
  </si>
  <si>
    <t>9144</t>
  </si>
  <si>
    <t>__export__.product_template_46792_1e2b6bbf</t>
  </si>
  <si>
    <t>9146</t>
  </si>
  <si>
    <t>__export__.product_template_46793_ee7066b7</t>
  </si>
  <si>
    <t>10301</t>
  </si>
  <si>
    <t>მილტუჩი DN300 PN64 სპეციალური</t>
  </si>
  <si>
    <t>__export__.product_template_46794_8483e527</t>
  </si>
  <si>
    <t>4547</t>
  </si>
  <si>
    <t>__export__.product_template_46795_4fce8b4a</t>
  </si>
  <si>
    <t>6193</t>
  </si>
  <si>
    <t>__export__.product_template_46796_ebdc639d</t>
  </si>
  <si>
    <t>5899</t>
  </si>
  <si>
    <t>__export__.product_template_46797_1851bb32</t>
  </si>
  <si>
    <t>9854</t>
  </si>
  <si>
    <t>__export__.product_template_46798_e652f0e0</t>
  </si>
  <si>
    <t>10221</t>
  </si>
  <si>
    <t>__export__.product_template_46799_fe0e3211</t>
  </si>
  <si>
    <t>10395</t>
  </si>
  <si>
    <t>მილტუჩი DN50 PN64 საყელურიანი</t>
  </si>
  <si>
    <t>__export__.product_template_46800_637f88fd</t>
  </si>
  <si>
    <t>8854</t>
  </si>
  <si>
    <t>__export__.product_template_46801_20fd82e2</t>
  </si>
  <si>
    <t>9304</t>
  </si>
  <si>
    <t>მილტუჩი DN500 PN25 კომპლ.</t>
  </si>
  <si>
    <t>__export__.product_template_46802_ff688a86</t>
  </si>
  <si>
    <t>7460</t>
  </si>
  <si>
    <t>__export__.product_template_46803_16761bfc</t>
  </si>
  <si>
    <t>9305</t>
  </si>
  <si>
    <t>__export__.product_template_46804_b61df89e</t>
  </si>
  <si>
    <t>10332</t>
  </si>
  <si>
    <t>__export__.product_template_46805_aa9a5ddd</t>
  </si>
  <si>
    <t>9140</t>
  </si>
  <si>
    <t>მილტუჩი DN700 PN64 საყელურიანი</t>
  </si>
  <si>
    <t>__export__.product_template_46806_87c9344d</t>
  </si>
  <si>
    <t>8852</t>
  </si>
  <si>
    <t>__export__.product_template_46807_c8979426</t>
  </si>
  <si>
    <t>9855</t>
  </si>
  <si>
    <t>__export__.product_template_46808_6e9efe9c</t>
  </si>
  <si>
    <t>9948</t>
  </si>
  <si>
    <t>__export__.product_template_46810_de841d81</t>
  </si>
  <si>
    <t>9918</t>
  </si>
  <si>
    <t>__export__.product_template_46809_f3a133ec</t>
  </si>
  <si>
    <t>10381</t>
  </si>
  <si>
    <t>__export__.product_template_46811_bb423f08</t>
  </si>
  <si>
    <t>3149</t>
  </si>
  <si>
    <t>__export__.product_template_46812_c2afa1ed</t>
  </si>
  <si>
    <t>9339</t>
  </si>
  <si>
    <t>მილტუჩი DN80 PN64 კომპლ.</t>
  </si>
  <si>
    <t>__export__.product_template_46813_f6ca8563</t>
  </si>
  <si>
    <t>3665</t>
  </si>
  <si>
    <t>მინა 4მმ</t>
  </si>
  <si>
    <t>__export__.product_template_46814_93803b4c</t>
  </si>
  <si>
    <t>9809</t>
  </si>
  <si>
    <t>__export__.product_template_46815_4be52d2c</t>
  </si>
  <si>
    <t>8968</t>
  </si>
  <si>
    <t>__export__.product_template_46816_664acbc6</t>
  </si>
  <si>
    <t>9257</t>
  </si>
  <si>
    <t>__export__.product_template_46817_0075b777</t>
  </si>
  <si>
    <t>3504</t>
  </si>
  <si>
    <t>__export__.product_template_46818_c46f7c35</t>
  </si>
  <si>
    <t>11054</t>
  </si>
  <si>
    <t>მინერალური პლ. ბოთლში 0.5ლ</t>
  </si>
  <si>
    <t>2/12/3 წარმომადგენლობითი</t>
  </si>
  <si>
    <t>__export__.product_category_4681_2f9a6bc5</t>
  </si>
  <si>
    <t>__export__.product_template_63357_5065ed98</t>
  </si>
  <si>
    <t>11019</t>
  </si>
  <si>
    <t>მინის საწმენდი სითხე 0.5ლ</t>
  </si>
  <si>
    <t>__export__.product_template_63322_1935ac8e</t>
  </si>
  <si>
    <t>11020</t>
  </si>
  <si>
    <t>მინის საწმენდი ტარით (2-3 მეტრი)</t>
  </si>
  <si>
    <t>__export__.product_template_63323_a81eb8d0</t>
  </si>
  <si>
    <t>9279</t>
  </si>
  <si>
    <t>__export__.product_template_46819_64c0535c</t>
  </si>
  <si>
    <t>8777</t>
  </si>
  <si>
    <t>__export__.product_template_46820_7132b5d3</t>
  </si>
  <si>
    <t>3310</t>
  </si>
  <si>
    <t>__export__.product_template_46821_72a4b4fc</t>
  </si>
  <si>
    <t>5431</t>
  </si>
  <si>
    <t>2/12/6 საოფისე ტექნიკა</t>
  </si>
  <si>
    <t>__export__.product_category_4595_d979142d</t>
  </si>
  <si>
    <t>__export__.product_template_46822_de0387b6</t>
  </si>
  <si>
    <t>5379</t>
  </si>
  <si>
    <t>__export__.product_template_46823_b83ca8a5</t>
  </si>
  <si>
    <t>10838</t>
  </si>
  <si>
    <t>მოდემი GSM multi serial port RS232, RS465</t>
  </si>
  <si>
    <t>__export__.product_template_63104_3e1d2129</t>
  </si>
  <si>
    <t>10533</t>
  </si>
  <si>
    <t>მონაცემთა დამუშავების ცენტრი (კონტეინერი)</t>
  </si>
  <si>
    <t>__export__.product_template_46824_26335c6c</t>
  </si>
  <si>
    <t>8843</t>
  </si>
  <si>
    <t>__export__.product_template_24322_f40135d3</t>
  </si>
  <si>
    <t>9379</t>
  </si>
  <si>
    <t>მოძრავი ცენტრი მორზე 3</t>
  </si>
  <si>
    <t>__export__.product_template_24323_9b42e080</t>
  </si>
  <si>
    <t>9378</t>
  </si>
  <si>
    <t>მოძრავი ცენტრი მორზე 4</t>
  </si>
  <si>
    <t>__export__.product_template_24324_164e2ede</t>
  </si>
  <si>
    <t>6655</t>
  </si>
  <si>
    <t>მოძრავი ცენტრი მორზე 5</t>
  </si>
  <si>
    <t>__export__.product_template_24325_4facd76b</t>
  </si>
  <si>
    <t>6335</t>
  </si>
  <si>
    <t>__export__.product_template_24326_de8c9891</t>
  </si>
  <si>
    <t>6566</t>
  </si>
  <si>
    <t>__export__.product_template_24327_75c6d76d</t>
  </si>
  <si>
    <t>7883</t>
  </si>
  <si>
    <t>__export__.product_template_24328_7c50f1df</t>
  </si>
  <si>
    <t>3891</t>
  </si>
  <si>
    <t>__export__.product_template_24329_f348aad6</t>
  </si>
  <si>
    <t>8990</t>
  </si>
  <si>
    <t>მულტიმეტრი დიდი</t>
  </si>
  <si>
    <t>__export__.product_template_77790_b997ff80</t>
  </si>
  <si>
    <t>10559</t>
  </si>
  <si>
    <t>მუფთა პლ. D20</t>
  </si>
  <si>
    <t>__export__.product_template_46825_bbdbfc95</t>
  </si>
  <si>
    <t>10556</t>
  </si>
  <si>
    <t>მუფთა პლ. D20 შიდა ხრახნით</t>
  </si>
  <si>
    <t>__export__.product_template_46826_2d4cebf6</t>
  </si>
  <si>
    <t>10558</t>
  </si>
  <si>
    <t>მუფთა პლ. D25</t>
  </si>
  <si>
    <t>__export__.product_template_46827_37580c7f</t>
  </si>
  <si>
    <t>10749</t>
  </si>
  <si>
    <t>მუფტა პლ. D200 კანალიზაციის</t>
  </si>
  <si>
    <t>__export__.product_template_62769_3c15a967</t>
  </si>
  <si>
    <t>8328</t>
  </si>
  <si>
    <t>2/5 მუხლი</t>
  </si>
  <si>
    <t>__export__.product_category_4596_f2e3cac3</t>
  </si>
  <si>
    <t>__export__.product_template_24330_06a1f531</t>
  </si>
  <si>
    <t>8323</t>
  </si>
  <si>
    <t>__export__.product_template_24331_d7dab703</t>
  </si>
  <si>
    <t>10607</t>
  </si>
  <si>
    <t>მუხლი D1020*14 90 გრ 1.5D</t>
  </si>
  <si>
    <t>__export__.product_template_46828_b944ea0f</t>
  </si>
  <si>
    <t>10608</t>
  </si>
  <si>
    <t>მუხლი D1020*14 90 გრ 1.5D იზოლირებული</t>
  </si>
  <si>
    <t>__export__.product_template_46829_4a65e0c9</t>
  </si>
  <si>
    <t>10669</t>
  </si>
  <si>
    <t>მუხლი D1020*22 45გრ 1.5D (მეორადი)</t>
  </si>
  <si>
    <t>__export__.product_template_63138_46f413bc</t>
  </si>
  <si>
    <t>7792</t>
  </si>
  <si>
    <t>__export__.product_template_24332_44b23636</t>
  </si>
  <si>
    <t>9391</t>
  </si>
  <si>
    <t>მუხლი D108*4 90გრ 1.5D</t>
  </si>
  <si>
    <t>__export__.product_template_24333_8929c952</t>
  </si>
  <si>
    <t>5929</t>
  </si>
  <si>
    <t>__export__.product_template_24334_67d81566</t>
  </si>
  <si>
    <t>3064</t>
  </si>
  <si>
    <t>მუხლი D114 90გრ 1.5D (მეორადი)</t>
  </si>
  <si>
    <t>__export__.product_template_24335_0177f91b</t>
  </si>
  <si>
    <t>8019</t>
  </si>
  <si>
    <t>__export__.product_template_24337_5c775299</t>
  </si>
  <si>
    <t>7592</t>
  </si>
  <si>
    <t>__export__.product_template_24336_1f3b4fa0</t>
  </si>
  <si>
    <t>10671</t>
  </si>
  <si>
    <t>მუხლი D114*6 15გრ 1.5D იზოლირებული</t>
  </si>
  <si>
    <t>__export__.product_template_63140_2760520f</t>
  </si>
  <si>
    <t>9898</t>
  </si>
  <si>
    <t>მუხლი D114*6 45გრ 1.5D</t>
  </si>
  <si>
    <t>__export__.product_template_24338_dab981c4</t>
  </si>
  <si>
    <t>8429</t>
  </si>
  <si>
    <t>__export__.product_template_24340_c95eda9e</t>
  </si>
  <si>
    <t>8428</t>
  </si>
  <si>
    <t>__export__.product_template_24339_b6bf002b</t>
  </si>
  <si>
    <t>9889</t>
  </si>
  <si>
    <t>მუხლი D114*6 90გრ 1.5D იზოლირებული</t>
  </si>
  <si>
    <t>__export__.product_template_24341_2afb6604</t>
  </si>
  <si>
    <t>8441</t>
  </si>
  <si>
    <t>მუხლი D114*8 90გრ 1.5D</t>
  </si>
  <si>
    <t>__export__.product_template_24342_0d32e14d</t>
  </si>
  <si>
    <t>8329</t>
  </si>
  <si>
    <t>__export__.product_template_24343_8f760c55</t>
  </si>
  <si>
    <t>8330</t>
  </si>
  <si>
    <t>__export__.product_template_24344_76f86981</t>
  </si>
  <si>
    <t>10609</t>
  </si>
  <si>
    <t>მუხლი D1220*14 90 გრ 1.5D</t>
  </si>
  <si>
    <t>__export__.product_template_46830_4d4a42a0</t>
  </si>
  <si>
    <t>10610</t>
  </si>
  <si>
    <t>მუხლი D1220*14 90 გრ 1.5D იზოლირებული</t>
  </si>
  <si>
    <t>__export__.product_template_46831_15eff425</t>
  </si>
  <si>
    <t>8023</t>
  </si>
  <si>
    <t>__export__.product_template_24345_3f675355</t>
  </si>
  <si>
    <t>8430</t>
  </si>
  <si>
    <t>__export__.product_template_24346_fa759eed</t>
  </si>
  <si>
    <t>9804</t>
  </si>
  <si>
    <t>მუხლი D159*10 90გრ 1.5D</t>
  </si>
  <si>
    <t>__export__.product_template_24347_a2bb5b6e</t>
  </si>
  <si>
    <t>9896</t>
  </si>
  <si>
    <t>მუხლი D159*6 45გრ 1.5D</t>
  </si>
  <si>
    <t>__export__.product_template_24348_96573724</t>
  </si>
  <si>
    <t>8431</t>
  </si>
  <si>
    <t>__export__.product_template_24349_62a32111</t>
  </si>
  <si>
    <t>8432</t>
  </si>
  <si>
    <t>__export__.product_template_24350_48f10cef</t>
  </si>
  <si>
    <t>8444</t>
  </si>
  <si>
    <t>__export__.product_template_24351_cc4858b3</t>
  </si>
  <si>
    <t>9171</t>
  </si>
  <si>
    <t>__export__.product_template_24352_e811581d</t>
  </si>
  <si>
    <t>1488</t>
  </si>
  <si>
    <t>__export__.product_template_24353_b53e9c49</t>
  </si>
  <si>
    <t>3501</t>
  </si>
  <si>
    <t>__export__.product_template_24354_67f4c583</t>
  </si>
  <si>
    <t>8016</t>
  </si>
  <si>
    <t>__export__.product_template_24355_1cf1234c</t>
  </si>
  <si>
    <t>8015</t>
  </si>
  <si>
    <t>__export__.product_template_24356_510ab3c3</t>
  </si>
  <si>
    <t>8012</t>
  </si>
  <si>
    <t>__export__.product_template_24357_c82514be</t>
  </si>
  <si>
    <t>8018</t>
  </si>
  <si>
    <t>__export__.product_template_24358_f260ff2e</t>
  </si>
  <si>
    <t>6583</t>
  </si>
  <si>
    <t>__export__.product_template_24359_987405c6</t>
  </si>
  <si>
    <t>7590</t>
  </si>
  <si>
    <t>__export__.product_template_24360_1bf5dcba</t>
  </si>
  <si>
    <t>6103</t>
  </si>
  <si>
    <t>__export__.product_template_24361_c19b668c</t>
  </si>
  <si>
    <t>6104</t>
  </si>
  <si>
    <t>__export__.product_template_24362_e8b36564</t>
  </si>
  <si>
    <t>6106</t>
  </si>
  <si>
    <t>__export__.product_template_24363_f9acb1be</t>
  </si>
  <si>
    <t>5974</t>
  </si>
  <si>
    <t>__export__.product_template_24364_1071ea22</t>
  </si>
  <si>
    <t>3151</t>
  </si>
  <si>
    <t>მუხლი D219 90გრ 1.5D (მეორადი)</t>
  </si>
  <si>
    <t>__export__.product_template_24365_9e61f8a7</t>
  </si>
  <si>
    <t>8091</t>
  </si>
  <si>
    <t>მუხლი D219*12 90გრ 1.5D</t>
  </si>
  <si>
    <t>__export__.product_template_24366_144c2027</t>
  </si>
  <si>
    <t>7968</t>
  </si>
  <si>
    <t>__export__.product_template_24367_602a761a</t>
  </si>
  <si>
    <t>7967</t>
  </si>
  <si>
    <t>__export__.product_template_24368_ce2c20b9</t>
  </si>
  <si>
    <t>7966</t>
  </si>
  <si>
    <t>__export__.product_template_24369_8f23bc46</t>
  </si>
  <si>
    <t>7963</t>
  </si>
  <si>
    <t>__export__.product_template_24370_6d6d875b</t>
  </si>
  <si>
    <t>7962</t>
  </si>
  <si>
    <t>__export__.product_template_24371_e4aa0e36</t>
  </si>
  <si>
    <t>7961</t>
  </si>
  <si>
    <t>__export__.product_template_24372_f65bb13a</t>
  </si>
  <si>
    <t>7960</t>
  </si>
  <si>
    <t>__export__.product_template_24373_21c52a20</t>
  </si>
  <si>
    <t>7959</t>
  </si>
  <si>
    <t>__export__.product_template_24374_dd5d8772</t>
  </si>
  <si>
    <t>9895</t>
  </si>
  <si>
    <t>მუხლი D219*6 30გრ 1.5D</t>
  </si>
  <si>
    <t>__export__.product_template_24375_13cc6cbb</t>
  </si>
  <si>
    <t>8440</t>
  </si>
  <si>
    <t>მუხლი D219*6 45გრ 1.5D</t>
  </si>
  <si>
    <t>__export__.product_template_24376_a7e12871</t>
  </si>
  <si>
    <t>8433</t>
  </si>
  <si>
    <t>მუხლი D219*6 90გრ 1.5D</t>
  </si>
  <si>
    <t>__export__.product_template_24377_a91989bf</t>
  </si>
  <si>
    <t>5961</t>
  </si>
  <si>
    <t>__export__.product_template_24378_0acb5232</t>
  </si>
  <si>
    <t>8912</t>
  </si>
  <si>
    <t>მუხლი D219*6 90გრ 1.5D იზოლირებული</t>
  </si>
  <si>
    <t>__export__.product_template_24379_d6aad51b</t>
  </si>
  <si>
    <t>12462</t>
  </si>
  <si>
    <t>მუხლი D219*8 30გრ 1.5D იზოლირებული</t>
  </si>
  <si>
    <t>__export__.product_template_75032_709b4b83</t>
  </si>
  <si>
    <t>10826</t>
  </si>
  <si>
    <t>მუხლი D219*8 45გრ 1.5D</t>
  </si>
  <si>
    <t>__export__.product_template_62770_a172fb5a</t>
  </si>
  <si>
    <t>9315</t>
  </si>
  <si>
    <t>მუხლი D219*8 90გრ 1.5D</t>
  </si>
  <si>
    <t>__export__.product_template_24380_6967ca80</t>
  </si>
  <si>
    <t>10601</t>
  </si>
  <si>
    <t>მუხლი D219*8 90გრ 1.5D იზოლირებული</t>
  </si>
  <si>
    <t>__export__.product_template_46832_5d454588</t>
  </si>
  <si>
    <t>5995</t>
  </si>
  <si>
    <t>__export__.product_template_24381_f8534b60</t>
  </si>
  <si>
    <t>5996</t>
  </si>
  <si>
    <t>__export__.product_template_24382_5c42a1ef</t>
  </si>
  <si>
    <t>5999</t>
  </si>
  <si>
    <t>__export__.product_template_24383_7c19f978</t>
  </si>
  <si>
    <t>4465</t>
  </si>
  <si>
    <t>__export__.product_template_24384_869d6ee1</t>
  </si>
  <si>
    <t>6186</t>
  </si>
  <si>
    <t>__export__.product_template_24385_57faaf05</t>
  </si>
  <si>
    <t>1658</t>
  </si>
  <si>
    <t>__export__.product_template_24386_79c14345</t>
  </si>
  <si>
    <t>9805</t>
  </si>
  <si>
    <t>__export__.product_template_24387_db1b472b</t>
  </si>
  <si>
    <t>9869</t>
  </si>
  <si>
    <t>მუხლი D325*10 90გრ 1.5D იზოლირებული</t>
  </si>
  <si>
    <t>__export__.product_template_24388_ac79c98a</t>
  </si>
  <si>
    <t>10062</t>
  </si>
  <si>
    <t>მუხლი D325*12 90გრ 1.5D</t>
  </si>
  <si>
    <t>__export__.product_template_24389_f90347da</t>
  </si>
  <si>
    <t>8334</t>
  </si>
  <si>
    <t>__export__.product_template_24390_4f85eebf</t>
  </si>
  <si>
    <t>8446</t>
  </si>
  <si>
    <t>მუხლი D325*6 90გრ 1.5D იზოლირებული</t>
  </si>
  <si>
    <t>__export__.product_template_24391_431f0c1c</t>
  </si>
  <si>
    <t>10461</t>
  </si>
  <si>
    <t>მუხლი D325*8 15გრ 1.5D იზოლირებული</t>
  </si>
  <si>
    <t>__export__.product_template_24392_321f6982</t>
  </si>
  <si>
    <t>9172</t>
  </si>
  <si>
    <t>__export__.product_template_24393_2781da44</t>
  </si>
  <si>
    <t>9890</t>
  </si>
  <si>
    <t>მუხლი D325*8 30გრ 1.5D იზოლირებული</t>
  </si>
  <si>
    <t>__export__.product_template_24394_1acb047e</t>
  </si>
  <si>
    <t>6456</t>
  </si>
  <si>
    <t>__export__.product_template_24395_3b64c67a</t>
  </si>
  <si>
    <t>9891</t>
  </si>
  <si>
    <t>მუხლი D325*8 45გრ 1.5D იზოლირებული</t>
  </si>
  <si>
    <t>__export__.product_template_24396_1ab9ae80</t>
  </si>
  <si>
    <t>8347</t>
  </si>
  <si>
    <t>__export__.product_template_24397_58030abd</t>
  </si>
  <si>
    <t>8435</t>
  </si>
  <si>
    <t>მუხლი D325*8 90გრ 1.5D იზოლირებული</t>
  </si>
  <si>
    <t>__export__.product_template_24398_56fb67fc</t>
  </si>
  <si>
    <t>3845</t>
  </si>
  <si>
    <t>მუხლი D40*3 90გრ 1.5D</t>
  </si>
  <si>
    <t>__export__.product_template_24399_58857605</t>
  </si>
  <si>
    <t>9894</t>
  </si>
  <si>
    <t>მუხლი D529*10 30გრ 1.5D იზოლირებული</t>
  </si>
  <si>
    <t>__export__.product_template_24400_c18f1cf0</t>
  </si>
  <si>
    <t>9893</t>
  </si>
  <si>
    <t>მუხლი D529*10 45გრ 1.5D იზოლირებული</t>
  </si>
  <si>
    <t>__export__.product_template_24401_bb806211</t>
  </si>
  <si>
    <t>6611</t>
  </si>
  <si>
    <t>2/5 მუხლი 2197</t>
  </si>
  <si>
    <t>__export__.product_category_4743_0d89723d</t>
  </si>
  <si>
    <t>__export__.product_template_24402_342e6330</t>
  </si>
  <si>
    <t>9892</t>
  </si>
  <si>
    <t>მუხლი D529*10 90გრ 1.5D იზოლირებული</t>
  </si>
  <si>
    <t>__export__.product_template_24403_258011d1</t>
  </si>
  <si>
    <t>8468</t>
  </si>
  <si>
    <t>მუხლი D530*10 30გრ 1.5D</t>
  </si>
  <si>
    <t>__export__.product_template_24404_e39d5d45</t>
  </si>
  <si>
    <t>9177</t>
  </si>
  <si>
    <t>__export__.product_template_24405_3c684972</t>
  </si>
  <si>
    <t>9173</t>
  </si>
  <si>
    <t>მუხლი D530*10 45გრ 1.5D იზოლირებული</t>
  </si>
  <si>
    <t>__export__.product_template_24406_57146a77</t>
  </si>
  <si>
    <t>8911</t>
  </si>
  <si>
    <t>__export__.product_template_24407_37bfafd8</t>
  </si>
  <si>
    <t>8448</t>
  </si>
  <si>
    <t>__export__.product_template_24408_d1bb9e81</t>
  </si>
  <si>
    <t>8449</t>
  </si>
  <si>
    <t>__export__.product_template_24410_73fd20ec</t>
  </si>
  <si>
    <t>8437</t>
  </si>
  <si>
    <t>__export__.product_template_24409_99838e88</t>
  </si>
  <si>
    <t>1687</t>
  </si>
  <si>
    <t>__export__.product_template_24411_b1c4cae7</t>
  </si>
  <si>
    <t>6433</t>
  </si>
  <si>
    <t>__export__.product_template_24412_56e3f15c</t>
  </si>
  <si>
    <t>8913</t>
  </si>
  <si>
    <t>__export__.product_template_24413_0e7d45b7</t>
  </si>
  <si>
    <t>8470</t>
  </si>
  <si>
    <t>__export__.product_template_24414_d4f8ce85</t>
  </si>
  <si>
    <t>8471</t>
  </si>
  <si>
    <t>__export__.product_template_24415_f83c5134</t>
  </si>
  <si>
    <t>8801</t>
  </si>
  <si>
    <t>__export__.product_template_24416_76d6e0ed</t>
  </si>
  <si>
    <t>8436</t>
  </si>
  <si>
    <t>__export__.product_template_24417_77f67028</t>
  </si>
  <si>
    <t>7807</t>
  </si>
  <si>
    <t>__export__.product_template_24418_48e92fef</t>
  </si>
  <si>
    <t>3049</t>
  </si>
  <si>
    <t>მუხლი D57*3 90გრ 1.5D</t>
  </si>
  <si>
    <t>__export__.product_template_24419_21b9907e</t>
  </si>
  <si>
    <t>9897</t>
  </si>
  <si>
    <t>მუხლი D57*6 30გრ 1.5D</t>
  </si>
  <si>
    <t>__export__.product_template_24420_866d8568</t>
  </si>
  <si>
    <t>8438</t>
  </si>
  <si>
    <t>__export__.product_template_24421_671472a1</t>
  </si>
  <si>
    <t>8463</t>
  </si>
  <si>
    <t>__export__.product_template_24422_579b7307</t>
  </si>
  <si>
    <t>10602</t>
  </si>
  <si>
    <t>მუხლი D711*12 90 გრ 1.5D</t>
  </si>
  <si>
    <t>__export__.product_template_46833_e77421d2</t>
  </si>
  <si>
    <t>10603</t>
  </si>
  <si>
    <t>მუხლი D711*12 90 გრ 1.5D იზოლირებული</t>
  </si>
  <si>
    <t>__export__.product_template_46834_16be6004</t>
  </si>
  <si>
    <t>10183</t>
  </si>
  <si>
    <t>მუხლი D711*14 90გრ 1.5D იზოლირებული</t>
  </si>
  <si>
    <t>__export__.product_template_24423_c966accf</t>
  </si>
  <si>
    <t>8914</t>
  </si>
  <si>
    <t>__export__.product_template_24424_bee4be8e</t>
  </si>
  <si>
    <t>7509</t>
  </si>
  <si>
    <t>__export__.product_template_24425_feebe267</t>
  </si>
  <si>
    <t>8340</t>
  </si>
  <si>
    <t>მუხლი D720*10 25გრ 1.5D</t>
  </si>
  <si>
    <t>__export__.product_template_24426_007a037e</t>
  </si>
  <si>
    <t>9175</t>
  </si>
  <si>
    <t>__export__.product_template_24427_bf94eca7</t>
  </si>
  <si>
    <t>9174</t>
  </si>
  <si>
    <t>__export__.product_template_24428_39a225e3</t>
  </si>
  <si>
    <t>8335</t>
  </si>
  <si>
    <t>__export__.product_template_24429_c80bcb8e</t>
  </si>
  <si>
    <t>8320</t>
  </si>
  <si>
    <t>__export__.product_template_24430_fc347198</t>
  </si>
  <si>
    <t>9900</t>
  </si>
  <si>
    <t>მუხლი D720*12 30გრ 1.5D იზოლირებული</t>
  </si>
  <si>
    <t>__export__.product_template_24431_cee7ac21</t>
  </si>
  <si>
    <t>9899</t>
  </si>
  <si>
    <t>მუხლი D720*12 45გრ 1.5D იზოლირებული</t>
  </si>
  <si>
    <t>__export__.product_template_24432_f7e0535b</t>
  </si>
  <si>
    <t>10604</t>
  </si>
  <si>
    <t>მუხლი D720*12 90 გრ 1.5D</t>
  </si>
  <si>
    <t>__export__.product_template_46835_0fc241df</t>
  </si>
  <si>
    <t>1315</t>
  </si>
  <si>
    <t>__export__.product_template_24433_1e7f0d40</t>
  </si>
  <si>
    <t>8321</t>
  </si>
  <si>
    <t>__export__.product_template_24434_531c489c</t>
  </si>
  <si>
    <t>8346</t>
  </si>
  <si>
    <t>__export__.product_template_24435_43c0e16e</t>
  </si>
  <si>
    <t>7510</t>
  </si>
  <si>
    <t>__export__.product_template_24436_58077364</t>
  </si>
  <si>
    <t>8319</t>
  </si>
  <si>
    <t>__export__.product_template_24437_f41c7bde</t>
  </si>
  <si>
    <t>8350</t>
  </si>
  <si>
    <t>__export__.product_template_24438_1aba817f</t>
  </si>
  <si>
    <t>8322</t>
  </si>
  <si>
    <t>__export__.product_template_24439_9bf0e095</t>
  </si>
  <si>
    <t>6161</t>
  </si>
  <si>
    <t>__export__.product_template_24440_8ec15936</t>
  </si>
  <si>
    <t>8333</t>
  </si>
  <si>
    <t>__export__.product_template_24441_64fb2b0a</t>
  </si>
  <si>
    <t>10605</t>
  </si>
  <si>
    <t>მუხლი D820*12 90 გრ 1.5D</t>
  </si>
  <si>
    <t>__export__.product_template_46836_e5c4278b</t>
  </si>
  <si>
    <t>10606</t>
  </si>
  <si>
    <t>მუხლი D820*12 90 გრ 1.5D იზოლირებული</t>
  </si>
  <si>
    <t>__export__.product_template_46837_765e7af4</t>
  </si>
  <si>
    <t>8327</t>
  </si>
  <si>
    <t>__export__.product_template_24442_4ce9cf03</t>
  </si>
  <si>
    <t>9</t>
  </si>
  <si>
    <t>__export__.product_template_24443_91ba4743</t>
  </si>
  <si>
    <t>3493</t>
  </si>
  <si>
    <t>__export__.product_template_24444_7b02bc10</t>
  </si>
  <si>
    <t>6136</t>
  </si>
  <si>
    <t>__export__.product_template_24445_51092cb4</t>
  </si>
  <si>
    <t>8022</t>
  </si>
  <si>
    <t>__export__.product_template_24446_59de1f89</t>
  </si>
  <si>
    <t>9901</t>
  </si>
  <si>
    <t>__export__.product_template_24448_f9f3fd26</t>
  </si>
  <si>
    <t>8439</t>
  </si>
  <si>
    <t>__export__.product_template_24447_cebdfc1f</t>
  </si>
  <si>
    <t>8464</t>
  </si>
  <si>
    <t>__export__.product_template_24449_dc0079b2</t>
  </si>
  <si>
    <t>9845</t>
  </si>
  <si>
    <t>მუხლი თუნუქის D110</t>
  </si>
  <si>
    <t>__export__.product_template_24450_42a2378e</t>
  </si>
  <si>
    <t>10561</t>
  </si>
  <si>
    <t>მუხლი პლ. D20 90გრ. წყლის</t>
  </si>
  <si>
    <t>__export__.product_template_46838_5530b1fe</t>
  </si>
  <si>
    <t>10748</t>
  </si>
  <si>
    <t>მუხლი პლ. D200 90გრ. კანალიზაციის</t>
  </si>
  <si>
    <t>__export__.product_template_62771_9d81cba7</t>
  </si>
  <si>
    <t>10560</t>
  </si>
  <si>
    <t>მუხლი პლ. D25 90გრ. წყლის</t>
  </si>
  <si>
    <t>__export__.product_template_46839_a435d117</t>
  </si>
  <si>
    <t>10551</t>
  </si>
  <si>
    <t>მუხლი პლ. D50 90გრ. კანალიზაციის</t>
  </si>
  <si>
    <t>__export__.product_template_46840_de3b7a30</t>
  </si>
  <si>
    <t>10293</t>
  </si>
  <si>
    <t>მყარი დისკი 1TB</t>
  </si>
  <si>
    <t>__export__.product_template_46841_8b83b989</t>
  </si>
  <si>
    <t>10375</t>
  </si>
  <si>
    <t>მყარი დისკი 2TB</t>
  </si>
  <si>
    <t>__export__.product_template_46842_2a32074a</t>
  </si>
  <si>
    <t>10393</t>
  </si>
  <si>
    <t>მყარი დისკი 4TB</t>
  </si>
  <si>
    <t>__export__.product_template_24452_0f81b260</t>
  </si>
  <si>
    <t>8758</t>
  </si>
  <si>
    <t>3/6 საოფისე ტექნიკა</t>
  </si>
  <si>
    <t>__export__.product_category_4597_f4e30856</t>
  </si>
  <si>
    <t>__export__.product_template_24451_48eda3ee</t>
  </si>
  <si>
    <t>10392</t>
  </si>
  <si>
    <t>__export__.product_template_24453_7b3d5282</t>
  </si>
  <si>
    <t>10912</t>
  </si>
  <si>
    <t>ნაგვის გატანა</t>
  </si>
  <si>
    <t>__export__.product_template_63215_d8479f8f</t>
  </si>
  <si>
    <t>10569</t>
  </si>
  <si>
    <t>ნაგვის ურნა 60-65ლ</t>
  </si>
  <si>
    <t>__export__.product_template_46843_1883b782</t>
  </si>
  <si>
    <t>6002</t>
  </si>
  <si>
    <t>__export__.product_template_24454_1a864953</t>
  </si>
  <si>
    <t>3pcs-12</t>
  </si>
  <si>
    <t>ნაგვის ურნა ნაბორი</t>
  </si>
  <si>
    <t>__export__.product_template_77899_1e0bfb77</t>
  </si>
  <si>
    <t>10950</t>
  </si>
  <si>
    <t>ნაგვის ურნა საოფისე</t>
  </si>
  <si>
    <t>__export__.product_template_63253_01e7790c</t>
  </si>
  <si>
    <t>10649</t>
  </si>
  <si>
    <t>ნაგვის ურნა საფერფლე</t>
  </si>
  <si>
    <t>__export__.product_template_63120_7a984535</t>
  </si>
  <si>
    <t>10990</t>
  </si>
  <si>
    <t>ნათურა 100W</t>
  </si>
  <si>
    <t>__export__.product_template_63293_cbabf8a6</t>
  </si>
  <si>
    <t>10991</t>
  </si>
  <si>
    <t>ნათურა 150W</t>
  </si>
  <si>
    <t>__export__.product_template_63294_a89b404d</t>
  </si>
  <si>
    <t>10992</t>
  </si>
  <si>
    <t>ნათურა დიოდური 12W</t>
  </si>
  <si>
    <t>__export__.product_template_63295_894b4392</t>
  </si>
  <si>
    <t>10993</t>
  </si>
  <si>
    <t>ნათურა დიოდური 15W</t>
  </si>
  <si>
    <t>__export__.product_template_63296_7b0175fb</t>
  </si>
  <si>
    <t>10994</t>
  </si>
  <si>
    <t>ნათურა დიოდური 25W</t>
  </si>
  <si>
    <t>__export__.product_template_63297_a1cea70f</t>
  </si>
  <si>
    <t>10995</t>
  </si>
  <si>
    <t>ნათურა დიოდური 36W</t>
  </si>
  <si>
    <t>__export__.product_template_63298_295a369d</t>
  </si>
  <si>
    <t>10996</t>
  </si>
  <si>
    <t>ნათურა დიოდური 40-45W</t>
  </si>
  <si>
    <t>__export__.product_template_63299_5ae6516a</t>
  </si>
  <si>
    <t>10997</t>
  </si>
  <si>
    <t>ნათურა დიოდური 75W</t>
  </si>
  <si>
    <t>__export__.product_template_63300_99ca449d</t>
  </si>
  <si>
    <t>6024</t>
  </si>
  <si>
    <t>ნათურა ლამპიონის 50W</t>
  </si>
  <si>
    <t>__export__.product_template_24455_838d7d8a</t>
  </si>
  <si>
    <t>6595</t>
  </si>
  <si>
    <t>ნათურა ლამპიონის ეკონომიური</t>
  </si>
  <si>
    <t>__export__.product_template_24456_bc20120b</t>
  </si>
  <si>
    <t>4325</t>
  </si>
  <si>
    <t>__export__.product_template_24457_0cd9e6ab</t>
  </si>
  <si>
    <t>7537</t>
  </si>
  <si>
    <t>__export__.product_template_24458_32352d28</t>
  </si>
  <si>
    <t>3183</t>
  </si>
  <si>
    <t>__export__.product_template_24459_d47fb3db</t>
  </si>
  <si>
    <t>10300</t>
  </si>
  <si>
    <t>3/3 სწორი მონაკვეთი</t>
  </si>
  <si>
    <t>__export__.product_category_4598_0530a055</t>
  </si>
  <si>
    <t>__export__.product_template_24460_aa71724d</t>
  </si>
  <si>
    <t>4344</t>
  </si>
  <si>
    <t>__export__.product_template_24461_6cdca76e</t>
  </si>
  <si>
    <t>8140</t>
  </si>
  <si>
    <t>ნახშირი გააქტიურებული</t>
  </si>
  <si>
    <t>__export__.product_template_24462_fe2e42f8</t>
  </si>
  <si>
    <t>3169</t>
  </si>
  <si>
    <t>__export__.product_template_24463_9aae0b3b</t>
  </si>
  <si>
    <t>9883</t>
  </si>
  <si>
    <t>ნედლი რეზინი 20მმ ტილონარევი</t>
  </si>
  <si>
    <t>__export__.product_template_24464_ad2fd568</t>
  </si>
  <si>
    <t>10379</t>
  </si>
  <si>
    <t>__export__.product_template_24465_9d3ce91a</t>
  </si>
  <si>
    <t>10314</t>
  </si>
  <si>
    <t>ნედლი რეზინი შემჭიდროვებული (არავულკანიზებული) 30მმ</t>
  </si>
  <si>
    <t>__export__.product_template_24466_9ab8e5a2</t>
  </si>
  <si>
    <t>10326</t>
  </si>
  <si>
    <t>__export__.product_template_24467_725d3594</t>
  </si>
  <si>
    <t>10316</t>
  </si>
  <si>
    <t>ნედლი რეზინი შემჭიდროვებული (არავულკანიზებული) 60მმ</t>
  </si>
  <si>
    <t>__export__.product_template_24468_d0ced278</t>
  </si>
  <si>
    <t>9965</t>
  </si>
  <si>
    <t>ნემსა ვენტილი DN15 PN40 შიდა ხრახნით</t>
  </si>
  <si>
    <t>2/5 ნემსა ვენტილი</t>
  </si>
  <si>
    <t>__export__.product_category_4600_d4c7d6c1</t>
  </si>
  <si>
    <t>__export__.product_template_24469_93d0dc1f</t>
  </si>
  <si>
    <t>7464</t>
  </si>
  <si>
    <t>__export__.product_template_24471_19a0cfee</t>
  </si>
  <si>
    <t>3046</t>
  </si>
  <si>
    <t>__export__.product_template_24470_d1db4656</t>
  </si>
  <si>
    <t>8189</t>
  </si>
  <si>
    <t>__export__.product_template_24472_d0bd0623</t>
  </si>
  <si>
    <t>4502</t>
  </si>
  <si>
    <t>3/1 ხელსაწყო 1620</t>
  </si>
  <si>
    <t>__export__.product_category_4747_550e9639</t>
  </si>
  <si>
    <t>__export__.product_template_24473_bed9c4e1</t>
  </si>
  <si>
    <t>6556</t>
  </si>
  <si>
    <t>__export__.product_template_24474_0eb4dbfa</t>
  </si>
  <si>
    <t>8139</t>
  </si>
  <si>
    <t>__export__.product_template_24475_e2016f28</t>
  </si>
  <si>
    <t>9978</t>
  </si>
  <si>
    <t>ნიპელი უჟანგავი</t>
  </si>
  <si>
    <t>__export__.product_template_24476_c9ef87ba</t>
  </si>
  <si>
    <t>9980</t>
  </si>
  <si>
    <t>ნიპელის გადამყვანი უჟანგავი</t>
  </si>
  <si>
    <t>__export__.product_template_24477_b3685558</t>
  </si>
  <si>
    <t>9082</t>
  </si>
  <si>
    <t>__export__.product_template_24478_a589005f</t>
  </si>
  <si>
    <t>9979</t>
  </si>
  <si>
    <t>ნიპელის მიმქაჩი უჟანგავი</t>
  </si>
  <si>
    <t>__export__.product_template_24479_a903b310</t>
  </si>
  <si>
    <t>10563</t>
  </si>
  <si>
    <t>ნიჟარა სამზარეულოს 2 ავზიანი</t>
  </si>
  <si>
    <t>__export__.product_template_46844_93451e6b</t>
  </si>
  <si>
    <t>10879</t>
  </si>
  <si>
    <t>ნიშნულების დამზადება</t>
  </si>
  <si>
    <t>2/12/2 მომსახურება</t>
  </si>
  <si>
    <t>__export__.product_category_4691_36d4a033</t>
  </si>
  <si>
    <t>__export__.product_template_63182_d5447529</t>
  </si>
  <si>
    <t>8618</t>
  </si>
  <si>
    <t>ნიშნულების დაფა პორტატული 1000*500</t>
  </si>
  <si>
    <t>__export__.product_template_24480_2098bfed</t>
  </si>
  <si>
    <t>6417</t>
  </si>
  <si>
    <t>ნიშნულების ლითონის ფურცელი 140*165</t>
  </si>
  <si>
    <t>__export__.product_template_24481_e63a4d77</t>
  </si>
  <si>
    <t>3120</t>
  </si>
  <si>
    <t>__export__.product_template_24482_fc8d9742</t>
  </si>
  <si>
    <t>10362</t>
  </si>
  <si>
    <t>ნოუთბუქი (ლეპტოპი) გაძლიერებული</t>
  </si>
  <si>
    <t>__export__.product_template_24483_52ef6731</t>
  </si>
  <si>
    <t>8317</t>
  </si>
  <si>
    <t>__export__.product_template_24484_337a539e</t>
  </si>
  <si>
    <t>3312</t>
  </si>
  <si>
    <t>__export__.product_template_24485_554ea9c7</t>
  </si>
  <si>
    <t>9930</t>
  </si>
  <si>
    <t>ოდორანტის გადასაქაჩი მოწყობილობა მრიცხველით</t>
  </si>
  <si>
    <t>__export__.product_template_24486_e565fc54</t>
  </si>
  <si>
    <t>8494</t>
  </si>
  <si>
    <t>__export__.product_template_24487_756903fc</t>
  </si>
  <si>
    <t>9803</t>
  </si>
  <si>
    <t>ოდორანტის დონის მაჩვენებლის თავსახური</t>
  </si>
  <si>
    <t>__export__.product_template_24488_84eaea79</t>
  </si>
  <si>
    <t>9272</t>
  </si>
  <si>
    <t>__export__.product_template_24489_fd19f95a</t>
  </si>
  <si>
    <t>9917</t>
  </si>
  <si>
    <t>ოდორანტის დონის მზომი ელექტრო გადამწონი</t>
  </si>
  <si>
    <t>__export__.product_template_24490_e6e93758</t>
  </si>
  <si>
    <t>9808</t>
  </si>
  <si>
    <t>__export__.product_template_24491_5584dbb3</t>
  </si>
  <si>
    <t>8549</t>
  </si>
  <si>
    <t>__export__.product_template_24492_c1679e91</t>
  </si>
  <si>
    <t>8145</t>
  </si>
  <si>
    <t>ოდორანტის სუნის გასანეიტრალებელი ფხვნილი</t>
  </si>
  <si>
    <t>__export__.product_template_24494_4760265a</t>
  </si>
  <si>
    <t>8144</t>
  </si>
  <si>
    <t>ოდორანტის სუნის გასანეიტრალებელი ხსნარი</t>
  </si>
  <si>
    <t>__export__.product_template_24495_837d8930</t>
  </si>
  <si>
    <t>10626</t>
  </si>
  <si>
    <t>ოდორიზატორი ნამზ.</t>
  </si>
  <si>
    <t>__export__.product_template_63141_e35431d6</t>
  </si>
  <si>
    <t>10132</t>
  </si>
  <si>
    <t>__export__.product_template_24496_3e8fd8ec</t>
  </si>
  <si>
    <t>10133</t>
  </si>
  <si>
    <t>__export__.product_template_24497_d61adf80</t>
  </si>
  <si>
    <t>8391</t>
  </si>
  <si>
    <t>__export__.product_template_24498_c51dc258</t>
  </si>
  <si>
    <t>9423</t>
  </si>
  <si>
    <t>__export__.product_template_24499_7b23e690</t>
  </si>
  <si>
    <t>9403</t>
  </si>
  <si>
    <t>__export__.product_template_24500_5cfde56e</t>
  </si>
  <si>
    <t>9913</t>
  </si>
  <si>
    <t>3/6 მოწყობილობის მაკომპლექტებელი 2197</t>
  </si>
  <si>
    <t>__export__.product_category_4740_91f174c4</t>
  </si>
  <si>
    <t>__export__.product_template_24501_492508f7</t>
  </si>
  <si>
    <t>9914</t>
  </si>
  <si>
    <t>__export__.product_template_24502_c67b6675</t>
  </si>
  <si>
    <t>7647</t>
  </si>
  <si>
    <t>ოდორიზაციის ავტომატური სისტემა</t>
  </si>
  <si>
    <t>3/1 ოდორიზაციის ავტომატური სისტემა</t>
  </si>
  <si>
    <t>__export__.product_category_4605_f313aebd</t>
  </si>
  <si>
    <t>__export__.product_template_24503_1a449d42</t>
  </si>
  <si>
    <t>10633</t>
  </si>
  <si>
    <t>ოდორიზაციის ბარბოტაჟული სისტემა</t>
  </si>
  <si>
    <t>__export__.product_template_47718_7f75c515</t>
  </si>
  <si>
    <t>9047</t>
  </si>
  <si>
    <t>__export__.product_template_24504_43d923c6</t>
  </si>
  <si>
    <t>3108</t>
  </si>
  <si>
    <t>ოლიფა</t>
  </si>
  <si>
    <t>__export__.product_template_24505_8573a587</t>
  </si>
  <si>
    <t>10804</t>
  </si>
  <si>
    <t>ონკანების შესაპოხი მოწყობილობის ღილაკ-თავის შემაერთებელი</t>
  </si>
  <si>
    <t>__export__.product_template_62772_811d20d7</t>
  </si>
  <si>
    <t>1661</t>
  </si>
  <si>
    <t>3/3 ამოსაღები 2197</t>
  </si>
  <si>
    <t>__export__.product_category_4729_8ed6ab72</t>
  </si>
  <si>
    <t>__export__.product_template_24506_002253d0</t>
  </si>
  <si>
    <t>6520</t>
  </si>
  <si>
    <t>3/3 ამოსაღები</t>
  </si>
  <si>
    <t>__export__.product_category_4607_7f4d963d</t>
  </si>
  <si>
    <t>__export__.product_template_24507_fc0cf28a</t>
  </si>
  <si>
    <t>10553</t>
  </si>
  <si>
    <t>ონკანი პლ. D50</t>
  </si>
  <si>
    <t>__export__.product_template_46845_adcc89ca</t>
  </si>
  <si>
    <t>1055</t>
  </si>
  <si>
    <t>__export__.product_template_24508_4ef15d06</t>
  </si>
  <si>
    <t>3566</t>
  </si>
  <si>
    <t>__export__.product_template_24509_353deaa3</t>
  </si>
  <si>
    <t>11005</t>
  </si>
  <si>
    <t>ონკანი შემრევი საყოფაცხოვრებო დასადგამი</t>
  </si>
  <si>
    <t>__export__.product_template_63308_a0d6977c</t>
  </si>
  <si>
    <t>10222</t>
  </si>
  <si>
    <t>ონკანის შესაპოხი არხების გამწმენდი საშუალება</t>
  </si>
  <si>
    <t>__export__.product_template_24510_4c6974be</t>
  </si>
  <si>
    <t>10426</t>
  </si>
  <si>
    <t>ონკანის შესაპოხი არხების გამწმენდი სითხის ფეხის ტუმბო</t>
  </si>
  <si>
    <t>__export__.product_template_24511_b5ee1c1e</t>
  </si>
  <si>
    <t>10803</t>
  </si>
  <si>
    <t>ონკანის შესაპოხი მოწყობილობა</t>
  </si>
  <si>
    <t>__export__.product_template_62773_5d4fc645</t>
  </si>
  <si>
    <t>7658</t>
  </si>
  <si>
    <t>ონკანის შესაპოხი მოწყობილობა ვაშტაში</t>
  </si>
  <si>
    <t>__export__.product_template_24512_3d090986</t>
  </si>
  <si>
    <t>8733</t>
  </si>
  <si>
    <t>ონკანის შესაპოხი მოწყობილობა ტიაჟპრომარმატურის</t>
  </si>
  <si>
    <t>__export__.product_template_24513_6c1b2f41</t>
  </si>
  <si>
    <t>3621</t>
  </si>
  <si>
    <t>__export__.product_template_24514_9accd1f2</t>
  </si>
  <si>
    <t>7889</t>
  </si>
  <si>
    <t>ონკანის შესაპოხი შპრიცის გადამყვანი ნამზ.</t>
  </si>
  <si>
    <t>__export__.product_template_24515_69610d25</t>
  </si>
  <si>
    <t>10441</t>
  </si>
  <si>
    <t>__export__.product_template_24516_96cf5f5a</t>
  </si>
  <si>
    <t>7888</t>
  </si>
  <si>
    <t>ონკანის შესაპოხი შპრიცის ხუფი</t>
  </si>
  <si>
    <t>__export__.product_template_24517_62c51ef7</t>
  </si>
  <si>
    <t>10068</t>
  </si>
  <si>
    <t>ონკანის შესაპოხის გადამყვანი გარე კონუსური ხრახნი G-1 შიდა ხრახნი G3/4 ნამზ.</t>
  </si>
  <si>
    <t>__export__.product_template_24518_d4c3cc29</t>
  </si>
  <si>
    <t>10574</t>
  </si>
  <si>
    <t>ონკანის შესპოხი შპრიცი უნივერსალური</t>
  </si>
  <si>
    <t>__export__.product_template_46846_39adb327</t>
  </si>
  <si>
    <t>10951</t>
  </si>
  <si>
    <t>ორგანაიზერი</t>
  </si>
  <si>
    <t>__export__.product_template_63254_717206ba</t>
  </si>
  <si>
    <t>10506</t>
  </si>
  <si>
    <t>__export__.product_template_46847_e504e98b</t>
  </si>
  <si>
    <t>10874</t>
  </si>
  <si>
    <t>ოფისის დაცვა</t>
  </si>
  <si>
    <t>2/12/8 დაცვა</t>
  </si>
  <si>
    <t>__export__.product_category_4689_a9d1927d</t>
  </si>
  <si>
    <t>__export__.product_template_63177_873d85b4</t>
  </si>
  <si>
    <t>10873</t>
  </si>
  <si>
    <t>ოფისის ტექნიკური მომსახურება ზოგადი</t>
  </si>
  <si>
    <t>__export__.product_template_63176_50fea9f7</t>
  </si>
  <si>
    <t>6234</t>
  </si>
  <si>
    <t>__export__.product_template_24519_5a3beeb4</t>
  </si>
  <si>
    <t>9219</t>
  </si>
  <si>
    <t>პანელური კონსტრუქცია კარი 2000*1000 კომპლ.</t>
  </si>
  <si>
    <t>__export__.product_template_24520_2cac9f60</t>
  </si>
  <si>
    <t>7892</t>
  </si>
  <si>
    <t>პანელური კონსტრუქცია ღობე 2000*1000 კომპლ.</t>
  </si>
  <si>
    <t>__export__.product_template_24521_47b3fdf5</t>
  </si>
  <si>
    <t>7891</t>
  </si>
  <si>
    <t>პანელური კონსტრუქცია ღობე 2000*2000 კომპლ.</t>
  </si>
  <si>
    <t>__export__.product_template_24522_12dadc51</t>
  </si>
  <si>
    <t>9217</t>
  </si>
  <si>
    <t>__export__.product_template_24523_c08261a6</t>
  </si>
  <si>
    <t>11021</t>
  </si>
  <si>
    <t xml:space="preserve">პარკი დიდი </t>
  </si>
  <si>
    <t>__export__.product_template_63324_a9c6bb29</t>
  </si>
  <si>
    <t>11022</t>
  </si>
  <si>
    <t>პატარა პარკი</t>
  </si>
  <si>
    <t>__export__.product_template_63325_c9f13781</t>
  </si>
  <si>
    <t>9283</t>
  </si>
  <si>
    <t>პაჩპანელის დამსმელი</t>
  </si>
  <si>
    <t>__export__.product_template_24524_587d8749</t>
  </si>
  <si>
    <t>5247</t>
  </si>
  <si>
    <t>__export__.product_template_24525_b79a2358</t>
  </si>
  <si>
    <t>8165</t>
  </si>
  <si>
    <t>__export__.product_template_24526_c38fefa3</t>
  </si>
  <si>
    <t>8547</t>
  </si>
  <si>
    <t>__export__.product_template_24527_d17c8c72</t>
  </si>
  <si>
    <t>7791</t>
  </si>
  <si>
    <t>__export__.product_template_24528_2f7750c8</t>
  </si>
  <si>
    <t>4593</t>
  </si>
  <si>
    <t>__export__.product_template_24529_cf45c6c4</t>
  </si>
  <si>
    <t>4592</t>
  </si>
  <si>
    <t>__export__.product_template_24530_3dfb271b</t>
  </si>
  <si>
    <t>10064</t>
  </si>
  <si>
    <t>პინ ბრაიზინგის ტყვიები 8მმ</t>
  </si>
  <si>
    <t>__export__.product_template_24531_48567786</t>
  </si>
  <si>
    <t>10065</t>
  </si>
  <si>
    <t>პინ ბრაიზინგის ტყვიების კერამიკული რგოლები 8მმ</t>
  </si>
  <si>
    <t>__export__.product_template_24532_147d3e6a</t>
  </si>
  <si>
    <t>6397</t>
  </si>
  <si>
    <t>__export__.product_template_24533_a7b57539</t>
  </si>
  <si>
    <t>7816</t>
  </si>
  <si>
    <t>__export__.product_template_24534_9b480098</t>
  </si>
  <si>
    <t>7778</t>
  </si>
  <si>
    <t>__export__.product_template_24535_edaf5989</t>
  </si>
  <si>
    <t>6527</t>
  </si>
  <si>
    <t>__export__.product_template_24536_651d842e</t>
  </si>
  <si>
    <t>8409</t>
  </si>
  <si>
    <t>__export__.product_template_24537_4a403eb7</t>
  </si>
  <si>
    <t>6526</t>
  </si>
  <si>
    <t>__export__.product_template_24538_9f7144ad</t>
  </si>
  <si>
    <t>6592</t>
  </si>
  <si>
    <t>__export__.product_template_24539_9ffc03a1</t>
  </si>
  <si>
    <t>6524</t>
  </si>
  <si>
    <t>__export__.product_template_24540_0a92a8f9</t>
  </si>
  <si>
    <t>7782</t>
  </si>
  <si>
    <t>__export__.product_template_24541_5cb345aa</t>
  </si>
  <si>
    <t>7781</t>
  </si>
  <si>
    <t>__export__.product_template_24542_90b1b567</t>
  </si>
  <si>
    <t>6400</t>
  </si>
  <si>
    <t>__export__.product_template_24543_675ef00e</t>
  </si>
  <si>
    <t>6530</t>
  </si>
  <si>
    <t>__export__.product_template_24544_c9a6142a</t>
  </si>
  <si>
    <t>6529</t>
  </si>
  <si>
    <t>__export__.product_template_24545_73888e1a</t>
  </si>
  <si>
    <t>6617</t>
  </si>
  <si>
    <t>__export__.product_template_24546_762517a0</t>
  </si>
  <si>
    <t>6593</t>
  </si>
  <si>
    <t>__export__.product_template_24547_3f4f1b15</t>
  </si>
  <si>
    <t>6045</t>
  </si>
  <si>
    <t>__export__.product_template_24548_0a3e8576</t>
  </si>
  <si>
    <t>3679</t>
  </si>
  <si>
    <t>პლ. ვენტილი D15 წყლის</t>
  </si>
  <si>
    <t>__export__.product_template_24549_8401f0d5</t>
  </si>
  <si>
    <t>6217</t>
  </si>
  <si>
    <t>პლ. ვენტილი D20 წყლის</t>
  </si>
  <si>
    <t>__export__.product_template_24550_fc2cb579</t>
  </si>
  <si>
    <t>8860</t>
  </si>
  <si>
    <t>პლ. ვენტილი D25 წყლის</t>
  </si>
  <si>
    <t>__export__.product_template_24551_8d1ff44d</t>
  </si>
  <si>
    <t>5836</t>
  </si>
  <si>
    <t>__export__.product_template_24552_136b62d6</t>
  </si>
  <si>
    <t>6422</t>
  </si>
  <si>
    <t>__export__.product_template_24553_c2104d07</t>
  </si>
  <si>
    <t>6235</t>
  </si>
  <si>
    <t>__export__.product_template_24554_721c58bc</t>
  </si>
  <si>
    <t>5875</t>
  </si>
  <si>
    <t>__export__.product_template_24555_5d1e5a7e</t>
  </si>
  <si>
    <t>5209</t>
  </si>
  <si>
    <t>__export__.product_template_24556_7fb5a8db</t>
  </si>
  <si>
    <t>7764</t>
  </si>
  <si>
    <t>__export__.product_template_24557_c790d9b3</t>
  </si>
  <si>
    <t>6454</t>
  </si>
  <si>
    <t>__export__.product_template_24558_b070d38d</t>
  </si>
  <si>
    <t>8859</t>
  </si>
  <si>
    <t>__export__.product_template_24559_27f5a4ad</t>
  </si>
  <si>
    <t>5926</t>
  </si>
  <si>
    <t>__export__.product_template_24560_9626450b</t>
  </si>
  <si>
    <t>6219</t>
  </si>
  <si>
    <t>__export__.product_template_24561_452d08fb</t>
  </si>
  <si>
    <t>8032</t>
  </si>
  <si>
    <t>__export__.product_template_24562_3148c3ff</t>
  </si>
  <si>
    <t>6621</t>
  </si>
  <si>
    <t>__export__.product_template_24563_ec0b1f50</t>
  </si>
  <si>
    <t>6881</t>
  </si>
  <si>
    <t>__export__.product_template_24564_c4e0103c</t>
  </si>
  <si>
    <t>6622</t>
  </si>
  <si>
    <t>__export__.product_template_24565_f23126a3</t>
  </si>
  <si>
    <t>6421</t>
  </si>
  <si>
    <t>__export__.product_template_24566_f30e0709</t>
  </si>
  <si>
    <t>8352</t>
  </si>
  <si>
    <t>პლ. მილი D15 წყლის</t>
  </si>
  <si>
    <t>__export__.product_template_24567_8505fb56</t>
  </si>
  <si>
    <t>6369</t>
  </si>
  <si>
    <t>პლ. მილი D20 წყლის</t>
  </si>
  <si>
    <t>__export__.product_template_24568_6ebd1bd7</t>
  </si>
  <si>
    <t>6633</t>
  </si>
  <si>
    <t>__export__.product_template_24569_cb675ce1</t>
  </si>
  <si>
    <t>4073</t>
  </si>
  <si>
    <t>__export__.product_template_24570_18d05cca</t>
  </si>
  <si>
    <t>3852</t>
  </si>
  <si>
    <t>პლ. მუხლი  D15</t>
  </si>
  <si>
    <t>__export__.product_template_24571_8585d4cc</t>
  </si>
  <si>
    <t>6365</t>
  </si>
  <si>
    <t>პლ. მუხლი D110</t>
  </si>
  <si>
    <t>__export__.product_template_24572_10833004</t>
  </si>
  <si>
    <t>5835</t>
  </si>
  <si>
    <t>პლ. მუხლი D110 45გ</t>
  </si>
  <si>
    <t>__export__.product_template_24573_8a2860a8</t>
  </si>
  <si>
    <t>9390</t>
  </si>
  <si>
    <t>პლ. მუხლი D110 ელ. ფუზიური PE100</t>
  </si>
  <si>
    <t>__export__.product_template_24574_9ede7496</t>
  </si>
  <si>
    <t>9389</t>
  </si>
  <si>
    <t>პლ. მუხლი D125 ელ. ფუზიური PE100</t>
  </si>
  <si>
    <t>__export__.product_template_24575_4dc3b8c7</t>
  </si>
  <si>
    <t>8038</t>
  </si>
  <si>
    <t>__export__.product_template_24576_c1e6e75a</t>
  </si>
  <si>
    <t>6625</t>
  </si>
  <si>
    <t>პლ. მუხლი D160 ელ. ფუზიური</t>
  </si>
  <si>
    <t>__export__.product_template_24577_27e40d35</t>
  </si>
  <si>
    <t>8112</t>
  </si>
  <si>
    <t>პლ. მუხლი D20</t>
  </si>
  <si>
    <t>__export__.product_template_24578_9f0df88f</t>
  </si>
  <si>
    <t>6424</t>
  </si>
  <si>
    <t>__export__.product_template_24579_3f276b86</t>
  </si>
  <si>
    <t>5013</t>
  </si>
  <si>
    <t>__export__.product_template_24580_2df954ff</t>
  </si>
  <si>
    <t>6627</t>
  </si>
  <si>
    <t>__export__.product_template_24581_62845958</t>
  </si>
  <si>
    <t>6626</t>
  </si>
  <si>
    <t>__export__.product_template_24582_172c70f5</t>
  </si>
  <si>
    <t>6396</t>
  </si>
  <si>
    <t>__export__.product_template_24583_796a01cf</t>
  </si>
  <si>
    <t>6034</t>
  </si>
  <si>
    <t>__export__.product_template_24584_eb018477</t>
  </si>
  <si>
    <t>7525</t>
  </si>
  <si>
    <t>პლ. სამკაპი D15</t>
  </si>
  <si>
    <t>__export__.product_template_24585_6d8f301b</t>
  </si>
  <si>
    <t>5014</t>
  </si>
  <si>
    <t>__export__.product_template_24586_77c8e513</t>
  </si>
  <si>
    <t>6631</t>
  </si>
  <si>
    <t>__export__.product_template_24587_bcef759d</t>
  </si>
  <si>
    <t>6549</t>
  </si>
  <si>
    <t>__export__.product_template_24588_34660cdb</t>
  </si>
  <si>
    <t>6629</t>
  </si>
  <si>
    <t>__export__.product_template_24589_7fda841c</t>
  </si>
  <si>
    <t>6532</t>
  </si>
  <si>
    <t>__export__.product_template_24590_0dc3eb16</t>
  </si>
  <si>
    <t>6630</t>
  </si>
  <si>
    <t>__export__.product_template_24591_a9d18e90</t>
  </si>
  <si>
    <t>7771</t>
  </si>
  <si>
    <t>__export__.product_template_24592_3e4a78fb</t>
  </si>
  <si>
    <t>6534</t>
  </si>
  <si>
    <t>__export__.product_template_24593_a4715d68</t>
  </si>
  <si>
    <t>7775</t>
  </si>
  <si>
    <t>__export__.product_template_24594_5d644a43</t>
  </si>
  <si>
    <t>7759</t>
  </si>
  <si>
    <t>__export__.product_template_24595_81d77908</t>
  </si>
  <si>
    <t>6536</t>
  </si>
  <si>
    <t>__export__.product_template_24596_f63591a2</t>
  </si>
  <si>
    <t>6540</t>
  </si>
  <si>
    <t>__export__.product_template_24597_8ff2d99a</t>
  </si>
  <si>
    <t>6537</t>
  </si>
  <si>
    <t>__export__.product_template_24598_6a0d6888</t>
  </si>
  <si>
    <t>6535</t>
  </si>
  <si>
    <t>__export__.product_template_24599_f44e9bc8</t>
  </si>
  <si>
    <t>7774</t>
  </si>
  <si>
    <t>__export__.product_template_24600_f40e9ac3</t>
  </si>
  <si>
    <t>7773</t>
  </si>
  <si>
    <t>__export__.product_template_24601_e2f1c6b9</t>
  </si>
  <si>
    <t>6544</t>
  </si>
  <si>
    <t>__export__.product_template_24602_37e4de95</t>
  </si>
  <si>
    <t>7784</t>
  </si>
  <si>
    <t>__export__.product_template_24603_48ee65fd</t>
  </si>
  <si>
    <t>9388</t>
  </si>
  <si>
    <t>პლ. ქურო 125 ელ. ფუზიური PE100</t>
  </si>
  <si>
    <t>__export__.product_template_24604_75bd2ad4</t>
  </si>
  <si>
    <t>8037</t>
  </si>
  <si>
    <t>__export__.product_template_24605_f04dfa9a</t>
  </si>
  <si>
    <t>6635</t>
  </si>
  <si>
    <t>პლ. ქურო 160 P16 ელ. ფუზიური</t>
  </si>
  <si>
    <t>__export__.product_template_24606_53797401</t>
  </si>
  <si>
    <t>6542</t>
  </si>
  <si>
    <t>__export__.product_template_24607_6c699da6</t>
  </si>
  <si>
    <t>7783</t>
  </si>
  <si>
    <t>__export__.product_template_24608_519ec67e</t>
  </si>
  <si>
    <t>5937</t>
  </si>
  <si>
    <t>__export__.product_template_24609_65e04a94</t>
  </si>
  <si>
    <t>5015</t>
  </si>
  <si>
    <t>__export__.product_template_24610_5e6e8c49</t>
  </si>
  <si>
    <t>6548</t>
  </si>
  <si>
    <t>__export__.product_template_24611_544935c4</t>
  </si>
  <si>
    <t>8408</t>
  </si>
  <si>
    <t>__export__.product_template_24612_e57aa51a</t>
  </si>
  <si>
    <t>8407</t>
  </si>
  <si>
    <t>__export__.product_template_24613_e11cf2a7</t>
  </si>
  <si>
    <t>6546</t>
  </si>
  <si>
    <t>__export__.product_template_24614_f7a557f3</t>
  </si>
  <si>
    <t>6545</t>
  </si>
  <si>
    <t>__export__.product_template_24615_31bbe14b</t>
  </si>
  <si>
    <t>10500</t>
  </si>
  <si>
    <t>პლაზმური ჭრის დანადგარი მაგიდით</t>
  </si>
  <si>
    <t>3/1 მოწყობილობა სახარატო</t>
  </si>
  <si>
    <t>__export__.product_category_4610_113654a4</t>
  </si>
  <si>
    <t>__export__.product_template_46848_ce525c89</t>
  </si>
  <si>
    <t>10084</t>
  </si>
  <si>
    <t>პლანშეტური კომპიუტერი</t>
  </si>
  <si>
    <t>__export__.product_template_24616_b2553924</t>
  </si>
  <si>
    <t>3749</t>
  </si>
  <si>
    <t>__export__.product_template_24617_f0497565</t>
  </si>
  <si>
    <t>9424</t>
  </si>
  <si>
    <t>__export__.product_template_24618_9e9b80bc</t>
  </si>
  <si>
    <t>7690</t>
  </si>
  <si>
    <t>პნევმო მართვის პულტი ელექტრო</t>
  </si>
  <si>
    <t>__export__.product_template_24619_b1c6b1ca</t>
  </si>
  <si>
    <t>5923</t>
  </si>
  <si>
    <t>__export__.product_template_24620_a2e4a145</t>
  </si>
  <si>
    <t>10440</t>
  </si>
  <si>
    <t>პრესჰილზა</t>
  </si>
  <si>
    <t>__export__.product_template_46849_fc50da23</t>
  </si>
  <si>
    <t>10378</t>
  </si>
  <si>
    <t>3/2 პრინტერი</t>
  </si>
  <si>
    <t>__export__.product_category_4612_bbd6540e</t>
  </si>
  <si>
    <t>__export__.product_template_46850_0ffa567f</t>
  </si>
  <si>
    <t>8846</t>
  </si>
  <si>
    <t>__export__.product_template_46851_cda1c533</t>
  </si>
  <si>
    <t>10087</t>
  </si>
  <si>
    <t>პრინტერი მრავალფუნქციური-ფერადი A3 ფორმატის</t>
  </si>
  <si>
    <t>__export__.product_template_46852_0447fdd0</t>
  </si>
  <si>
    <t>10086</t>
  </si>
  <si>
    <t>__export__.product_template_46853_c770dce3</t>
  </si>
  <si>
    <t>10986</t>
  </si>
  <si>
    <t>პრინტერის კარტრიჯი</t>
  </si>
  <si>
    <t>__export__.product_template_63289_9b205b4e</t>
  </si>
  <si>
    <t>10543</t>
  </si>
  <si>
    <t>პროგრამული უზრუნველყოფა ზოგადი</t>
  </si>
  <si>
    <t>__export__.product_template_46854_1685d343</t>
  </si>
  <si>
    <t>8724</t>
  </si>
  <si>
    <t>პროექტორი</t>
  </si>
  <si>
    <t>3/2 საოფისე ტექნიკა 2197</t>
  </si>
  <si>
    <t>__export__.product_category_4748_fe7242f9</t>
  </si>
  <si>
    <t>__export__.product_template_46855_266b94df</t>
  </si>
  <si>
    <t>10449</t>
  </si>
  <si>
    <t>პროტექტორული დაცვის მოწყობილობა</t>
  </si>
  <si>
    <t>__export__.product_template_46856_f123d805</t>
  </si>
  <si>
    <t>10097</t>
  </si>
  <si>
    <t>პროფილი კუთხოვანა რკინის 3მ</t>
  </si>
  <si>
    <t>__export__.product_template_46857_e3dc8925</t>
  </si>
  <si>
    <t>6015</t>
  </si>
  <si>
    <t>__export__.product_template_46858_e6e37477</t>
  </si>
  <si>
    <t>3010</t>
  </si>
  <si>
    <t>__export__.product_template_46859_1c9398d9</t>
  </si>
  <si>
    <t>7711</t>
  </si>
  <si>
    <t>__export__.product_template_46860_21b66787</t>
  </si>
  <si>
    <t>5073</t>
  </si>
  <si>
    <t>__export__.product_template_46861_7965bdd4</t>
  </si>
  <si>
    <t>10485</t>
  </si>
  <si>
    <t>ჟანგბადის ბალონის რედუქტორის გადამყვანი ნამზ.</t>
  </si>
  <si>
    <t>__export__.product_template_46862_7ad29361</t>
  </si>
  <si>
    <t>7521</t>
  </si>
  <si>
    <t>ჟანგის მოსაცილებელი ანტიკოროზიული სითხე 1ლ.</t>
  </si>
  <si>
    <t>__export__.product_template_46863_1054f401</t>
  </si>
  <si>
    <t>10712</t>
  </si>
  <si>
    <t>ჟანგის მოსაცილებელი ლაზერული მოწყობილობა 200/300 ვტ.</t>
  </si>
  <si>
    <t>__export__.product_template_62774_98308c60</t>
  </si>
  <si>
    <t>3584</t>
  </si>
  <si>
    <t>__export__.product_template_46864_feb30edd</t>
  </si>
  <si>
    <t>10650</t>
  </si>
  <si>
    <t>რადარი მიწისქვეშა კომუნიკაციების ყველგანმავალი</t>
  </si>
  <si>
    <t>__export__.product_template_63121_f15616c2</t>
  </si>
  <si>
    <t>11023</t>
  </si>
  <si>
    <t>რაქშა</t>
  </si>
  <si>
    <t>__export__.product_template_63326_e5cfd95d</t>
  </si>
  <si>
    <t>10765</t>
  </si>
  <si>
    <t>რაცია</t>
  </si>
  <si>
    <t>__export__.product_template_62775_4c2b948e</t>
  </si>
  <si>
    <t>10840</t>
  </si>
  <si>
    <t>რგოლი D6 L-PROG მეტალის</t>
  </si>
  <si>
    <t>__export__.product_template_63106_514d972b</t>
  </si>
  <si>
    <t>8835</t>
  </si>
  <si>
    <t>რეგულატორი D100 მ/წნ კომპლ.</t>
  </si>
  <si>
    <t>3/3 რეგულატორი</t>
  </si>
  <si>
    <t>__export__.product_category_4613_c593223b</t>
  </si>
  <si>
    <t>__export__.product_template_46865_7380933a</t>
  </si>
  <si>
    <t>8384</t>
  </si>
  <si>
    <t>რეგულატორი D150 მ/წნ კომპლ.</t>
  </si>
  <si>
    <t>__export__.product_template_46866_34e10b9d</t>
  </si>
  <si>
    <t>8385</t>
  </si>
  <si>
    <t>რეგულატორი D200 მ/წნ კომპლ.</t>
  </si>
  <si>
    <t>__export__.product_template_46867_34cf17b7</t>
  </si>
  <si>
    <t>4040</t>
  </si>
  <si>
    <t>__export__.product_template_46868_9201d378</t>
  </si>
  <si>
    <t>8775</t>
  </si>
  <si>
    <t>__export__.product_template_46869_5f49eeef</t>
  </si>
  <si>
    <t>647</t>
  </si>
  <si>
    <t>__export__.product_template_46870_11c90a40</t>
  </si>
  <si>
    <t>8834</t>
  </si>
  <si>
    <t>__export__.product_template_46871_3e7dc0b9</t>
  </si>
  <si>
    <t>6293</t>
  </si>
  <si>
    <t>__export__.product_template_46872_c293e845</t>
  </si>
  <si>
    <t>5398</t>
  </si>
  <si>
    <t>__export__.product_template_46873_aa959f50</t>
  </si>
  <si>
    <t>5407</t>
  </si>
  <si>
    <t>__export__.product_template_46874_f0f1a934</t>
  </si>
  <si>
    <t>10282</t>
  </si>
  <si>
    <t>რეგულატორი DN25 Class 300</t>
  </si>
  <si>
    <t>__export__.product_template_46875_fa5bb446</t>
  </si>
  <si>
    <t>10184</t>
  </si>
  <si>
    <t>__export__.product_template_46876_3cd0df4e</t>
  </si>
  <si>
    <t>4237</t>
  </si>
  <si>
    <t>__export__.product_template_46877_e91b67a1</t>
  </si>
  <si>
    <t>4364</t>
  </si>
  <si>
    <t>__export__.product_template_46878_2f4d0d48</t>
  </si>
  <si>
    <t>6238</t>
  </si>
  <si>
    <t>რეგულატორი GSR-10</t>
  </si>
  <si>
    <t>3/3 საყოფაცხოვრებო ტექნიკა</t>
  </si>
  <si>
    <t>__export__.product_category_4614_821b50fa</t>
  </si>
  <si>
    <t>__export__.product_template_46879_317d9058</t>
  </si>
  <si>
    <t>6243</t>
  </si>
  <si>
    <t>რეგულატორი GSR-25</t>
  </si>
  <si>
    <t>__export__.product_template_46880_c8f80d96</t>
  </si>
  <si>
    <t>7765</t>
  </si>
  <si>
    <t>რეგულატორი M2R 75L</t>
  </si>
  <si>
    <t>__export__.product_template_46881_5ec65c4d</t>
  </si>
  <si>
    <t>5488</t>
  </si>
  <si>
    <t>რეგულატორი პრეციზიული</t>
  </si>
  <si>
    <t>2/5 რეგულატორი</t>
  </si>
  <si>
    <t>__export__.product_category_4615_9afc06c9</t>
  </si>
  <si>
    <t>__export__.product_template_46882_702cedaf</t>
  </si>
  <si>
    <t>13546</t>
  </si>
  <si>
    <t xml:space="preserve">რეგულატორის ღერძული ჩამკეტი DN100 აქსიალი  </t>
  </si>
  <si>
    <t>__export__.product_template_77886_a17fa4ac</t>
  </si>
  <si>
    <t>13547</t>
  </si>
  <si>
    <t xml:space="preserve">რეგულატორის ღერძული ჩამკეტი DN150 აქსიალი   </t>
  </si>
  <si>
    <t>__export__.product_template_77887_9946b251</t>
  </si>
  <si>
    <t>13548</t>
  </si>
  <si>
    <t xml:space="preserve">რეგულატორის ღერძული ჩამკეტი DN200 აქსიალი    </t>
  </si>
  <si>
    <t>__export__.product_template_77888_445b26aa</t>
  </si>
  <si>
    <t>13544</t>
  </si>
  <si>
    <t>რეგულატორის ღერძული ჩამკეტი DN50 აქსიალი</t>
  </si>
  <si>
    <t>__export__.product_template_77884_3f63d4f5</t>
  </si>
  <si>
    <t>13545</t>
  </si>
  <si>
    <t xml:space="preserve">რეგულატორის ღერძული ჩამკეტი DN80 აქსიალი </t>
  </si>
  <si>
    <t>__export__.product_template_77885_5225e7dd</t>
  </si>
  <si>
    <t>6143</t>
  </si>
  <si>
    <t>რედუქტორი RD/100</t>
  </si>
  <si>
    <t>__export__.product_template_46883_2cfdf6d4</t>
  </si>
  <si>
    <t>3163</t>
  </si>
  <si>
    <t>__export__.product_template_46884_d8c1f1b8</t>
  </si>
  <si>
    <t>10203</t>
  </si>
  <si>
    <t>__export__.product_template_46885_4308e66b</t>
  </si>
  <si>
    <t>8138</t>
  </si>
  <si>
    <t>__export__.product_template_46886_88840749</t>
  </si>
  <si>
    <t>10435</t>
  </si>
  <si>
    <t>რედუქტორი ოდორანტის საკალიბრო გაზის ბალონის</t>
  </si>
  <si>
    <t>__export__.product_template_24493_6fa5feca</t>
  </si>
  <si>
    <t>3081</t>
  </si>
  <si>
    <t>__export__.product_template_46887_eef5147c</t>
  </si>
  <si>
    <t>5059</t>
  </si>
  <si>
    <t>2/12/6 რეზინის ბურთი</t>
  </si>
  <si>
    <t>__export__.product_category_4616_ac070bd0</t>
  </si>
  <si>
    <t>__export__.product_template_46888_d1682174</t>
  </si>
  <si>
    <t>3573</t>
  </si>
  <si>
    <t>__export__.product_template_46889_f40273f3</t>
  </si>
  <si>
    <t>8516</t>
  </si>
  <si>
    <t>__export__.product_template_46890_280b85ab</t>
  </si>
  <si>
    <t>3570</t>
  </si>
  <si>
    <t>__export__.product_template_46891_8369b6fb</t>
  </si>
  <si>
    <t>3569</t>
  </si>
  <si>
    <t>__export__.product_template_46892_e3ce0e4a</t>
  </si>
  <si>
    <t>3571</t>
  </si>
  <si>
    <t>__export__.product_template_46893_cadbeb78</t>
  </si>
  <si>
    <t>3572</t>
  </si>
  <si>
    <t>__export__.product_template_46894_8f506477</t>
  </si>
  <si>
    <t>5058</t>
  </si>
  <si>
    <t>__export__.product_template_46895_85ab6ddf</t>
  </si>
  <si>
    <t>10156</t>
  </si>
  <si>
    <t>რეზინის საფენი 10მმ</t>
  </si>
  <si>
    <t>__export__.product_template_46896_220477c4</t>
  </si>
  <si>
    <t>10090</t>
  </si>
  <si>
    <t>რეზინის ფირფიტა ნიმუშების შესანახად</t>
  </si>
  <si>
    <t>__export__.product_template_46897_d2cdf020</t>
  </si>
  <si>
    <t>11024</t>
  </si>
  <si>
    <t>რეზინის ხელთათმანი</t>
  </si>
  <si>
    <t>__export__.product_template_63327_649e5a04</t>
  </si>
  <si>
    <t>10318</t>
  </si>
  <si>
    <t>__export__.product_template_46898_6439c9d7</t>
  </si>
  <si>
    <t>8358</t>
  </si>
  <si>
    <t>რენტგენის აპარატი ICM X-Ray SITEX CP 225 2ც.დოზიმეტრით და სამაგრი ქამრით</t>
  </si>
  <si>
    <t>__export__.product_template_46899_d1dea4a6</t>
  </si>
  <si>
    <t>8359</t>
  </si>
  <si>
    <t>რენტგენის ფირის გასამჟღავნებელი COLE¹TA I¹DUSTRIAL I¹DX 43 2.0 b ავტ.აპარატი სითხის შემრევით</t>
  </si>
  <si>
    <t>__export__.product_template_46900_d5174649</t>
  </si>
  <si>
    <t>3505</t>
  </si>
  <si>
    <t>__export__.product_template_46901_53337931</t>
  </si>
  <si>
    <t>8950</t>
  </si>
  <si>
    <t>__export__.product_template_46902_f00a578b</t>
  </si>
  <si>
    <t>10364</t>
  </si>
  <si>
    <t>რკინაბეტონის ბლოკი 1000*1000*1000</t>
  </si>
  <si>
    <t>2/5 რკინაბეტონის კონსტრუქციები</t>
  </si>
  <si>
    <t>__export__.product_category_4617_790b9b78</t>
  </si>
  <si>
    <t>__export__.product_template_46904_6ed26c3d</t>
  </si>
  <si>
    <t>8575</t>
  </si>
  <si>
    <t>__export__.product_template_46905_da41983e</t>
  </si>
  <si>
    <t>10367</t>
  </si>
  <si>
    <t>რკინაბეტონის ბლოკი 1250*1000*1000</t>
  </si>
  <si>
    <t>__export__.product_template_46906_f5af2f12</t>
  </si>
  <si>
    <t>10366</t>
  </si>
  <si>
    <t>რკინაბეტონის ბლოკი 1250*1250*1000</t>
  </si>
  <si>
    <t>__export__.product_template_46907_30b98d21</t>
  </si>
  <si>
    <t>10451</t>
  </si>
  <si>
    <t>რკინაბეტონის ბლოკი 1500*1000*1000</t>
  </si>
  <si>
    <t>__export__.product_template_46908_5c75455b</t>
  </si>
  <si>
    <t>10365</t>
  </si>
  <si>
    <t>რკინაბეტონის ბლოკი 1500*1250*1000</t>
  </si>
  <si>
    <t>__export__.product_template_46909_66b9f191</t>
  </si>
  <si>
    <t>6869</t>
  </si>
  <si>
    <t>რკინაბეტონის ბლოკი 2000*1000*1000</t>
  </si>
  <si>
    <t>__export__.product_template_46910_48ab0628</t>
  </si>
  <si>
    <t>9347</t>
  </si>
  <si>
    <t>რკინაბეტონის ბლოკი 2000*1000*1000 კაუჭებით</t>
  </si>
  <si>
    <t>__export__.product_template_46911_d5a26257</t>
  </si>
  <si>
    <t>10452</t>
  </si>
  <si>
    <t>რკინაბეტონის ბლოკი 2000*1000*500</t>
  </si>
  <si>
    <t>__export__.product_template_46912_8dc95699</t>
  </si>
  <si>
    <t>10454</t>
  </si>
  <si>
    <t>რკინაბეტონის ბლოკი 2500*800*700</t>
  </si>
  <si>
    <t>__export__.product_template_46913_a018ab6a</t>
  </si>
  <si>
    <t>10453</t>
  </si>
  <si>
    <t>რკინაბეტონის ბლოკი 3200*1000*700</t>
  </si>
  <si>
    <t>__export__.product_template_46914_dbc76860</t>
  </si>
  <si>
    <t>9326</t>
  </si>
  <si>
    <t>რკინაბეტონის ბლოკი 700*400*400</t>
  </si>
  <si>
    <t>__export__.product_template_46915_c61cdfff</t>
  </si>
  <si>
    <t>7540</t>
  </si>
  <si>
    <t>__export__.product_template_46916_eae80f4e</t>
  </si>
  <si>
    <t>9316</t>
  </si>
  <si>
    <t>რკინაბეტონის მილი DN800*200 არმირებით</t>
  </si>
  <si>
    <t>__export__.product_template_46917_c4f5f99c</t>
  </si>
  <si>
    <t>8803</t>
  </si>
  <si>
    <t>__export__.product_template_46918_40f4d87a</t>
  </si>
  <si>
    <t>8576</t>
  </si>
  <si>
    <t>რკინაბეტონის ტვირთი D820 მილისთვის</t>
  </si>
  <si>
    <t>__export__.product_template_46919_216faf56</t>
  </si>
  <si>
    <t>8632</t>
  </si>
  <si>
    <t>რკინაბეტონის ტვირთი DN500 მილისთვის</t>
  </si>
  <si>
    <t>__export__.product_template_46920_fa323b3e</t>
  </si>
  <si>
    <t>6882</t>
  </si>
  <si>
    <t>__export__.product_template_46921_0a01884f</t>
  </si>
  <si>
    <t>8940</t>
  </si>
  <si>
    <t>რკინაბეტონის ფილა 1200*1200*250</t>
  </si>
  <si>
    <t>__export__.product_template_46922_265ed075</t>
  </si>
  <si>
    <t>4386</t>
  </si>
  <si>
    <t>რკინაბეტონის ფილა 1500*1000*100</t>
  </si>
  <si>
    <t>__export__.product_template_46923_418fe645</t>
  </si>
  <si>
    <t>5904</t>
  </si>
  <si>
    <t>__export__.product_template_46924_52bacd0e</t>
  </si>
  <si>
    <t>9290</t>
  </si>
  <si>
    <t>__export__.product_template_46925_422767b0</t>
  </si>
  <si>
    <t>8910</t>
  </si>
  <si>
    <t>რკინაბეტონის ფილა 2100*2100*200</t>
  </si>
  <si>
    <t>__export__.product_template_46926_d0de2363</t>
  </si>
  <si>
    <t>8934</t>
  </si>
  <si>
    <t>__export__.product_template_46927_3cc5dd9d</t>
  </si>
  <si>
    <t>7804</t>
  </si>
  <si>
    <t>რკინაბეტონის ჭის რგოლი 1000*1000</t>
  </si>
  <si>
    <t>__export__.product_template_46928_94c39057</t>
  </si>
  <si>
    <t>7803</t>
  </si>
  <si>
    <t>რკინაბეტონის ჭის რგოლი 1000*500</t>
  </si>
  <si>
    <t>__export__.product_template_46929_8a47e9e4</t>
  </si>
  <si>
    <t>9291</t>
  </si>
  <si>
    <t>რკინაბეტონის ჭის რგოლის სახურავი 1200</t>
  </si>
  <si>
    <t>__export__.product_template_46930_d21e8355</t>
  </si>
  <si>
    <t>1737</t>
  </si>
  <si>
    <t>__export__.product_template_46931_c7e32ec3</t>
  </si>
  <si>
    <t>9320</t>
  </si>
  <si>
    <t>როზეტი 1 პორტიანი ინტერნეტის ქსელის</t>
  </si>
  <si>
    <t>2/12/4 ქსელი</t>
  </si>
  <si>
    <t>__export__.product_category_4618_250c83b9</t>
  </si>
  <si>
    <t>__export__.product_template_46932_f3703f2b</t>
  </si>
  <si>
    <t>9321</t>
  </si>
  <si>
    <t>როზეტი 2 პორტიანი ინტერნეტის ქსელის</t>
  </si>
  <si>
    <t>__export__.product_template_46933_2ee96118</t>
  </si>
  <si>
    <t>9178</t>
  </si>
  <si>
    <t>__export__.product_template_46934_c2265071</t>
  </si>
  <si>
    <t>9179</t>
  </si>
  <si>
    <t>როუტერი wAP LTE kit</t>
  </si>
  <si>
    <t>__export__.product_template_46935_a64405ef</t>
  </si>
  <si>
    <t>9180</t>
  </si>
  <si>
    <t>როუტერის კვების შემაერთებელი</t>
  </si>
  <si>
    <t>__export__.product_template_46936_3162fc0d</t>
  </si>
  <si>
    <t>9181</t>
  </si>
  <si>
    <t>როუტერის ძაბვის კონვერტერი</t>
  </si>
  <si>
    <t>__export__.product_template_46937_8d3173c8</t>
  </si>
  <si>
    <t>4318</t>
  </si>
  <si>
    <t>__export__.product_template_46938_e3ecd02c</t>
  </si>
  <si>
    <t>5870</t>
  </si>
  <si>
    <t>__export__.product_template_46939_c71cf8f3</t>
  </si>
  <si>
    <t>3776</t>
  </si>
  <si>
    <t>__export__.product_template_46940_816cee70</t>
  </si>
  <si>
    <t>3115</t>
  </si>
  <si>
    <t>__export__.product_template_46941_72bb37be</t>
  </si>
  <si>
    <t>9317</t>
  </si>
  <si>
    <t>საათი კედლის</t>
  </si>
  <si>
    <t>__export__.product_template_46942_08e9278b</t>
  </si>
  <si>
    <t>20125761</t>
  </si>
  <si>
    <t>საბ. DOUBLESTAR 265/65R17 DW02</t>
  </si>
  <si>
    <t>ა/მ მაკომპლექტებელი  /  საბურავი</t>
  </si>
  <si>
    <t>__export__.product_category_775_b1931b66</t>
  </si>
  <si>
    <t>__export__.product_template_62345_76a874a1</t>
  </si>
  <si>
    <t>10977</t>
  </si>
  <si>
    <t>საბეჭდი ქაღალდი A3 (ყუთი)</t>
  </si>
  <si>
    <t>__export__.product_template_63280_6bf9c503</t>
  </si>
  <si>
    <t>10978</t>
  </si>
  <si>
    <t>საბეჭდი ქაღალდი A4 (ყუთი)</t>
  </si>
  <si>
    <t>__export__.product_template_63281_2fed935a</t>
  </si>
  <si>
    <t>9364</t>
  </si>
  <si>
    <t>საბურღი ვაზნა 16მმ მორზე 2</t>
  </si>
  <si>
    <t>__export__.product_template_46943_53c0c797</t>
  </si>
  <si>
    <t>9365</t>
  </si>
  <si>
    <t>საბურღი ვაზნა 9მმ მორზე 2</t>
  </si>
  <si>
    <t>__export__.product_template_46944_7fd3efbd</t>
  </si>
  <si>
    <t>10499</t>
  </si>
  <si>
    <t>საბურღი ჩარხი</t>
  </si>
  <si>
    <t>__export__.product_template_46945_c729a9b4</t>
  </si>
  <si>
    <t>10918</t>
  </si>
  <si>
    <t>საგამოცდო ლაბორატორიის ყოველწლიური აკრედიტაცია</t>
  </si>
  <si>
    <t>__export__.product_template_63221_78a18a4d</t>
  </si>
  <si>
    <t>10917</t>
  </si>
  <si>
    <t xml:space="preserve">საგამოცდო ლაბორატორიის ხელსაწყოების კალიბრაცია  </t>
  </si>
  <si>
    <t>__export__.product_template_63220_d1ccd26b</t>
  </si>
  <si>
    <t>6367</t>
  </si>
  <si>
    <t>__export__.product_template_46946_7a97e783</t>
  </si>
  <si>
    <t>10888</t>
  </si>
  <si>
    <t>საექპერტო დასკვნის მომსახურება</t>
  </si>
  <si>
    <t>__export__.product_template_63191_df4f5d07</t>
  </si>
  <si>
    <t>5380</t>
  </si>
  <si>
    <t>__export__.product_template_46947_2bbfcb6f</t>
  </si>
  <si>
    <t>8939</t>
  </si>
  <si>
    <t>სავარძელი საოფისე თავის მისადებით</t>
  </si>
  <si>
    <t>__export__.product_template_46948_18050fe6</t>
  </si>
  <si>
    <t>10778</t>
  </si>
  <si>
    <t>სავიზიტო ბარათები</t>
  </si>
  <si>
    <t>__export__.product_template_62776_7f75190d</t>
  </si>
  <si>
    <t>5125</t>
  </si>
  <si>
    <t>__export__.product_template_46949_9e099e02</t>
  </si>
  <si>
    <t>10483</t>
  </si>
  <si>
    <t>სათადარიგო გგს (სატრანსპორტოსთვის)</t>
  </si>
  <si>
    <t>__export__.product_template_46950_be6f7d59</t>
  </si>
  <si>
    <t>9648</t>
  </si>
  <si>
    <t>სათადარიგო გგს ახალი</t>
  </si>
  <si>
    <t>__export__.product_template_46951_2b8b227c</t>
  </si>
  <si>
    <t>10668</t>
  </si>
  <si>
    <t>__export__.product_template_63137_e38c6ed4</t>
  </si>
  <si>
    <t>5034</t>
  </si>
  <si>
    <t>__export__.product_template_46952_48caa952</t>
  </si>
  <si>
    <t>10052</t>
  </si>
  <si>
    <t>__export__.product_template_46953_861633fd</t>
  </si>
  <si>
    <t>10952</t>
  </si>
  <si>
    <t>სათლელი</t>
  </si>
  <si>
    <t>__export__.product_template_63255_d30554e4</t>
  </si>
  <si>
    <t>3123</t>
  </si>
  <si>
    <t>__export__.product_template_46954_dacaec91</t>
  </si>
  <si>
    <t>10113</t>
  </si>
  <si>
    <t>__export__.product_template_46955_08a37370</t>
  </si>
  <si>
    <t>3118</t>
  </si>
  <si>
    <t>__export__.product_template_46956_575fa17a</t>
  </si>
  <si>
    <t>13531</t>
  </si>
  <si>
    <t>საიზოლაციო ლენტის სახვევი ხელსაწყო</t>
  </si>
  <si>
    <t>__export__.product_template_77871_1a8a4394</t>
  </si>
  <si>
    <t>10571</t>
  </si>
  <si>
    <t>საიმპულსო მილაკების მოსაღუნი და საჭრელი კომპლექტი</t>
  </si>
  <si>
    <t>__export__.product_template_46957_fec9227c</t>
  </si>
  <si>
    <t>8505</t>
  </si>
  <si>
    <t>__export__.product_template_46958_dfb7b9a8</t>
  </si>
  <si>
    <t>10058</t>
  </si>
  <si>
    <t>საიმპულსო მილაკი ონკანისთვის ნამზ.</t>
  </si>
  <si>
    <t>__export__.product_template_46959_990ef7ff</t>
  </si>
  <si>
    <t>10854</t>
  </si>
  <si>
    <t>საკანონმდებლო პროგრამა: კოდექსი</t>
  </si>
  <si>
    <t>__export__.product_template_63157_67713112</t>
  </si>
  <si>
    <t>10855</t>
  </si>
  <si>
    <t>საკანონმდებლო პროგრამა: მაცნე</t>
  </si>
  <si>
    <t>__export__.product_template_63158_7250110e</t>
  </si>
  <si>
    <t>9861</t>
  </si>
  <si>
    <t>საკანცელარიო</t>
  </si>
  <si>
    <t>__export__.product_template_46960_dca57a91</t>
  </si>
  <si>
    <t>10953</t>
  </si>
  <si>
    <t xml:space="preserve">საკანცელარიო დანა დიდი </t>
  </si>
  <si>
    <t>__export__.product_template_63256_55fe768c</t>
  </si>
  <si>
    <t>10954</t>
  </si>
  <si>
    <t>საკანცელარიო დანა პატარა</t>
  </si>
  <si>
    <t>__export__.product_template_63257_136bf488</t>
  </si>
  <si>
    <t>4384</t>
  </si>
  <si>
    <t>საკანცელარიო დანის პირების ნაკრები</t>
  </si>
  <si>
    <t>__export__.product_template_46961_4b0e4a65</t>
  </si>
  <si>
    <t>10955</t>
  </si>
  <si>
    <t>საკანცელარიო რვეული A4</t>
  </si>
  <si>
    <t>__export__.product_template_63258_81d6645a</t>
  </si>
  <si>
    <t>4204</t>
  </si>
  <si>
    <t>__export__.product_template_46962_95c394f4</t>
  </si>
  <si>
    <t>3747</t>
  </si>
  <si>
    <t>__export__.product_template_46963_a601c0bf</t>
  </si>
  <si>
    <t>3435</t>
  </si>
  <si>
    <t>საკეტი კარის - შვეიცარი</t>
  </si>
  <si>
    <t>__export__.product_template_46964_c62955c3</t>
  </si>
  <si>
    <t>9397</t>
  </si>
  <si>
    <t>__export__.product_template_46965_59fd296e</t>
  </si>
  <si>
    <t>6405</t>
  </si>
  <si>
    <t>საკეტი შიდა მეტალოპლასტმასის კარის</t>
  </si>
  <si>
    <t>__export__.product_template_46966_ca348090</t>
  </si>
  <si>
    <t>10998</t>
  </si>
  <si>
    <t>საკეტი ხის კარის</t>
  </si>
  <si>
    <t>__export__.product_template_63301_ba013fe4</t>
  </si>
  <si>
    <t>10999</t>
  </si>
  <si>
    <t>საკეტის გულანა 70მმ</t>
  </si>
  <si>
    <t>__export__.product_template_63302_c491d5d4</t>
  </si>
  <si>
    <t>6038</t>
  </si>
  <si>
    <t>საკიდი პროექტორის</t>
  </si>
  <si>
    <t>__export__.product_template_46967_40a9bd46</t>
  </si>
  <si>
    <t>7734</t>
  </si>
  <si>
    <t>საკიდი ტელევიზორის</t>
  </si>
  <si>
    <t>__export__.product_template_46968_7af9188e</t>
  </si>
  <si>
    <t>5233</t>
  </si>
  <si>
    <t>საკისარი</t>
  </si>
  <si>
    <t>__export__.product_template_46969_8c3ee87a</t>
  </si>
  <si>
    <t>9843</t>
  </si>
  <si>
    <t>საკისარი 205 (სახარატო ხრახნმჭრელი ჩარხის)</t>
  </si>
  <si>
    <t>__export__.product_template_46970_ca38d970</t>
  </si>
  <si>
    <t>13518</t>
  </si>
  <si>
    <t>საკისარი უკანა 1K62 სახარატო ჩარხის შპინდელის</t>
  </si>
  <si>
    <t>__export__.product_template_77854_24e5354d</t>
  </si>
  <si>
    <t>10892</t>
  </si>
  <si>
    <t>საკურიერო - საფოსტო მომსახურება</t>
  </si>
  <si>
    <t>2/12/5 საკურიერო</t>
  </si>
  <si>
    <t>__export__.product_category_4698_d66ea4b8</t>
  </si>
  <si>
    <t>__export__.product_template_63195_b3474b56</t>
  </si>
  <si>
    <t>5045</t>
  </si>
  <si>
    <t>სალესი ქვა</t>
  </si>
  <si>
    <t>__export__.product_template_46971_119212ec</t>
  </si>
  <si>
    <t>8486</t>
  </si>
  <si>
    <t>__export__.product_template_46972_49d09a14</t>
  </si>
  <si>
    <t>9848</t>
  </si>
  <si>
    <t>სამაგრი D110 თუნუქის მილის</t>
  </si>
  <si>
    <t>__export__.product_template_46973_57f44547</t>
  </si>
  <si>
    <t>8960</t>
  </si>
  <si>
    <t>სამაგრი თაროს</t>
  </si>
  <si>
    <t>__export__.product_template_46974_2eae3493</t>
  </si>
  <si>
    <t>10751</t>
  </si>
  <si>
    <t xml:space="preserve">სამაგრი პლ. D200 კანალიზაციის მილი </t>
  </si>
  <si>
    <t>__export__.product_template_62777_3c618d0d</t>
  </si>
  <si>
    <t>7879</t>
  </si>
  <si>
    <t>სამაგრი სპილენძის მილის</t>
  </si>
  <si>
    <t>__export__.product_template_46975_2d674357</t>
  </si>
  <si>
    <t>7567</t>
  </si>
  <si>
    <t>__export__.product_template_46976_6dd8b46e</t>
  </si>
  <si>
    <t>5201</t>
  </si>
  <si>
    <t>__export__.product_template_46977_75286462</t>
  </si>
  <si>
    <t>8905</t>
  </si>
  <si>
    <t>__export__.product_template_46978_e14619ec</t>
  </si>
  <si>
    <t>7874</t>
  </si>
  <si>
    <t>სამარჯვი D300 სწორი მონაკვეთის საბურღი ჩარხის დასამაგრებელი</t>
  </si>
  <si>
    <t>__export__.product_template_46979_f26718f1</t>
  </si>
  <si>
    <t>9018</t>
  </si>
  <si>
    <t>სამარჯვი DN150 ფილტრის D720 მილზე შედუღებისას კარტრიჯის საყრდენის დროებითი ფიქსაციისთვის</t>
  </si>
  <si>
    <t>__export__.product_template_46980_ecebd137</t>
  </si>
  <si>
    <t>3659</t>
  </si>
  <si>
    <t>__export__.product_template_46981_34d0e2f7</t>
  </si>
  <si>
    <t>9877</t>
  </si>
  <si>
    <t>სამეურნეო</t>
  </si>
  <si>
    <t>__export__.product_template_46982_a760ecf2</t>
  </si>
  <si>
    <t>1765</t>
  </si>
  <si>
    <t>2/5 სამკაპი</t>
  </si>
  <si>
    <t>__export__.product_category_4620_037256e7</t>
  </si>
  <si>
    <t>__export__.product_template_46983_1d15f5b9</t>
  </si>
  <si>
    <t>9649</t>
  </si>
  <si>
    <t>სამკაპი 1/2"-B 1/2"-B 10*1.25 ნამზ.</t>
  </si>
  <si>
    <t>2/5 სამკაპი 1640</t>
  </si>
  <si>
    <t>__export__.product_category_4744_3c11524d</t>
  </si>
  <si>
    <t>__export__.product_template_46984_2e67adcf</t>
  </si>
  <si>
    <t>9017</t>
  </si>
  <si>
    <t>__export__.product_template_46985_de468806</t>
  </si>
  <si>
    <t>8599</t>
  </si>
  <si>
    <t>__export__.product_template_46986_379e8af6</t>
  </si>
  <si>
    <t>9904</t>
  </si>
  <si>
    <t>სამკაპი D1020-720-1020*14</t>
  </si>
  <si>
    <t>__export__.product_template_46987_ebc61d32</t>
  </si>
  <si>
    <t>10833</t>
  </si>
  <si>
    <t>სამკაპი D1020-720-1020*14 იზოლირებული</t>
  </si>
  <si>
    <t>__export__.product_template_62778_c9ae24d9</t>
  </si>
  <si>
    <t>5820</t>
  </si>
  <si>
    <t>სამკაპი D114-114-114*6</t>
  </si>
  <si>
    <t>__export__.product_template_46988_6dbb3c16</t>
  </si>
  <si>
    <t>7746</t>
  </si>
  <si>
    <t>__export__.product_template_46989_af73c248</t>
  </si>
  <si>
    <t>10617</t>
  </si>
  <si>
    <t>სამკაპი D114-89-114*6</t>
  </si>
  <si>
    <t>__export__.product_template_46990_e8a6e304</t>
  </si>
  <si>
    <t>7747</t>
  </si>
  <si>
    <t>__export__.product_template_46991_52599ce3</t>
  </si>
  <si>
    <t>9903</t>
  </si>
  <si>
    <t>სამკაპი D1220-325-1220*16</t>
  </si>
  <si>
    <t>__export__.product_template_46992_e482397e</t>
  </si>
  <si>
    <t>10624</t>
  </si>
  <si>
    <t>სამკაპი D1220-720-1220*14</t>
  </si>
  <si>
    <t>__export__.product_template_46993_1317393c</t>
  </si>
  <si>
    <t>10834</t>
  </si>
  <si>
    <t>სამკაპი D1220-720-1220*14 იზოლირებული</t>
  </si>
  <si>
    <t>__export__.product_template_62779_c9aa3f0c</t>
  </si>
  <si>
    <t>9902</t>
  </si>
  <si>
    <t>სამკაპი D1220-720-1220*16</t>
  </si>
  <si>
    <t>__export__.product_template_46994_c1950a15</t>
  </si>
  <si>
    <t>6479</t>
  </si>
  <si>
    <t>სამკაპი D15-15-15*3</t>
  </si>
  <si>
    <t>__export__.product_template_46995_a949ab8e</t>
  </si>
  <si>
    <t>3885</t>
  </si>
  <si>
    <t>__export__.product_template_46996_969b83d7</t>
  </si>
  <si>
    <t>10041</t>
  </si>
  <si>
    <t>სამკაპი D159-159-159*12 იზოლირებული</t>
  </si>
  <si>
    <t>__export__.product_template_46997_89a54643</t>
  </si>
  <si>
    <t>10618</t>
  </si>
  <si>
    <t>სამკაპი D159-159-159*6</t>
  </si>
  <si>
    <t>__export__.product_template_46998_3ece98e5</t>
  </si>
  <si>
    <t>10620</t>
  </si>
  <si>
    <t>სამკაპი D219-114-219*8</t>
  </si>
  <si>
    <t>__export__.product_template_46999_fe9a9c9c</t>
  </si>
  <si>
    <t>10439</t>
  </si>
  <si>
    <t>სამკაპი D219-219-219*6</t>
  </si>
  <si>
    <t>__export__.product_template_47000_24bb44bb</t>
  </si>
  <si>
    <t>10437</t>
  </si>
  <si>
    <t>სამკაპი D219-219-219*6 იზოლირებული</t>
  </si>
  <si>
    <t>__export__.product_template_47001_e1445876</t>
  </si>
  <si>
    <t>10619</t>
  </si>
  <si>
    <t>სამკაპი D219-219-219*8</t>
  </si>
  <si>
    <t>__export__.product_template_47002_a830a806</t>
  </si>
  <si>
    <t>10622</t>
  </si>
  <si>
    <t>სამკაპი D325-219-325*10</t>
  </si>
  <si>
    <t>__export__.product_template_47003_7771f0bb</t>
  </si>
  <si>
    <t>10621</t>
  </si>
  <si>
    <t>სამკაპი D325-325-325*10</t>
  </si>
  <si>
    <t>__export__.product_template_47004_7a66aa2e</t>
  </si>
  <si>
    <t>8915</t>
  </si>
  <si>
    <t>__export__.product_template_47005_511c3ef9</t>
  </si>
  <si>
    <t>7750</t>
  </si>
  <si>
    <t>__export__.product_template_47006_d37730b4</t>
  </si>
  <si>
    <t>7751</t>
  </si>
  <si>
    <t>2/5 სამკაპი 2197</t>
  </si>
  <si>
    <t>__export__.product_category_4745_2bae329f</t>
  </si>
  <si>
    <t>__export__.product_template_47007_769f78f5</t>
  </si>
  <si>
    <t>10623</t>
  </si>
  <si>
    <t>სამკაპი D530-530-530*12</t>
  </si>
  <si>
    <t>__export__.product_template_47008_0f2c84f9</t>
  </si>
  <si>
    <t>5989</t>
  </si>
  <si>
    <t>__export__.product_template_47009_00f120c6</t>
  </si>
  <si>
    <t>1198</t>
  </si>
  <si>
    <t>__export__.product_template_47010_db47fae5</t>
  </si>
  <si>
    <t>10835</t>
  </si>
  <si>
    <t>სამკაპი D720-530-720*12 იზოლირებული</t>
  </si>
  <si>
    <t>__export__.product_template_62780_d4143a7b</t>
  </si>
  <si>
    <t>1197</t>
  </si>
  <si>
    <t>__export__.product_template_47011_9da70d83</t>
  </si>
  <si>
    <t>10836</t>
  </si>
  <si>
    <t>სამკაპი D720-720-720*12 იზოლირებული</t>
  </si>
  <si>
    <t>__export__.product_template_62781_2c549e33</t>
  </si>
  <si>
    <t>6878</t>
  </si>
  <si>
    <t>__export__.product_template_47012_03800d25</t>
  </si>
  <si>
    <t>9007</t>
  </si>
  <si>
    <t>სამკაპი ელ. მანომეტრის D1/2 გარე პირდ. ხრახნით და შიდა ხრახნით</t>
  </si>
  <si>
    <t>__export__.product_template_47013_9cbc4d4c</t>
  </si>
  <si>
    <t>10750</t>
  </si>
  <si>
    <t>სამკაპი პლ. D200 კანალიზაციის</t>
  </si>
  <si>
    <t>__export__.product_template_62782_d311db7e</t>
  </si>
  <si>
    <t>10643</t>
  </si>
  <si>
    <t>სამრეწველო ბორბალი რეზინის 150კგ ტვირთზე</t>
  </si>
  <si>
    <t>__export__.product_template_63114_64a0ff48</t>
  </si>
  <si>
    <t>8152</t>
  </si>
  <si>
    <t>__export__.product_template_47014_f6fd0ef2</t>
  </si>
  <si>
    <t>6441</t>
  </si>
  <si>
    <t>__export__.product_template_47015_ba86db67</t>
  </si>
  <si>
    <t>10109</t>
  </si>
  <si>
    <t>__export__.product_template_47016_fc832112</t>
  </si>
  <si>
    <t>7491</t>
  </si>
  <si>
    <t>__export__.product_template_47017_065a1d63</t>
  </si>
  <si>
    <t>11002</t>
  </si>
  <si>
    <t>__export__.product_template_63305_9b2e631d</t>
  </si>
  <si>
    <t>7560</t>
  </si>
  <si>
    <t>__export__.product_template_47018_2d21755d</t>
  </si>
  <si>
    <t>10346</t>
  </si>
  <si>
    <t>სანათი შუქდიოდიანი 220V (ლამპიონი 100W)</t>
  </si>
  <si>
    <t>__export__.product_template_47019_265cdce3</t>
  </si>
  <si>
    <t>7726</t>
  </si>
  <si>
    <t>სანათი ჭერის ლენტური ლედ</t>
  </si>
  <si>
    <t>__export__.product_template_47020_b3abd3a3</t>
  </si>
  <si>
    <t>10642</t>
  </si>
  <si>
    <t>სანათი ჭერის პანელური ლედ</t>
  </si>
  <si>
    <t>__export__.product_template_63113_45c2acf9</t>
  </si>
  <si>
    <t>8163</t>
  </si>
  <si>
    <t>__export__.product_template_47021_cabe4974</t>
  </si>
  <si>
    <t>3135</t>
  </si>
  <si>
    <t>__export__.product_template_47022_0b1d4f3a</t>
  </si>
  <si>
    <t>10983</t>
  </si>
  <si>
    <t>საოფისე კედლის დაფა 600*900</t>
  </si>
  <si>
    <t>__export__.product_template_63286_51d402a2</t>
  </si>
  <si>
    <t>10984</t>
  </si>
  <si>
    <t>საოფისე კედლის დაფა 900*1200</t>
  </si>
  <si>
    <t>__export__.product_template_63287_08d5729f</t>
  </si>
  <si>
    <t>11025</t>
  </si>
  <si>
    <t>საპონი თხევადი 5ლ</t>
  </si>
  <si>
    <t>__export__.product_template_63328_9f3b6700</t>
  </si>
  <si>
    <t>11026</t>
  </si>
  <si>
    <t>საპონი სარეცხი</t>
  </si>
  <si>
    <t>__export__.product_template_63329_787ccacd</t>
  </si>
  <si>
    <t>11027</t>
  </si>
  <si>
    <t>საპონი ხელის</t>
  </si>
  <si>
    <t>__export__.product_template_63330_9c74ce65</t>
  </si>
  <si>
    <t>9160</t>
  </si>
  <si>
    <t>__export__.product_template_47023_0952eb95</t>
  </si>
  <si>
    <t>6340</t>
  </si>
  <si>
    <t>__export__.product_template_47024_e64efdad</t>
  </si>
  <si>
    <t>7495</t>
  </si>
  <si>
    <t>__export__.product_template_47025_a402773c</t>
  </si>
  <si>
    <t>10572</t>
  </si>
  <si>
    <t>საპოხი ონკანების უნივერსალური ტიპი 3</t>
  </si>
  <si>
    <t>__export__.product_template_47026_ebb036f9</t>
  </si>
  <si>
    <t>10575</t>
  </si>
  <si>
    <t>საპოხი ონკანების უნივერსალური ტიპი 4</t>
  </si>
  <si>
    <t>__export__.product_template_47027_4a80002a</t>
  </si>
  <si>
    <t>8851</t>
  </si>
  <si>
    <t>__export__.product_template_47028_852f0251</t>
  </si>
  <si>
    <t>10534</t>
  </si>
  <si>
    <t>სარეზერვო ასლების Data Domain 8TB Space</t>
  </si>
  <si>
    <t>__export__.product_template_47029_b998238b</t>
  </si>
  <si>
    <t>10770</t>
  </si>
  <si>
    <t>სარეზერვო დატაცენტრისა და სადისპეჩეროს IT ინფრასტრუქტურა საგურამო</t>
  </si>
  <si>
    <t>__export__.product_template_62783_a59ce11d</t>
  </si>
  <si>
    <t>10900</t>
  </si>
  <si>
    <t>სარეკლამო მომსახურება</t>
  </si>
  <si>
    <t>2/12/3 სარეკლამო</t>
  </si>
  <si>
    <t>__export__.product_category_4701_b4b84587</t>
  </si>
  <si>
    <t>__export__.product_template_63203_ddbc6c5e</t>
  </si>
  <si>
    <t>10587</t>
  </si>
  <si>
    <t>სარეცხი მანქანა</t>
  </si>
  <si>
    <t>__export__.product_template_47030_4ab09d7e</t>
  </si>
  <si>
    <t>11028</t>
  </si>
  <si>
    <t xml:space="preserve">სარეცხი ჟელე  </t>
  </si>
  <si>
    <t>__export__.product_template_63331_6facc60b</t>
  </si>
  <si>
    <t>11029</t>
  </si>
  <si>
    <t>სარეცხის ფხვნილი 0.5კგ</t>
  </si>
  <si>
    <t>__export__.product_template_63332_eab8322d</t>
  </si>
  <si>
    <t>1490</t>
  </si>
  <si>
    <t>3/3 სახარჯი მასალა</t>
  </si>
  <si>
    <t>__export__.product_category_4621_f1a80662</t>
  </si>
  <si>
    <t>__export__.product_template_47031_20308016</t>
  </si>
  <si>
    <t>4326</t>
  </si>
  <si>
    <t>__export__.product_template_47032_39ba4312</t>
  </si>
  <si>
    <t>10396</t>
  </si>
  <si>
    <t>სარჭი (შპილკა) M16 L100</t>
  </si>
  <si>
    <t>2/5 სარჭი (შპილკა)</t>
  </si>
  <si>
    <t>__export__.product_category_4622_c358aab9</t>
  </si>
  <si>
    <t>__export__.product_template_47034_d3a600c9</t>
  </si>
  <si>
    <t>10330</t>
  </si>
  <si>
    <t>სარჭი (შპილკა) M16 L300</t>
  </si>
  <si>
    <t>__export__.product_template_47033_ddc89019</t>
  </si>
  <si>
    <t>10579</t>
  </si>
  <si>
    <t>სარჭი (შპილკა) M20 L130</t>
  </si>
  <si>
    <t>__export__.product_template_47035_f844e16d</t>
  </si>
  <si>
    <t>10233</t>
  </si>
  <si>
    <t>სარჭი (შპილკა) M27 L120</t>
  </si>
  <si>
    <t>__export__.product_template_47036_c680b014</t>
  </si>
  <si>
    <t>6585</t>
  </si>
  <si>
    <t>სარჭი (შპილკა) M27 L150</t>
  </si>
  <si>
    <t>__export__.product_template_47037_f8b71613</t>
  </si>
  <si>
    <t>13555</t>
  </si>
  <si>
    <t xml:space="preserve">სარჭი (შპილკა) M27 L180 </t>
  </si>
  <si>
    <t>__export__.product_template_77916_c371adaf</t>
  </si>
  <si>
    <t>10397</t>
  </si>
  <si>
    <t>სარჭი (შპილკა) M30 L180</t>
  </si>
  <si>
    <t>__export__.product_template_47038_e0a614a0</t>
  </si>
  <si>
    <t>1008</t>
  </si>
  <si>
    <t>სარჭი (შპილკა) M30 L300</t>
  </si>
  <si>
    <t>__export__.product_template_47039_acc9df17</t>
  </si>
  <si>
    <t>10331</t>
  </si>
  <si>
    <t>სარჭი (შპილკა) M48 L260</t>
  </si>
  <si>
    <t>__export__.product_template_47040_e04b667d</t>
  </si>
  <si>
    <t>10388</t>
  </si>
  <si>
    <t>სარჭი (შპილკა) M52 L300</t>
  </si>
  <si>
    <t>__export__.product_template_47041_d4a644f1</t>
  </si>
  <si>
    <t>10639</t>
  </si>
  <si>
    <t>სარჭი (შპილკა) M56 L300</t>
  </si>
  <si>
    <t>__export__.product_template_63110_1ee36ecf</t>
  </si>
  <si>
    <t>9145</t>
  </si>
  <si>
    <t>__export__.product_template_47042_91f96271</t>
  </si>
  <si>
    <t>9147</t>
  </si>
  <si>
    <t>__export__.product_template_47043_247fc547</t>
  </si>
  <si>
    <t>10304</t>
  </si>
  <si>
    <t>__export__.product_template_47044_4d6490e8</t>
  </si>
  <si>
    <t>9141</t>
  </si>
  <si>
    <t>სარჭი ხრახნით (შპილკა) M56 L300 კომპლ. D700 P63 ბრტყელი მილტუჩის</t>
  </si>
  <si>
    <t>__export__.product_template_47045_1dfdc815</t>
  </si>
  <si>
    <t>8660</t>
  </si>
  <si>
    <t>სასიგნალო ალამი წითელი</t>
  </si>
  <si>
    <t>__export__.product_template_47046_66175e5f</t>
  </si>
  <si>
    <t>10446</t>
  </si>
  <si>
    <t>სასწავლო/სატრეინინგო ულტრაბგერის ტესტირებაში ინსტრუქტორ პაკეტი (ლიტერატურა)</t>
  </si>
  <si>
    <t>__export__.product_template_47047_afa8ef41</t>
  </si>
  <si>
    <t>3503</t>
  </si>
  <si>
    <t>სასწორი 300კგ</t>
  </si>
  <si>
    <t>__export__.product_template_47048_9ebf116d</t>
  </si>
  <si>
    <t>9882</t>
  </si>
  <si>
    <t>სასწორი ელექტრო - ამწეზე დასაკიდებელი 10ტ</t>
  </si>
  <si>
    <t>__export__.product_template_47049_fe8a1f72</t>
  </si>
  <si>
    <t>00005</t>
  </si>
  <si>
    <t>სატესტო 2</t>
  </si>
  <si>
    <t>__export__.product_template_33631_f2b67cbd</t>
  </si>
  <si>
    <t>00037</t>
  </si>
  <si>
    <t>სატესტო პროდუქცია 2</t>
  </si>
  <si>
    <t>__export__.product_template_47761_73f6f252</t>
  </si>
  <si>
    <t>6619</t>
  </si>
  <si>
    <t>__export__.product_template_47050_5391a583</t>
  </si>
  <si>
    <t>10887</t>
  </si>
  <si>
    <t>საფინანსო ანალიტიკური: GGTC.ge ვებგვერდზე განთავსების მომსახურება</t>
  </si>
  <si>
    <t>2/12/9 ვებ სივრცე</t>
  </si>
  <si>
    <t>__export__.product_category_4694_da6d40fa</t>
  </si>
  <si>
    <t>__export__.product_template_63190_4539ee58</t>
  </si>
  <si>
    <t>10886</t>
  </si>
  <si>
    <t>საფინანსო ანალიტიკური: IT ინფრასტრუქტურის ადმინისტრირება</t>
  </si>
  <si>
    <t>__export__.product_template_63189_e01f1fbe</t>
  </si>
  <si>
    <t>10885</t>
  </si>
  <si>
    <t>საფინანსო ანალიტიკური: დოკბრუნვა E-doc</t>
  </si>
  <si>
    <t>__export__.product_template_63188_16e24d77</t>
  </si>
  <si>
    <t>10883</t>
  </si>
  <si>
    <t>საფინანსო ანალიტიკური: ელ. ფოსტა GGTC</t>
  </si>
  <si>
    <t>__export__.product_template_63186_f1eda9d7</t>
  </si>
  <si>
    <t>10884</t>
  </si>
  <si>
    <t>საფინანსო ანალიტიკური: ვირტუალური სერვერი</t>
  </si>
  <si>
    <t>__export__.product_template_63187_137c84de</t>
  </si>
  <si>
    <t>10956</t>
  </si>
  <si>
    <t>საქაღალდე რეზინის შესაკრავით</t>
  </si>
  <si>
    <t>__export__.product_template_63259_4f221f35</t>
  </si>
  <si>
    <t>6006</t>
  </si>
  <si>
    <t>__export__.product_template_47051_8764b6ef</t>
  </si>
  <si>
    <t>10241</t>
  </si>
  <si>
    <t>__export__.product_template_47052_c85a0866</t>
  </si>
  <si>
    <t>10240</t>
  </si>
  <si>
    <t>__export__.product_template_47053_44ac1225</t>
  </si>
  <si>
    <t>7470</t>
  </si>
  <si>
    <t>__export__.product_template_47054_806311e1</t>
  </si>
  <si>
    <t>7469</t>
  </si>
  <si>
    <t>საღებავი ვერცხლისფერი</t>
  </si>
  <si>
    <t>__export__.product_template_47055_f07644a3</t>
  </si>
  <si>
    <t>8155</t>
  </si>
  <si>
    <t>__export__.product_template_47056_1367e398</t>
  </si>
  <si>
    <t>7466</t>
  </si>
  <si>
    <t>__export__.product_template_47057_ccbb418e</t>
  </si>
  <si>
    <t>10098</t>
  </si>
  <si>
    <t>საღებავი თეთრი ინტერიერის</t>
  </si>
  <si>
    <t>__export__.product_template_47058_bec78506</t>
  </si>
  <si>
    <t>7824</t>
  </si>
  <si>
    <t>__export__.product_template_47059_379b7ea2</t>
  </si>
  <si>
    <t>9837</t>
  </si>
  <si>
    <t>__export__.product_template_47060_7499627e</t>
  </si>
  <si>
    <t>10436</t>
  </si>
  <si>
    <t>საღებავი ნაცრისფერი ანტიკოროზიული</t>
  </si>
  <si>
    <t>__export__.product_template_47061_5918e5de</t>
  </si>
  <si>
    <t>5811</t>
  </si>
  <si>
    <t>__export__.product_template_47062_39275007</t>
  </si>
  <si>
    <t>8157</t>
  </si>
  <si>
    <t>__export__.product_template_47063_7dd390fa</t>
  </si>
  <si>
    <t>5802</t>
  </si>
  <si>
    <t>საღებავი ყვითელი</t>
  </si>
  <si>
    <t>__export__.product_template_47064_6fae0602</t>
  </si>
  <si>
    <t>8158</t>
  </si>
  <si>
    <t>__export__.product_template_47065_a824b37c</t>
  </si>
  <si>
    <t>8160</t>
  </si>
  <si>
    <t>__export__.product_template_47066_0947372a</t>
  </si>
  <si>
    <t>10548</t>
  </si>
  <si>
    <t>საღებავი შავი რკინის</t>
  </si>
  <si>
    <t>__export__.product_template_47067_8f33ec16</t>
  </si>
  <si>
    <t>6220</t>
  </si>
  <si>
    <t>საღებავი წითელი</t>
  </si>
  <si>
    <t>__export__.product_template_47068_b0738ffa</t>
  </si>
  <si>
    <t>8156</t>
  </si>
  <si>
    <t>__export__.product_template_47069_0ce4a3c6</t>
  </si>
  <si>
    <t>7743</t>
  </si>
  <si>
    <t>საყელური (გროვერი) 10</t>
  </si>
  <si>
    <t>2/5 ქანჩი - საყელური - ჭანჭიკი - შურუპი</t>
  </si>
  <si>
    <t>__export__.product_category_4624_5149ed45</t>
  </si>
  <si>
    <t>__export__.product_template_47719_cc872264</t>
  </si>
  <si>
    <t>5766</t>
  </si>
  <si>
    <t>__export__.product_template_47070_19f612e3</t>
  </si>
  <si>
    <t>5257</t>
  </si>
  <si>
    <t>__export__.product_template_47071_a75a0177</t>
  </si>
  <si>
    <t>7482</t>
  </si>
  <si>
    <t>__export__.product_template_47072_6a11293f</t>
  </si>
  <si>
    <t>5845</t>
  </si>
  <si>
    <t>__export__.product_template_47073_88abfb16</t>
  </si>
  <si>
    <t>7924</t>
  </si>
  <si>
    <t>__export__.product_template_47074_495ee95f</t>
  </si>
  <si>
    <t>8954</t>
  </si>
  <si>
    <t>__export__.product_template_47075_4826b200</t>
  </si>
  <si>
    <t>7923</t>
  </si>
  <si>
    <t>__export__.product_template_47076_a60a2ec5</t>
  </si>
  <si>
    <t>8412</t>
  </si>
  <si>
    <t>__export__.product_template_47077_94ce7e34</t>
  </si>
  <si>
    <t>9922</t>
  </si>
  <si>
    <t>საყელური (გროვერი) 27</t>
  </si>
  <si>
    <t>__export__.product_template_47078_d7059197</t>
  </si>
  <si>
    <t>7744</t>
  </si>
  <si>
    <t>__export__.product_template_47079_cba7277f</t>
  </si>
  <si>
    <t>9384</t>
  </si>
  <si>
    <t>__export__.product_template_47080_5d091129</t>
  </si>
  <si>
    <t>10225</t>
  </si>
  <si>
    <t>საყელური (გროვერი) 33</t>
  </si>
  <si>
    <t>__export__.product_template_47081_472d75e5</t>
  </si>
  <si>
    <t>8413</t>
  </si>
  <si>
    <t>__export__.product_template_47082_9ecdc19e</t>
  </si>
  <si>
    <t>8418</t>
  </si>
  <si>
    <t>__export__.product_template_47083_24407ec0</t>
  </si>
  <si>
    <t>10306</t>
  </si>
  <si>
    <t>__export__.product_template_47084_501873ca</t>
  </si>
  <si>
    <t>10340</t>
  </si>
  <si>
    <t>საყელური (გროვერი) 48</t>
  </si>
  <si>
    <t>__export__.product_template_47085_ce998025</t>
  </si>
  <si>
    <t>10390</t>
  </si>
  <si>
    <t>საყელური (გროვერი) 52</t>
  </si>
  <si>
    <t>__export__.product_template_47086_18705cf2</t>
  </si>
  <si>
    <t>7487</t>
  </si>
  <si>
    <t>__export__.product_template_47087_deeb0b17</t>
  </si>
  <si>
    <t>5769</t>
  </si>
  <si>
    <t>__export__.product_template_47088_b3d8c1dd</t>
  </si>
  <si>
    <t>7742</t>
  </si>
  <si>
    <t>__export__.product_template_47089_17cec180</t>
  </si>
  <si>
    <t>10236</t>
  </si>
  <si>
    <t>__export__.product_template_47090_e1eec8da</t>
  </si>
  <si>
    <t>5765</t>
  </si>
  <si>
    <t>__export__.product_template_47091_f7f62a6f</t>
  </si>
  <si>
    <t>8476</t>
  </si>
  <si>
    <t>__export__.product_template_47092_18f1305d</t>
  </si>
  <si>
    <t>5767</t>
  </si>
  <si>
    <t>__export__.product_template_47093_a8eac1b3</t>
  </si>
  <si>
    <t>7481</t>
  </si>
  <si>
    <t>__export__.product_template_47094_7f2ebf2c</t>
  </si>
  <si>
    <t>5762</t>
  </si>
  <si>
    <t>__export__.product_template_47095_aad4e4c0</t>
  </si>
  <si>
    <t>7925</t>
  </si>
  <si>
    <t>__export__.product_template_47096_e9ddcd73</t>
  </si>
  <si>
    <t>5905</t>
  </si>
  <si>
    <t>საყელური (შაიბა) 18 (კგ)</t>
  </si>
  <si>
    <t>__export__.product_template_47097_f3400176</t>
  </si>
  <si>
    <t>8475</t>
  </si>
  <si>
    <t>__export__.product_template_47098_a543ab42</t>
  </si>
  <si>
    <t>6190</t>
  </si>
  <si>
    <t>__export__.product_template_47099_c494c289</t>
  </si>
  <si>
    <t>7486</t>
  </si>
  <si>
    <t>__export__.product_template_47100_5a18a123</t>
  </si>
  <si>
    <t>5844</t>
  </si>
  <si>
    <t>__export__.product_template_47101_1672f846</t>
  </si>
  <si>
    <t>8626</t>
  </si>
  <si>
    <t>__export__.product_template_47102_5d97317c</t>
  </si>
  <si>
    <t>5262</t>
  </si>
  <si>
    <t>__export__.product_template_47103_1cd8fb36</t>
  </si>
  <si>
    <t>9802</t>
  </si>
  <si>
    <t>__export__.product_template_47104_13e335d6</t>
  </si>
  <si>
    <t>8174</t>
  </si>
  <si>
    <t>__export__.product_template_47105_4dba6c55</t>
  </si>
  <si>
    <t>7741</t>
  </si>
  <si>
    <t>__export__.product_template_47106_bd4b2231</t>
  </si>
  <si>
    <t>9383</t>
  </si>
  <si>
    <t>__export__.product_template_47107_2de3c0b5</t>
  </si>
  <si>
    <t>10226</t>
  </si>
  <si>
    <t>საყელური (შაიბა) 33</t>
  </si>
  <si>
    <t>__export__.product_template_47108_f57a0392</t>
  </si>
  <si>
    <t>7490</t>
  </si>
  <si>
    <t>__export__.product_template_47109_f33a5a76</t>
  </si>
  <si>
    <t>7916</t>
  </si>
  <si>
    <t>__export__.product_template_47110_a6009558</t>
  </si>
  <si>
    <t>8175</t>
  </si>
  <si>
    <t>__export__.product_template_47111_c636f5c7</t>
  </si>
  <si>
    <t>10307</t>
  </si>
  <si>
    <t>__export__.product_template_47112_7e0234b0</t>
  </si>
  <si>
    <t>10339</t>
  </si>
  <si>
    <t>საყელური (შაიბა) 48</t>
  </si>
  <si>
    <t>__export__.product_template_47113_4be2115e</t>
  </si>
  <si>
    <t>10464</t>
  </si>
  <si>
    <t>__export__.product_template_47114_129a0663</t>
  </si>
  <si>
    <t>10391</t>
  </si>
  <si>
    <t>საყელური (შაიბა) 52</t>
  </si>
  <si>
    <t>__export__.product_template_47115_d6c3c32a</t>
  </si>
  <si>
    <t>10641</t>
  </si>
  <si>
    <t>საყელური (შაიბა) 56</t>
  </si>
  <si>
    <t>__export__.product_template_63112_04a41e33</t>
  </si>
  <si>
    <t>8184</t>
  </si>
  <si>
    <t>__export__.product_template_47116_3982747d</t>
  </si>
  <si>
    <t>5768</t>
  </si>
  <si>
    <t>__export__.product_template_47117_bc28c257</t>
  </si>
  <si>
    <t>7926</t>
  </si>
  <si>
    <t>__export__.product_template_47118_a9d82e04</t>
  </si>
  <si>
    <t>6119</t>
  </si>
  <si>
    <t>__export__.product_template_47119_b9a8d336</t>
  </si>
  <si>
    <t>10957</t>
  </si>
  <si>
    <t xml:space="preserve">საშლელი </t>
  </si>
  <si>
    <t>__export__.product_template_63260_e78886a4</t>
  </si>
  <si>
    <t>10497</t>
  </si>
  <si>
    <t>საცირკულაციო ტუმბო</t>
  </si>
  <si>
    <t>3/4 სანტექნიკა</t>
  </si>
  <si>
    <t>__export__.product_category_4625_7293310b</t>
  </si>
  <si>
    <t>__export__.product_template_47120_ac905bd0</t>
  </si>
  <si>
    <t>10871</t>
  </si>
  <si>
    <t>საწევრო: ენერგეტიკის განვითარების ფონდი</t>
  </si>
  <si>
    <t>2/18 საწევრო</t>
  </si>
  <si>
    <t>__export__.product_category_4688_b5769c9c</t>
  </si>
  <si>
    <t>__export__.product_template_63174_3bd40832</t>
  </si>
  <si>
    <t>10958</t>
  </si>
  <si>
    <t xml:space="preserve">საწერი კალამი ლურჯი </t>
  </si>
  <si>
    <t>__export__.product_template_63261_141f8f0c</t>
  </si>
  <si>
    <t>10959</t>
  </si>
  <si>
    <t>საწერი კალამი ლურჯი ღილაკიანი</t>
  </si>
  <si>
    <t>__export__.product_template_63262_aca6f5f0</t>
  </si>
  <si>
    <t>10960</t>
  </si>
  <si>
    <t>საწერი კალამი წითელი</t>
  </si>
  <si>
    <t>__export__.product_template_63263_402d605e</t>
  </si>
  <si>
    <t>3267</t>
  </si>
  <si>
    <t>__export__.product_template_47121_e295a2bc</t>
  </si>
  <si>
    <t>10054</t>
  </si>
  <si>
    <t>__export__.product_template_47122_c78ca43a</t>
  </si>
  <si>
    <t>10961</t>
  </si>
  <si>
    <t xml:space="preserve">საწმენდი დაფის </t>
  </si>
  <si>
    <t>__export__.product_template_63264_1eeeccdc</t>
  </si>
  <si>
    <t>10962</t>
  </si>
  <si>
    <t>საწმენდი კომპიუტერის ეკრანის (სალფეტკები)</t>
  </si>
  <si>
    <t>__export__.product_template_63265_263ea76b</t>
  </si>
  <si>
    <t>11030</t>
  </si>
  <si>
    <t>საწმენდი საშუალება ლამინატის</t>
  </si>
  <si>
    <t>__export__.product_template_63333_d92dbcc4</t>
  </si>
  <si>
    <t>11031</t>
  </si>
  <si>
    <t>საწმენდი საშუალება მეტლახის</t>
  </si>
  <si>
    <t>__export__.product_template_63334_8104867d</t>
  </si>
  <si>
    <t>11032</t>
  </si>
  <si>
    <t>საწმენდი საშუალება ტუალეტის (ABC ერევნის ხსნარი)</t>
  </si>
  <si>
    <t>__export__.product_template_63335_ad619308</t>
  </si>
  <si>
    <t>11033</t>
  </si>
  <si>
    <t>საწმენდი საშუალება ტუალეტის (უტკა)</t>
  </si>
  <si>
    <t>__export__.product_template_63336_6cee654a</t>
  </si>
  <si>
    <t>10754</t>
  </si>
  <si>
    <t>საწრთობი ღუმელის თერმოწყვილი ინდიკატორით 0-1250 С</t>
  </si>
  <si>
    <t>__export__.product_template_62784_1ad685ff</t>
  </si>
  <si>
    <t>3181</t>
  </si>
  <si>
    <t>2/5 საჭრელი დისკი / ჯაგრისი / ქვა</t>
  </si>
  <si>
    <t>__export__.product_category_4626_dc2ecfe5</t>
  </si>
  <si>
    <t>__export__.product_template_47123_a6429141</t>
  </si>
  <si>
    <t>4303</t>
  </si>
  <si>
    <t>__export__.product_template_47124_836311da</t>
  </si>
  <si>
    <t>3300</t>
  </si>
  <si>
    <t>__export__.product_template_47125_2d491c69</t>
  </si>
  <si>
    <t>7826</t>
  </si>
  <si>
    <t>__export__.product_template_47126_71930193</t>
  </si>
  <si>
    <t>5803</t>
  </si>
  <si>
    <t>საჭრელი დისკი 400*4 ლითონის</t>
  </si>
  <si>
    <t>__export__.product_template_47127_cbd56c2d</t>
  </si>
  <si>
    <t>10261</t>
  </si>
  <si>
    <t>საჭრისი 5*25*200 (სამაკალი)</t>
  </si>
  <si>
    <t>__export__.product_template_47128_94b494f5</t>
  </si>
  <si>
    <t>9361</t>
  </si>
  <si>
    <t>საჭრისი გადამჭრელი 16/20 BK8</t>
  </si>
  <si>
    <t>__export__.product_template_47129_802ce32c</t>
  </si>
  <si>
    <t>9102</t>
  </si>
  <si>
    <t>საჭრისი გადამჭრელი 20/30 BK8</t>
  </si>
  <si>
    <t>__export__.product_template_47130_e4fc5de4</t>
  </si>
  <si>
    <t>9236</t>
  </si>
  <si>
    <t>საჭრისი გადამჭრელი 25/16 BK8</t>
  </si>
  <si>
    <t>__export__.product_template_47131_bed348d5</t>
  </si>
  <si>
    <t>9103</t>
  </si>
  <si>
    <t>საჭრისი გადამჭრელი BK8</t>
  </si>
  <si>
    <t>__export__.product_template_47132_f15fef2a</t>
  </si>
  <si>
    <t>9355</t>
  </si>
  <si>
    <t>საჭრისი გამვლელი 16/20 BK8</t>
  </si>
  <si>
    <t>__export__.product_template_47133_9b4fa50a</t>
  </si>
  <si>
    <t>9357</t>
  </si>
  <si>
    <t>საჭრისი გამვლელი 16/20 T15K6</t>
  </si>
  <si>
    <t>__export__.product_template_47134_83b852a2</t>
  </si>
  <si>
    <t>10735</t>
  </si>
  <si>
    <t>საჭრისი გამვლელი 16/25 BK3</t>
  </si>
  <si>
    <t>__export__.product_template_62785_c7c5c585</t>
  </si>
  <si>
    <t>10743</t>
  </si>
  <si>
    <t>საჭრისი გამვლელი 16/25 BK4</t>
  </si>
  <si>
    <t>__export__.product_template_62786_4a56174c</t>
  </si>
  <si>
    <t>10737</t>
  </si>
  <si>
    <t>საჭრისი გამვლელი 16/25 BK6</t>
  </si>
  <si>
    <t>__export__.product_template_62787_e402444b</t>
  </si>
  <si>
    <t>10738</t>
  </si>
  <si>
    <t>საჭრისი გამვლელი 16/25 BK6М</t>
  </si>
  <si>
    <t>__export__.product_template_62788_e2cd4204</t>
  </si>
  <si>
    <t>10736</t>
  </si>
  <si>
    <t>საჭრისი გამვლელი 16/25 BKM</t>
  </si>
  <si>
    <t>__export__.product_template_62789_03fad8d8</t>
  </si>
  <si>
    <t>10739</t>
  </si>
  <si>
    <t>საჭრისი გამვლელი 16/25 Т14K8</t>
  </si>
  <si>
    <t>__export__.product_template_62790_a39c8010</t>
  </si>
  <si>
    <t>10741</t>
  </si>
  <si>
    <t>საჭრისი გამვლელი 16/25 ТТ17K12</t>
  </si>
  <si>
    <t>__export__.product_template_62791_df2a5c41</t>
  </si>
  <si>
    <t>10004</t>
  </si>
  <si>
    <t>საჭრისი გამვლელი 20/30 ВК8</t>
  </si>
  <si>
    <t>__export__.product_template_47135_bff7b83e</t>
  </si>
  <si>
    <t>9108</t>
  </si>
  <si>
    <t>საჭრისი გამვლელი 20/32 BK8</t>
  </si>
  <si>
    <t>__export__.product_template_47136_ffe3e3a0</t>
  </si>
  <si>
    <t>9107</t>
  </si>
  <si>
    <t>საჭრისი გამვლელი 25/16 BK8</t>
  </si>
  <si>
    <t>__export__.product_template_47137_5fb088d4</t>
  </si>
  <si>
    <t>9232</t>
  </si>
  <si>
    <t>საჭრისი გამვლელი 25/16 T15K6</t>
  </si>
  <si>
    <t>__export__.product_template_47138_4787c3eb</t>
  </si>
  <si>
    <t>9314</t>
  </si>
  <si>
    <t>საჭრისი გამვლელი მარცხენა 16/20 T5K10</t>
  </si>
  <si>
    <t>__export__.product_template_47139_dddd47b0</t>
  </si>
  <si>
    <t>10744</t>
  </si>
  <si>
    <t>საჭრისი გამვლელი მარცხენა 16/25 BK4</t>
  </si>
  <si>
    <t>__export__.product_template_62792_6820c581</t>
  </si>
  <si>
    <t>8090</t>
  </si>
  <si>
    <t>საჭრისი გამვლელი მარცხენა 16/25 BK8</t>
  </si>
  <si>
    <t>__export__.product_template_47140_a8fad73b</t>
  </si>
  <si>
    <t>10020</t>
  </si>
  <si>
    <t>საჭრისი გამვლელი მარცხენა 16/25 T5K10</t>
  </si>
  <si>
    <t>__export__.product_template_47141_fb12f4e5</t>
  </si>
  <si>
    <t>10740</t>
  </si>
  <si>
    <t>საჭრისი გამვლელი მარცხენა 16/25 Т14K8</t>
  </si>
  <si>
    <t>__export__.product_template_62793_8ac2af47</t>
  </si>
  <si>
    <t>10742</t>
  </si>
  <si>
    <t>საჭრისი გამვლელი მარცხენა 16/25 ТТ17K12</t>
  </si>
  <si>
    <t>__export__.product_template_62794_e7fc677f</t>
  </si>
  <si>
    <t>9313</t>
  </si>
  <si>
    <t>საჭრისი გამვლელი მარცხენა BK8</t>
  </si>
  <si>
    <t>__export__.product_template_47142_eb490d94</t>
  </si>
  <si>
    <t>10015</t>
  </si>
  <si>
    <t>საჭრისი მიმჭერი 16/25 T5K10</t>
  </si>
  <si>
    <t>__export__.product_template_47143_90899795</t>
  </si>
  <si>
    <t>9356</t>
  </si>
  <si>
    <t>საჭრისი მიმჭრელი 16/20 BK8</t>
  </si>
  <si>
    <t>__export__.product_template_47144_43d8fea0</t>
  </si>
  <si>
    <t>9358</t>
  </si>
  <si>
    <t>საჭრისი მიმჭრელი 16/20 T15K6</t>
  </si>
  <si>
    <t>__export__.product_template_47145_313f5ceb</t>
  </si>
  <si>
    <t>10745</t>
  </si>
  <si>
    <t>საჭრისი მიმჭრელი 16/25 Т30K4</t>
  </si>
  <si>
    <t>__export__.product_template_62795_69209ddb</t>
  </si>
  <si>
    <t>10005</t>
  </si>
  <si>
    <t>საჭრისი მიმჭრელი 20/30 ВК8</t>
  </si>
  <si>
    <t>__export__.product_template_47146_3fe83627</t>
  </si>
  <si>
    <t>9104</t>
  </si>
  <si>
    <t>საჭრისი მიმჭრელი 20/32 BK8</t>
  </si>
  <si>
    <t>__export__.product_template_47147_570f995e</t>
  </si>
  <si>
    <t>10012</t>
  </si>
  <si>
    <t>საჭრისი მიმჭრელი 20/32 T15K6</t>
  </si>
  <si>
    <t>__export__.product_template_47148_8f75f1ac</t>
  </si>
  <si>
    <t>10013</t>
  </si>
  <si>
    <t>საჭრისი მიმჭრელი 20/32 T5K10</t>
  </si>
  <si>
    <t>__export__.product_template_47149_aabf8a54</t>
  </si>
  <si>
    <t>9111</t>
  </si>
  <si>
    <t>საჭრისი მიმჭრელი 25/16 BK8</t>
  </si>
  <si>
    <t>__export__.product_template_47150_95e80011</t>
  </si>
  <si>
    <t>9109</t>
  </si>
  <si>
    <t>საჭრისი მიმჭრელი 25/16 T15K6</t>
  </si>
  <si>
    <t>__export__.product_template_47151_3be264b9</t>
  </si>
  <si>
    <t>9233</t>
  </si>
  <si>
    <t>საჭრისი მიმჭრელი მარცხენა 25/16 BK8</t>
  </si>
  <si>
    <t>__export__.product_template_47152_a6d975d8</t>
  </si>
  <si>
    <t>10585</t>
  </si>
  <si>
    <t>საჭრისი შიგმჩარხი 16*16 BK8</t>
  </si>
  <si>
    <t>__export__.product_template_47153_49349b59</t>
  </si>
  <si>
    <t>9350</t>
  </si>
  <si>
    <t>საჭრისი შიგმჩარხი 16*20 BK8</t>
  </si>
  <si>
    <t>__export__.product_template_47154_706b6fb7</t>
  </si>
  <si>
    <t>9234</t>
  </si>
  <si>
    <t>საჭრისი შიგმჩარხი გამვლელი 25/16BK8</t>
  </si>
  <si>
    <t>__export__.product_template_47155_37b23368</t>
  </si>
  <si>
    <t>9360</t>
  </si>
  <si>
    <t>საჭრისი ხრახნმჭრელი 16/20 BK8</t>
  </si>
  <si>
    <t>__export__.product_template_47156_5c11124f</t>
  </si>
  <si>
    <t>10963</t>
  </si>
  <si>
    <t>სახაზავი</t>
  </si>
  <si>
    <t>__export__.product_template_63266_57f55c40</t>
  </si>
  <si>
    <t>3847</t>
  </si>
  <si>
    <t>2/12/2 სახანძრო ინვენტარი</t>
  </si>
  <si>
    <t>__export__.product_category_4627_c33b5d29</t>
  </si>
  <si>
    <t>__export__.product_template_47157_08b79460</t>
  </si>
  <si>
    <t>4032</t>
  </si>
  <si>
    <t>__export__.product_template_47158_af9807cf</t>
  </si>
  <si>
    <t>8414</t>
  </si>
  <si>
    <t>__export__.product_template_47159_bd43961d</t>
  </si>
  <si>
    <t>9974</t>
  </si>
  <si>
    <t>სახარატო 250მმ ვაზნის მუშტები (ამობრუნებული)</t>
  </si>
  <si>
    <t>__export__.product_template_47160_92f8d770</t>
  </si>
  <si>
    <t>9973</t>
  </si>
  <si>
    <t>სახარატო 250მმ ვაზნის მუშტები (პირდაპირი)</t>
  </si>
  <si>
    <t>__export__.product_template_47161_acbda718</t>
  </si>
  <si>
    <t>9975</t>
  </si>
  <si>
    <t>სახარატო 315მმ ვაზნის მუშტები (უნივერსალური)</t>
  </si>
  <si>
    <t>__export__.product_template_47162_8cff2259</t>
  </si>
  <si>
    <t>9976</t>
  </si>
  <si>
    <t>სახარატო 400მმ ვაზნის მუშტები (ამობრუნებული)</t>
  </si>
  <si>
    <t>__export__.product_template_47163_80e80762</t>
  </si>
  <si>
    <t>9977</t>
  </si>
  <si>
    <t>სახარატო 400მმ ვაზნის მუშტები (პირდაპირი)</t>
  </si>
  <si>
    <t>__export__.product_template_47164_060d46b3</t>
  </si>
  <si>
    <t>10341</t>
  </si>
  <si>
    <t>სახარატო ხრახნმჭრელი ჩარხი</t>
  </si>
  <si>
    <t>__export__.product_template_47165_a9e6b961</t>
  </si>
  <si>
    <t>6406</t>
  </si>
  <si>
    <t>__export__.product_template_47166_23fd3ec9</t>
  </si>
  <si>
    <t>6408</t>
  </si>
  <si>
    <t>__export__.product_template_47167_1c21951a</t>
  </si>
  <si>
    <t>10501</t>
  </si>
  <si>
    <t>სახეხი თავურა</t>
  </si>
  <si>
    <t>3/1 მოწყობილობის მაკომპლექტებელი</t>
  </si>
  <si>
    <t>__export__.product_category_4628_cd0bfb14</t>
  </si>
  <si>
    <t>__export__.product_template_47168_f3a44855</t>
  </si>
  <si>
    <t>10105</t>
  </si>
  <si>
    <t>სახეხი მანქანა (ელ. ზუმფარა)</t>
  </si>
  <si>
    <t>__export__.product_template_30778_eed61133</t>
  </si>
  <si>
    <t>3299</t>
  </si>
  <si>
    <t>__export__.product_template_30779_d0505310</t>
  </si>
  <si>
    <t>7723</t>
  </si>
  <si>
    <t>__export__.product_template_30780_4514ac5c</t>
  </si>
  <si>
    <t>4302</t>
  </si>
  <si>
    <t>__export__.product_template_30781_2c5b542d</t>
  </si>
  <si>
    <t>3082</t>
  </si>
  <si>
    <t>__export__.product_template_30782_ab4b0168</t>
  </si>
  <si>
    <t>9985</t>
  </si>
  <si>
    <t>სახეხი ქვა ალმასის 150*40*32 AC6 ფინჯანის ფორმის</t>
  </si>
  <si>
    <t>__export__.product_template_30783_acdd2166</t>
  </si>
  <si>
    <t>9192</t>
  </si>
  <si>
    <t>სახეხი ქვა კერამიკულ ფუძეზე 150*32*16 25A თეთრი ГОСТ 2424-83</t>
  </si>
  <si>
    <t>__export__.product_template_30784_52c091f1</t>
  </si>
  <si>
    <t>9191</t>
  </si>
  <si>
    <t>სახეხი ქვა კერამიკულ ფუძეზე 150*32*16 25A მწვანე ГОСТ 2424-83</t>
  </si>
  <si>
    <t>__export__.product_template_30785_9db90cd6</t>
  </si>
  <si>
    <t>9955</t>
  </si>
  <si>
    <t>სახეხი ქვა კერამიკულ ფუძეზე 150*32*20 25A მწვანე ГОСТ 2424-83</t>
  </si>
  <si>
    <t>__export__.product_template_30786_8e9e467f</t>
  </si>
  <si>
    <t>9954</t>
  </si>
  <si>
    <t>სახეხი ქვა კერამიკულ ფუძეზე 150*32*20 25A ნაცრისფერი ГОСТ 2424-83</t>
  </si>
  <si>
    <t>__export__.product_template_30787_5fb186d4</t>
  </si>
  <si>
    <t>7422</t>
  </si>
  <si>
    <t>სახეხი ქვა კერამიკულ ფუძეზე 200*20*32 25A მწვანე ГОСТ 2424-83</t>
  </si>
  <si>
    <t>__export__.product_template_30788_49cd4869</t>
  </si>
  <si>
    <t>8700</t>
  </si>
  <si>
    <t>სახეხი ქვა კერამიკულ ფუძეზე 200*20*32 25A ნაცრისფერი ГОСТ 2424-83</t>
  </si>
  <si>
    <t>__export__.product_template_30789_b0681a1c</t>
  </si>
  <si>
    <t>7421</t>
  </si>
  <si>
    <t>სახეხი ქვა კერამიკულ ფუძეზე 400*40*127 25A მწვანე ГОСТ 2424-83</t>
  </si>
  <si>
    <t>__export__.product_template_30790_63ec2e97</t>
  </si>
  <si>
    <t>6764</t>
  </si>
  <si>
    <t>სახეხი ქვა კერამიკულ ფუძეზე 400*40*127 25A ნაცრისფერი ГОСТ 2424-83</t>
  </si>
  <si>
    <t>__export__.product_template_30791_09f368b3</t>
  </si>
  <si>
    <t>10964</t>
  </si>
  <si>
    <t>სახვრეტელა (დირაკოლი)</t>
  </si>
  <si>
    <t>__export__.product_template_63267_4a460460</t>
  </si>
  <si>
    <t>4329</t>
  </si>
  <si>
    <t>__export__.product_template_30792_6183c4cd</t>
  </si>
  <si>
    <t>5740</t>
  </si>
  <si>
    <t>__export__.product_template_30793_092cf6e1</t>
  </si>
  <si>
    <t>10234</t>
  </si>
  <si>
    <t>სახრახნისების ნაკრები დიელექტრიკული 1000v 6ც.</t>
  </si>
  <si>
    <t>__export__.product_template_30794_b09fe523</t>
  </si>
  <si>
    <t>9909</t>
  </si>
  <si>
    <t>სახრახნისების ნაკრები დრეკადი</t>
  </si>
  <si>
    <t>__export__.product_template_30795_29f53329</t>
  </si>
  <si>
    <t>3042</t>
  </si>
  <si>
    <t>__export__.product_template_30796_85d15493</t>
  </si>
  <si>
    <t>10360</t>
  </si>
  <si>
    <t>__export__.product_template_30797_df4d9b3b</t>
  </si>
  <si>
    <t>10088</t>
  </si>
  <si>
    <t>საჰაერო გამთიშავი 10კვა მაღალი ძაბვის</t>
  </si>
  <si>
    <t>__export__.product_template_30798_5d0bc123</t>
  </si>
  <si>
    <t>5143</t>
  </si>
  <si>
    <t>__export__.product_template_30799_75a06a68</t>
  </si>
  <si>
    <t>10079</t>
  </si>
  <si>
    <t>სენსორული ეკრანის კალამი</t>
  </si>
  <si>
    <t>__export__.product_template_30800_522ff3ec</t>
  </si>
  <si>
    <t>11833</t>
  </si>
  <si>
    <t>სერვერი - GIS</t>
  </si>
  <si>
    <t>__export__.product_template_74137_0828a7b6</t>
  </si>
  <si>
    <t>10877</t>
  </si>
  <si>
    <t>სერვისი: დისპენსერი</t>
  </si>
  <si>
    <t>__export__.product_template_63180_4a220a1e</t>
  </si>
  <si>
    <t>10070</t>
  </si>
  <si>
    <t>სერიალ კაბელი დედალ-მამალი</t>
  </si>
  <si>
    <t>__export__.product_template_30801_311c1f68</t>
  </si>
  <si>
    <t>9251</t>
  </si>
  <si>
    <t>__export__.product_template_30802_465eda34</t>
  </si>
  <si>
    <t>9252</t>
  </si>
  <si>
    <t>სვიჩი 8 პორტიანი</t>
  </si>
  <si>
    <t>__export__.product_template_30803_2c1cf60f</t>
  </si>
  <si>
    <t>4517</t>
  </si>
  <si>
    <t>__export__.product_template_30804_38c372a4</t>
  </si>
  <si>
    <t>6892</t>
  </si>
  <si>
    <t>2/5 მოწყობილობა ლაბორატორია</t>
  </si>
  <si>
    <t>__export__.product_category_4631_f3de9bb6</t>
  </si>
  <si>
    <t>__export__.product_template_30805_b11f2419</t>
  </si>
  <si>
    <t>5955</t>
  </si>
  <si>
    <t>__export__.product_template_30806_73e2bb64</t>
  </si>
  <si>
    <t>8128</t>
  </si>
  <si>
    <t>__export__.product_template_30807_d7cfd67b</t>
  </si>
  <si>
    <t>2005030</t>
  </si>
  <si>
    <t>სიპ დამჭიმი PA4 PL158</t>
  </si>
  <si>
    <t>__export__.product_template_77920_40856b29</t>
  </si>
  <si>
    <t>6597</t>
  </si>
  <si>
    <t>სიპ ჩამჭერი ელ. სადენის (შუალედური)</t>
  </si>
  <si>
    <t>__export__.product_template_30808_22897907</t>
  </si>
  <si>
    <t>2003613</t>
  </si>
  <si>
    <t>სიპის მხვრეტავი ჩამჭერი 16-95</t>
  </si>
  <si>
    <t>__export__.product_template_77922_6f0acc51</t>
  </si>
  <si>
    <t>6003</t>
  </si>
  <si>
    <t>__export__.product_template_30809_4e9b08f0</t>
  </si>
  <si>
    <t>8774</t>
  </si>
  <si>
    <t>სკამი სამზარეულოს</t>
  </si>
  <si>
    <t>__export__.product_template_30810_6e645614</t>
  </si>
  <si>
    <t>4236</t>
  </si>
  <si>
    <t>სკამი საოფისე</t>
  </si>
  <si>
    <t>__export__.product_template_30811_66771058</t>
  </si>
  <si>
    <t>10864</t>
  </si>
  <si>
    <t xml:space="preserve">სკანირების დიზაინის პრგრამის (Beam tools) განახლება </t>
  </si>
  <si>
    <t>2/12/9 განახლება</t>
  </si>
  <si>
    <t>__export__.product_category_4687_d0b2f853</t>
  </si>
  <si>
    <t>__export__.product_template_63167_f69afe29</t>
  </si>
  <si>
    <t>10657</t>
  </si>
  <si>
    <t>სკოპი სამაგრი ქსელის კაბელის ბრტყელი</t>
  </si>
  <si>
    <t>2/12/4 სკოპი</t>
  </si>
  <si>
    <t>__export__.product_category_4677_a8af6d99</t>
  </si>
  <si>
    <t>__export__.product_template_63126_a506bc44</t>
  </si>
  <si>
    <t>3117</t>
  </si>
  <si>
    <t>__export__.product_template_30812_2a42cd3c</t>
  </si>
  <si>
    <t>10965</t>
  </si>
  <si>
    <t>სკოჩი დიდი</t>
  </si>
  <si>
    <t>__export__.product_template_63268_b305696e</t>
  </si>
  <si>
    <t>10658</t>
  </si>
  <si>
    <t>სკოჩი ორმაგი 12*900</t>
  </si>
  <si>
    <t>__export__.product_template_63127_5d932d00</t>
  </si>
  <si>
    <t>10966</t>
  </si>
  <si>
    <t>სკოჩი პატარა</t>
  </si>
  <si>
    <t>__export__.product_template_63269_17918168</t>
  </si>
  <si>
    <t>10967</t>
  </si>
  <si>
    <t>სკრეპი პლასტმასის პატარა</t>
  </si>
  <si>
    <t>__export__.product_template_63270_a6860364</t>
  </si>
  <si>
    <t>07096</t>
  </si>
  <si>
    <t>სოკარ ჯორჯია გაზის პროექტის</t>
  </si>
  <si>
    <t>__export__.product_template_71010_1fb5e922</t>
  </si>
  <si>
    <t>3409</t>
  </si>
  <si>
    <t>სპეცტანსაცმელი</t>
  </si>
  <si>
    <t>__export__.product_template_30814_8d92b3cc</t>
  </si>
  <si>
    <t>10227</t>
  </si>
  <si>
    <t>სპილენძ-სულფატის შედარების ელემენტი</t>
  </si>
  <si>
    <t>__export__.product_template_30815_4b052e19</t>
  </si>
  <si>
    <t>4212</t>
  </si>
  <si>
    <t>__export__.product_template_30816_6b27ff1e</t>
  </si>
  <si>
    <t>10089</t>
  </si>
  <si>
    <t>სტანდარტების დოკუმენტაცია</t>
  </si>
  <si>
    <t>2/9 სტანდარტი საკალიბრო</t>
  </si>
  <si>
    <t>__export__.product_category_4632_ff585282</t>
  </si>
  <si>
    <t>__export__.product_template_30817_8d392566</t>
  </si>
  <si>
    <t>10856</t>
  </si>
  <si>
    <t>სტანდარტიზაცია: ლაბორატორიის ხელსაწყო - დანადგარები</t>
  </si>
  <si>
    <t>__export__.product_template_63159_2c767dc7</t>
  </si>
  <si>
    <t>9456</t>
  </si>
  <si>
    <t>სტანდარტული Wedge (სოლი) A 12.0 გრად.კაბელებით (მზომი ხელსაწყო)</t>
  </si>
  <si>
    <t>__export__.product_template_30818_78329cf7</t>
  </si>
  <si>
    <t>10228</t>
  </si>
  <si>
    <t>სტაციონალური შედარების ელექტროდი</t>
  </si>
  <si>
    <t>__export__.product_template_30819_d0d8ed55</t>
  </si>
  <si>
    <t>10968</t>
  </si>
  <si>
    <t>სტეპლერი დიდი</t>
  </si>
  <si>
    <t>__export__.product_template_63271_4af05234</t>
  </si>
  <si>
    <t>10969</t>
  </si>
  <si>
    <t>სტეპლერი პატარა</t>
  </si>
  <si>
    <t>__export__.product_template_63272_7f185852</t>
  </si>
  <si>
    <t>10970</t>
  </si>
  <si>
    <t>სტეპლერის დიდი ტყვიები</t>
  </si>
  <si>
    <t>__export__.product_template_63273_99c9459c</t>
  </si>
  <si>
    <t>10971</t>
  </si>
  <si>
    <t>სტეპლერის პატარა ტყვიები</t>
  </si>
  <si>
    <t>__export__.product_template_63274_66f33446</t>
  </si>
  <si>
    <t>10972</t>
  </si>
  <si>
    <t>__export__.product_template_63275_c9ecb7a6</t>
  </si>
  <si>
    <t>6033</t>
  </si>
  <si>
    <t>__export__.product_template_30820_75f01dae</t>
  </si>
  <si>
    <t>10766</t>
  </si>
  <si>
    <t>სტიკერი - "GGTC" 600*300მმ</t>
  </si>
  <si>
    <t>2/11 მანიშნებელი</t>
  </si>
  <si>
    <t>__export__.product_category_4633_0247da25</t>
  </si>
  <si>
    <t>__export__.product_template_62796_daf86769</t>
  </si>
  <si>
    <t>11830</t>
  </si>
  <si>
    <t>სურნელოვანი ჩხირები ოთახის</t>
  </si>
  <si>
    <t>__export__.product_template_74134_c4255453</t>
  </si>
  <si>
    <t>8598</t>
  </si>
  <si>
    <t>2/5 სფერული დამხშობი</t>
  </si>
  <si>
    <t>__export__.product_category_4634_1c13f98a</t>
  </si>
  <si>
    <t>__export__.product_template_30821_adaaa884</t>
  </si>
  <si>
    <t>5063</t>
  </si>
  <si>
    <t>__export__.product_template_30822_295a8447</t>
  </si>
  <si>
    <t>9957</t>
  </si>
  <si>
    <t>სფერული დამხშობი D114*6</t>
  </si>
  <si>
    <t>__export__.product_template_30823_b205b446</t>
  </si>
  <si>
    <t>10616</t>
  </si>
  <si>
    <t>სფერული დამხშობი D1220*16</t>
  </si>
  <si>
    <t>__export__.product_template_47169_9abc1f7e</t>
  </si>
  <si>
    <t>6156</t>
  </si>
  <si>
    <t>__export__.product_template_30824_a75714c1</t>
  </si>
  <si>
    <t>3581</t>
  </si>
  <si>
    <t>სფერული დამხშობი D159*12</t>
  </si>
  <si>
    <t>__export__.product_template_30825_666e3091</t>
  </si>
  <si>
    <t>9225</t>
  </si>
  <si>
    <t>__export__.product_template_30826_b15dc7f5</t>
  </si>
  <si>
    <t>9958</t>
  </si>
  <si>
    <t>სფერული დამხშობი D159*8</t>
  </si>
  <si>
    <t>__export__.product_template_30827_b999cd65</t>
  </si>
  <si>
    <t>7412</t>
  </si>
  <si>
    <t>__export__.product_template_30828_0efd37ec</t>
  </si>
  <si>
    <t>9336</t>
  </si>
  <si>
    <t>__export__.product_template_30829_1ed5c2cb</t>
  </si>
  <si>
    <t>3592</t>
  </si>
  <si>
    <t>__export__.product_template_30830_e4cd65dc</t>
  </si>
  <si>
    <t>9337</t>
  </si>
  <si>
    <t>__export__.product_template_30831_0e0fa185</t>
  </si>
  <si>
    <t>9310</t>
  </si>
  <si>
    <t>__export__.product_template_30832_242246f9</t>
  </si>
  <si>
    <t>3150</t>
  </si>
  <si>
    <t>__export__.product_template_30833_88b8864e</t>
  </si>
  <si>
    <t>7930</t>
  </si>
  <si>
    <t>__export__.product_template_30834_157ed787</t>
  </si>
  <si>
    <t>8452</t>
  </si>
  <si>
    <t>__export__.product_template_30835_2bb4cde5</t>
  </si>
  <si>
    <t>3065</t>
  </si>
  <si>
    <t>__export__.product_template_30836_30f24494</t>
  </si>
  <si>
    <t>3147</t>
  </si>
  <si>
    <t>__export__.product_template_30837_b23af0a6</t>
  </si>
  <si>
    <t>9335</t>
  </si>
  <si>
    <t>__export__.product_template_30838_cccfcccc</t>
  </si>
  <si>
    <t>6286</t>
  </si>
  <si>
    <t>__export__.product_template_30839_75727012</t>
  </si>
  <si>
    <t>10060</t>
  </si>
  <si>
    <t>__export__.product_template_30840_e2397cc6</t>
  </si>
  <si>
    <t>6483</t>
  </si>
  <si>
    <t>__export__.product_template_30841_9eaf52dd</t>
  </si>
  <si>
    <t>10615</t>
  </si>
  <si>
    <t>სფერული დამხშობი D711*12</t>
  </si>
  <si>
    <t>__export__.product_template_47170_4e3797b1</t>
  </si>
  <si>
    <t>8502</t>
  </si>
  <si>
    <t>სფერული დამხშობი D720*10</t>
  </si>
  <si>
    <t>__export__.product_template_30842_e19c7aa8</t>
  </si>
  <si>
    <t>9334</t>
  </si>
  <si>
    <t>__export__.product_template_30843_70e014ac</t>
  </si>
  <si>
    <t>5468</t>
  </si>
  <si>
    <t>სფერული დამხშობი D720*14</t>
  </si>
  <si>
    <t>__export__.product_template_30844_c8892097</t>
  </si>
  <si>
    <t>9159</t>
  </si>
  <si>
    <t>სფერული დამხშობი D720*16</t>
  </si>
  <si>
    <t>__export__.product_template_30845_9508cd95</t>
  </si>
  <si>
    <t>10336</t>
  </si>
  <si>
    <t>__export__.product_template_30846_953fd344</t>
  </si>
  <si>
    <t>5830</t>
  </si>
  <si>
    <t>__export__.product_template_30847_5b34e2a6</t>
  </si>
  <si>
    <t>8578</t>
  </si>
  <si>
    <t>__export__.product_template_30848_5d58e2c6</t>
  </si>
  <si>
    <t>8902</t>
  </si>
  <si>
    <t>სფერული დამხშობი D820*14</t>
  </si>
  <si>
    <t>__export__.product_template_30849_27bcd76f</t>
  </si>
  <si>
    <t>6505</t>
  </si>
  <si>
    <t>__export__.product_template_30850_04227398</t>
  </si>
  <si>
    <t>7680</t>
  </si>
  <si>
    <t>3/3 სფერული ონკანი DN100 PN16 - PN25</t>
  </si>
  <si>
    <t>__export__.product_category_4635_d7ea7527</t>
  </si>
  <si>
    <t>__export__.product_template_30851_e0ffc01e</t>
  </si>
  <si>
    <t>3060</t>
  </si>
  <si>
    <t>__export__.product_template_30852_16c21b81</t>
  </si>
  <si>
    <t>8713</t>
  </si>
  <si>
    <t>__export__.product_template_30853_2ed1742e</t>
  </si>
  <si>
    <t>8881</t>
  </si>
  <si>
    <t>__export__.product_template_30854_04b0d42b</t>
  </si>
  <si>
    <t>8308</t>
  </si>
  <si>
    <t>__export__.product_template_30855_14848be4</t>
  </si>
  <si>
    <t>5443</t>
  </si>
  <si>
    <t>3/3 სფერული ონკანი DN100 PN40 - PN64</t>
  </si>
  <si>
    <t>__export__.product_category_4636_5843fed9</t>
  </si>
  <si>
    <t>__export__.product_template_30856_41f1b53c</t>
  </si>
  <si>
    <t>10631</t>
  </si>
  <si>
    <t>სფერული ონკანი DN100 PN40 მიწისქვეშა</t>
  </si>
  <si>
    <t>__export__.product_template_47720_c1a5a2db</t>
  </si>
  <si>
    <t>5114</t>
  </si>
  <si>
    <t>__export__.product_template_30857_44147b8c</t>
  </si>
  <si>
    <t>9872</t>
  </si>
  <si>
    <t>__export__.product_template_30858_ecf2f5c7</t>
  </si>
  <si>
    <t>7687</t>
  </si>
  <si>
    <t>__export__.product_template_30859_ee0c4947</t>
  </si>
  <si>
    <t>6876</t>
  </si>
  <si>
    <t>2/5 სფერული ონკანი DN15 - DN40</t>
  </si>
  <si>
    <t>__export__.product_category_4637_9e5d82e5</t>
  </si>
  <si>
    <t>__export__.product_template_30860_b8799b90</t>
  </si>
  <si>
    <t>7688</t>
  </si>
  <si>
    <t>__export__.product_template_30861_38dd80f7</t>
  </si>
  <si>
    <t>7821</t>
  </si>
  <si>
    <t>__export__.product_template_30863_18a90a03</t>
  </si>
  <si>
    <t>6129</t>
  </si>
  <si>
    <t>__export__.product_template_30862_67acf182</t>
  </si>
  <si>
    <t>3390</t>
  </si>
  <si>
    <t>__export__.product_template_30864_e9841b12</t>
  </si>
  <si>
    <t>10361</t>
  </si>
  <si>
    <t>სფერული ონკანი DN15 PN64 უჟანგავი შიდა ხრახნით</t>
  </si>
  <si>
    <t>__export__.product_template_30865_f18e64fd</t>
  </si>
  <si>
    <t>9873</t>
  </si>
  <si>
    <t>__export__.product_template_30866_5efa0adf</t>
  </si>
  <si>
    <t>5359</t>
  </si>
  <si>
    <t>3/3 სფერული ონკანი DN150 PN16 - PN25</t>
  </si>
  <si>
    <t>__export__.product_category_4638_cff0160f</t>
  </si>
  <si>
    <t>__export__.product_template_30867_a54f235c</t>
  </si>
  <si>
    <t>9863</t>
  </si>
  <si>
    <t>__export__.product_template_30868_e46afb90</t>
  </si>
  <si>
    <t>9449</t>
  </si>
  <si>
    <t>__export__.product_template_30869_4f2e7869</t>
  </si>
  <si>
    <t>8833</t>
  </si>
  <si>
    <t>__export__.product_template_30870_d18e7e70</t>
  </si>
  <si>
    <t>8306</t>
  </si>
  <si>
    <t>__export__.product_template_30871_9517bd08</t>
  </si>
  <si>
    <t>5444</t>
  </si>
  <si>
    <t>3/3 სფერული ონკანი DN150 PN40 - PN64</t>
  </si>
  <si>
    <t>__export__.product_category_4639_5af137d0</t>
  </si>
  <si>
    <t>__export__.product_template_30872_79dd559e</t>
  </si>
  <si>
    <t>7689</t>
  </si>
  <si>
    <t>__export__.product_template_30873_2896065b</t>
  </si>
  <si>
    <t>9884</t>
  </si>
  <si>
    <t>__export__.product_template_30874_f1f36ee8</t>
  </si>
  <si>
    <t>9450</t>
  </si>
  <si>
    <t>სფერული ონკანი DN150 PN64 შედუღებით</t>
  </si>
  <si>
    <t>__export__.product_template_30875_53496b6b</t>
  </si>
  <si>
    <t>8301</t>
  </si>
  <si>
    <t>__export__.product_template_30876_9601a9f0</t>
  </si>
  <si>
    <t>11832</t>
  </si>
  <si>
    <t>სფერული ონკანი DN150 PN64 შედუღებით მიწისქვეშა პნევმო/მექანიკური</t>
  </si>
  <si>
    <t>__export__.product_template_74136_4cda5d38</t>
  </si>
  <si>
    <t>10625</t>
  </si>
  <si>
    <t>სფერული ონკანი DN20 PN16 შიდა ხრახნით</t>
  </si>
  <si>
    <t>__export__.product_template_47171_a7ff6dbe</t>
  </si>
  <si>
    <t>5877</t>
  </si>
  <si>
    <t>სფერული ონკანი DN20 PN40 მილტუჩა</t>
  </si>
  <si>
    <t>__export__.product_template_30877_e4b916ae</t>
  </si>
  <si>
    <t>6638</t>
  </si>
  <si>
    <t>__export__.product_template_30878_ed21c308</t>
  </si>
  <si>
    <t>6870</t>
  </si>
  <si>
    <t>__export__.product_template_30879_719c538a</t>
  </si>
  <si>
    <t>4400</t>
  </si>
  <si>
    <t>სფერული ონკანი DN20 PN40 შიდა ხრახნით ლატუნის</t>
  </si>
  <si>
    <t>__export__.product_template_30880_704b2104</t>
  </si>
  <si>
    <t>10582</t>
  </si>
  <si>
    <t>3/3 სფერული ონკანი DN200 PN16 - PN25 1620</t>
  </si>
  <si>
    <t>__export__.product_category_4759_bcbd83b7</t>
  </si>
  <si>
    <t>__export__.product_template_47172_0013617f</t>
  </si>
  <si>
    <t>5958</t>
  </si>
  <si>
    <t>3/3 სფერული ონკანი DN200 PN16 - PN25</t>
  </si>
  <si>
    <t>__export__.product_category_4640_de9e8f93</t>
  </si>
  <si>
    <t>__export__.product_template_30881_ea6b2d82</t>
  </si>
  <si>
    <t>10460</t>
  </si>
  <si>
    <t>__export__.product_template_30882_9ca83f52</t>
  </si>
  <si>
    <t>9885</t>
  </si>
  <si>
    <t>__export__.product_template_30883_d7a5c9a4</t>
  </si>
  <si>
    <t>10581</t>
  </si>
  <si>
    <t>__export__.product_template_47173_0cbd3671</t>
  </si>
  <si>
    <t>5354</t>
  </si>
  <si>
    <t>__export__.product_template_30884_a050ef00</t>
  </si>
  <si>
    <t>10583</t>
  </si>
  <si>
    <t>__export__.product_template_47174_b47a2975</t>
  </si>
  <si>
    <t>9868</t>
  </si>
  <si>
    <t>__export__.product_template_30885_e0bab87c</t>
  </si>
  <si>
    <t>7820</t>
  </si>
  <si>
    <t>__export__.product_template_30886_cd4f5279</t>
  </si>
  <si>
    <t>10061</t>
  </si>
  <si>
    <t>__export__.product_template_30887_e859e340</t>
  </si>
  <si>
    <t>6018</t>
  </si>
  <si>
    <t>__export__.product_template_30888_00ad6d3c</t>
  </si>
  <si>
    <t>7645</t>
  </si>
  <si>
    <t>3/3 სფერული ონკანი DN250</t>
  </si>
  <si>
    <t>__export__.product_category_4641_20a7d2dc</t>
  </si>
  <si>
    <t>__export__.product_template_30889_09a53789</t>
  </si>
  <si>
    <t>7654</t>
  </si>
  <si>
    <t>სფერული ონკანი DN300 PN16 შედუღებით</t>
  </si>
  <si>
    <t>3/3 სფერული ონკანი DN300 PN16 - PN25</t>
  </si>
  <si>
    <t>__export__.product_category_4642_946396da</t>
  </si>
  <si>
    <t>__export__.product_template_30890_63edc1fa</t>
  </si>
  <si>
    <t>8712</t>
  </si>
  <si>
    <t>__export__.product_template_30891_2ae34807</t>
  </si>
  <si>
    <t>5446</t>
  </si>
  <si>
    <t>3/3 სფერული ონკანი DN300 PN40 - PN64</t>
  </si>
  <si>
    <t>__export__.product_category_4643_afe756f5</t>
  </si>
  <si>
    <t>__export__.product_template_30892_d8551f77</t>
  </si>
  <si>
    <t>7631</t>
  </si>
  <si>
    <t>__export__.product_template_30893_bd3f205d</t>
  </si>
  <si>
    <t>7653</t>
  </si>
  <si>
    <t>__export__.product_template_30894_a4da0a4c</t>
  </si>
  <si>
    <t>9886</t>
  </si>
  <si>
    <t>სფერული ონკანი DN300 PN55 შედუღებით მიწისქვეშა</t>
  </si>
  <si>
    <t>__export__.product_template_30895_ba637b85</t>
  </si>
  <si>
    <t>5367</t>
  </si>
  <si>
    <t>__export__.product_template_30896_9db8fcd8</t>
  </si>
  <si>
    <t>9451</t>
  </si>
  <si>
    <t>__export__.product_template_30897_1cdea1da</t>
  </si>
  <si>
    <t>4484</t>
  </si>
  <si>
    <t>__export__.product_template_30898_d4fab3c5</t>
  </si>
  <si>
    <t>6871</t>
  </si>
  <si>
    <t>2/5 სფერული ონკანი DN15 - DN40 2197</t>
  </si>
  <si>
    <t>__export__.product_category_4750_5e09facc</t>
  </si>
  <si>
    <t>__export__.product_template_30899_888b218d</t>
  </si>
  <si>
    <t>7651</t>
  </si>
  <si>
    <t>__export__.product_template_30900_e2eb66a0</t>
  </si>
  <si>
    <t>21</t>
  </si>
  <si>
    <t>სფერული ონკანი DN40 P64 მილტუჩა</t>
  </si>
  <si>
    <t>__export__.product_template_46124_2041b34a</t>
  </si>
  <si>
    <t>3844</t>
  </si>
  <si>
    <t>__export__.product_template_30901_9cbcdea8</t>
  </si>
  <si>
    <t>8880</t>
  </si>
  <si>
    <t>__export__.product_template_30902_7fcb114b</t>
  </si>
  <si>
    <t>8878</t>
  </si>
  <si>
    <t>სფერული ონკანი DN40 PN40 მილტუჩა</t>
  </si>
  <si>
    <t>__export__.product_template_30903_d339988b</t>
  </si>
  <si>
    <t>8411</t>
  </si>
  <si>
    <t>__export__.product_template_30904_e7278c5b</t>
  </si>
  <si>
    <t>9870</t>
  </si>
  <si>
    <t>3/3 სფერული ონკანი DN400</t>
  </si>
  <si>
    <t>__export__.product_category_4644_56e393ad</t>
  </si>
  <si>
    <t>__export__.product_template_30905_6fa2e9ff</t>
  </si>
  <si>
    <t>8879</t>
  </si>
  <si>
    <t>3/3 სფერული ონკანი DN50 PN16 - PN25</t>
  </si>
  <si>
    <t>__export__.product_category_4645_46becd66</t>
  </si>
  <si>
    <t>__export__.product_template_30906_9ffe3961</t>
  </si>
  <si>
    <t>10319</t>
  </si>
  <si>
    <t>__export__.product_template_30907_f6c1bcc3</t>
  </si>
  <si>
    <t>5474</t>
  </si>
  <si>
    <t>__export__.product_template_30908_5744e71f</t>
  </si>
  <si>
    <t>8877</t>
  </si>
  <si>
    <t>__export__.product_template_30909_7bb559fc</t>
  </si>
  <si>
    <t>7708</t>
  </si>
  <si>
    <t>__export__.product_template_30910_144ab263</t>
  </si>
  <si>
    <t>5441</t>
  </si>
  <si>
    <t>3/3 სფერული ონკანი DN50 PN40 - PN64</t>
  </si>
  <si>
    <t>__export__.product_category_4646_1d227196</t>
  </si>
  <si>
    <t>__export__.product_template_30911_8c67dade</t>
  </si>
  <si>
    <t>4418</t>
  </si>
  <si>
    <t>__export__.product_template_30912_3f866877</t>
  </si>
  <si>
    <t>8743</t>
  </si>
  <si>
    <t>__export__.product_template_30913_1f123090</t>
  </si>
  <si>
    <t>7652</t>
  </si>
  <si>
    <t>__export__.product_template_30914_62c2490d</t>
  </si>
  <si>
    <t>9408</t>
  </si>
  <si>
    <t>სფერული ონკანი DN700 PN64 შედუღებით მიწისქვეშა</t>
  </si>
  <si>
    <t>3/3 სფერული ონკანი DN700</t>
  </si>
  <si>
    <t>__export__.product_category_4647_2e6f68bc</t>
  </si>
  <si>
    <t>__export__.product_template_30915_e5ca37c1</t>
  </si>
  <si>
    <t>8876</t>
  </si>
  <si>
    <t>3/3 სფერული ონკანი DN80 PN16 - PN25</t>
  </si>
  <si>
    <t>__export__.product_category_4648_2483c7c0</t>
  </si>
  <si>
    <t>__export__.product_template_30916_eda1498c</t>
  </si>
  <si>
    <t>6297</t>
  </si>
  <si>
    <t>__export__.product_template_30917_8aef9989</t>
  </si>
  <si>
    <t>8832</t>
  </si>
  <si>
    <t>__export__.product_template_30918_da7e2fc2</t>
  </si>
  <si>
    <t>8307</t>
  </si>
  <si>
    <t>__export__.product_template_30919_541d216e</t>
  </si>
  <si>
    <t>5442</t>
  </si>
  <si>
    <t>3/3 სფერული ონკანი DN80 PN40 - PN64</t>
  </si>
  <si>
    <t>__export__.product_category_4649_7a8c1e7a</t>
  </si>
  <si>
    <t>__export__.product_template_30920_d376066a</t>
  </si>
  <si>
    <t>4524</t>
  </si>
  <si>
    <t>__export__.product_template_30921_ca7d8e8f</t>
  </si>
  <si>
    <t>10632</t>
  </si>
  <si>
    <t>სფერული ონკანი DN80 PN64 მილტუჩა</t>
  </si>
  <si>
    <t>__export__.product_template_47721_b2f72bce</t>
  </si>
  <si>
    <t>7465</t>
  </si>
  <si>
    <t>სფერული ონკანი DN80 PN64 შედუღებით</t>
  </si>
  <si>
    <t>__export__.product_template_30922_5b671939</t>
  </si>
  <si>
    <t>9934</t>
  </si>
  <si>
    <t>სწორი მონაკვეთი D200 ტურბინული მრიცხველის ნამზ.</t>
  </si>
  <si>
    <t>2/5 სწორი მონაკვეთი 1640</t>
  </si>
  <si>
    <t>__export__.product_category_4754_450797d3</t>
  </si>
  <si>
    <t>__export__.product_template_30923_60ac87b5</t>
  </si>
  <si>
    <t>9842</t>
  </si>
  <si>
    <t>სწორი მონაკვეთი D219 ELSTER SM-RI-X G1600</t>
  </si>
  <si>
    <t>2/5 სწორი მონაკვეთი</t>
  </si>
  <si>
    <t>__export__.product_category_4650_60ab0adb</t>
  </si>
  <si>
    <t>__export__.product_template_30924_27fd3360</t>
  </si>
  <si>
    <t>5883</t>
  </si>
  <si>
    <t>__export__.product_template_30925_06110920</t>
  </si>
  <si>
    <t>9941</t>
  </si>
  <si>
    <t>სწორი მონაკვეთი DN100 როტაციული მრიცხველის ნამზ.</t>
  </si>
  <si>
    <t>__export__.product_template_30926_b682b280</t>
  </si>
  <si>
    <t>9932</t>
  </si>
  <si>
    <t>__export__.product_template_30927_3039a805</t>
  </si>
  <si>
    <t>9099</t>
  </si>
  <si>
    <t>__export__.product_template_30928_e92205c4</t>
  </si>
  <si>
    <t>6304</t>
  </si>
  <si>
    <t>__export__.product_template_30929_e7033eb0</t>
  </si>
  <si>
    <t>9933</t>
  </si>
  <si>
    <t>__export__.product_template_30930_1f641740</t>
  </si>
  <si>
    <t>9623</t>
  </si>
  <si>
    <t>სწორი მონაკვეთი DN150 ფლობოს</t>
  </si>
  <si>
    <t>__export__.product_template_30931_bc87d260</t>
  </si>
  <si>
    <t>10278</t>
  </si>
  <si>
    <t>სწორი მონაკვეთი DN200 დიაფრაგმული აღრიცხვის ნამზ.</t>
  </si>
  <si>
    <t>__export__.product_template_30932_b5283716</t>
  </si>
  <si>
    <t>7857</t>
  </si>
  <si>
    <t>სწორი მონაკვეთი DN200 ტურბინული მრიცხველის ნამზ.</t>
  </si>
  <si>
    <t>__export__.product_template_30933_d3bcd739</t>
  </si>
  <si>
    <t>7870</t>
  </si>
  <si>
    <t>სწორი მონაკვეთი DN250</t>
  </si>
  <si>
    <t>__export__.product_template_30934_f8eace7b</t>
  </si>
  <si>
    <t>9935</t>
  </si>
  <si>
    <t>სწორი მონაკვეთი DN250 ტურბინული მრიცხველის ნამზ.</t>
  </si>
  <si>
    <t>__export__.product_template_30935_4c167f6f</t>
  </si>
  <si>
    <t>9931</t>
  </si>
  <si>
    <t>სწორი მონაკვეთი DN300</t>
  </si>
  <si>
    <t>__export__.product_template_30936_932c5007</t>
  </si>
  <si>
    <t>9936</t>
  </si>
  <si>
    <t>სწორი მონაკვეთი DN300 ტურბინული მრიცხველის ნამზ.</t>
  </si>
  <si>
    <t>__export__.product_template_30937_45ed1454</t>
  </si>
  <si>
    <t>9622</t>
  </si>
  <si>
    <t>__export__.product_template_30938_05bbfd36</t>
  </si>
  <si>
    <t>6984</t>
  </si>
  <si>
    <t>სწორი მონაკვეთი DN300 ფლობოს კამერიანი ნამზ.</t>
  </si>
  <si>
    <t>__export__.product_template_30939_bc6fd44f</t>
  </si>
  <si>
    <t>5860</t>
  </si>
  <si>
    <t>__export__.product_template_30940_d51efd86</t>
  </si>
  <si>
    <t>9939</t>
  </si>
  <si>
    <t>სწორი მონაკვეთი DN50 როტაციული მრიცხველის ნამზ.</t>
  </si>
  <si>
    <t>__export__.product_template_30941_d35f67b0</t>
  </si>
  <si>
    <t>9937</t>
  </si>
  <si>
    <t>სწორი მონაკვეთი DN50 ტურბინული მრიცხველის ნამზ.</t>
  </si>
  <si>
    <t>__export__.product_template_30942_9b734dbb</t>
  </si>
  <si>
    <t>10507</t>
  </si>
  <si>
    <t>სწორი მონაკვეთი DN500 Class 300 ულტრაბგერითი მრიცხველის</t>
  </si>
  <si>
    <t>__export__.product_template_47175_5d6aa0b1</t>
  </si>
  <si>
    <t>5859</t>
  </si>
  <si>
    <t>__export__.product_template_30943_2f6098c1</t>
  </si>
  <si>
    <t>9940</t>
  </si>
  <si>
    <t>__export__.product_template_30944_ee4bbb92</t>
  </si>
  <si>
    <t>9938</t>
  </si>
  <si>
    <t>__export__.product_template_30945_a522bdd0</t>
  </si>
  <si>
    <t>9643</t>
  </si>
  <si>
    <t>სწორი მონაკვეთი დ200(13906)</t>
  </si>
  <si>
    <t>__export__.product_template_30946_415b3214</t>
  </si>
  <si>
    <t>10973</t>
  </si>
  <si>
    <t>სწრაფჩამკერი (ლაითსი)</t>
  </si>
  <si>
    <t>__export__.product_template_63276_d982b342</t>
  </si>
  <si>
    <t>10323</t>
  </si>
  <si>
    <t>სწრაფჩამკეტი D13 #1</t>
  </si>
  <si>
    <t>__export__.product_template_30947_2adf5766</t>
  </si>
  <si>
    <t>10324</t>
  </si>
  <si>
    <t>სწრაფჩამკეტი D13 #2</t>
  </si>
  <si>
    <t>__export__.product_template_30948_1b5c40bf</t>
  </si>
  <si>
    <t>10974</t>
  </si>
  <si>
    <t>ტაბლეტი A4 (სამდივნო დაფა)</t>
  </si>
  <si>
    <t>__export__.product_template_63277_f171c974</t>
  </si>
  <si>
    <t>6313</t>
  </si>
  <si>
    <t>__export__.product_template_30949_1a0fc89e</t>
  </si>
  <si>
    <t>6518</t>
  </si>
  <si>
    <t>__export__.product_template_30950_b7b94d41</t>
  </si>
  <si>
    <t>8563</t>
  </si>
  <si>
    <t>__export__.product_template_30951_4e9aeaec</t>
  </si>
  <si>
    <t>10515</t>
  </si>
  <si>
    <t>ტაფჩანი (სამედიცინო საწოლი)</t>
  </si>
  <si>
    <t>__export__.product_template_47176_6a911cac</t>
  </si>
  <si>
    <t>9412</t>
  </si>
  <si>
    <t>ტელევიზორი 32</t>
  </si>
  <si>
    <t>__export__.product_template_30952_45dbba4d</t>
  </si>
  <si>
    <t>10229</t>
  </si>
  <si>
    <t>ტელემეტრიული სისტემის ბლოკი БТМ</t>
  </si>
  <si>
    <t>__export__.product_template_30953_e2b26295</t>
  </si>
  <si>
    <t>8903</t>
  </si>
  <si>
    <t>ტელეფონი საოფისე ქსელური</t>
  </si>
  <si>
    <t>__export__.product_template_30954_fd3ca978</t>
  </si>
  <si>
    <t>9645</t>
  </si>
  <si>
    <t>ტემპერ.გადამწოდი გილზა დ219 მილის (13925)</t>
  </si>
  <si>
    <t>__export__.product_template_30955_16cbc968</t>
  </si>
  <si>
    <t>10239</t>
  </si>
  <si>
    <t>ტემპერატურის გადამწოდი დიაფრაგმ. მრიცხვ. ROSEMOUNT, PT100, 90-210mm</t>
  </si>
  <si>
    <t>__export__.product_template_30956_ea41a815</t>
  </si>
  <si>
    <t>9929</t>
  </si>
  <si>
    <t>ტემპერატურის კალიბრატორი მაღალი სიზუსტის მრავალ ფუნქციური</t>
  </si>
  <si>
    <t>__export__.product_template_30957_20c06722</t>
  </si>
  <si>
    <t>10327</t>
  </si>
  <si>
    <t>ტემპერატურისა და ტენიანობის ელ.საზომი</t>
  </si>
  <si>
    <t>__export__.product_template_30958_bb843465</t>
  </si>
  <si>
    <t>10890</t>
  </si>
  <si>
    <t>ტენდერის მომსახურება</t>
  </si>
  <si>
    <t>2/18 ტენდერი</t>
  </si>
  <si>
    <t>__export__.product_category_4696_7b8746cc</t>
  </si>
  <si>
    <t>__export__.product_template_63193_b5c8c584</t>
  </si>
  <si>
    <t>3537</t>
  </si>
  <si>
    <t>__export__.product_template_30959_5343dcf7</t>
  </si>
  <si>
    <t>8944</t>
  </si>
  <si>
    <t>__export__.product_template_30960_b7f01be3</t>
  </si>
  <si>
    <t>00029</t>
  </si>
  <si>
    <t>ტესტიი</t>
  </si>
  <si>
    <t>__export__.product_template_47732_ac8aeeb9</t>
  </si>
  <si>
    <t>8518</t>
  </si>
  <si>
    <t>__export__.product_template_30961_dd7fd6a7</t>
  </si>
  <si>
    <t>11034</t>
  </si>
  <si>
    <t>ტილო იატაკის საწმენდი (800*800 მმ)</t>
  </si>
  <si>
    <t>__export__.product_template_63337_b8ebf0e0</t>
  </si>
  <si>
    <t>11035</t>
  </si>
  <si>
    <t>ტილო მაგიდის 400*400 მმ</t>
  </si>
  <si>
    <t>__export__.product_template_63338_64ad4891</t>
  </si>
  <si>
    <t>11036</t>
  </si>
  <si>
    <t xml:space="preserve">ტილო მტვრის 500*600 მმ                   </t>
  </si>
  <si>
    <t>__export__.product_template_63339_f9394da4</t>
  </si>
  <si>
    <t>11037</t>
  </si>
  <si>
    <t>ტილო უნივერსალური (3 ცალიანი)</t>
  </si>
  <si>
    <t>__export__.product_template_63340_a3246bde</t>
  </si>
  <si>
    <t>8683</t>
  </si>
  <si>
    <t>ტოლი</t>
  </si>
  <si>
    <t>__export__.product_template_30962_79dc0417</t>
  </si>
  <si>
    <t>3168</t>
  </si>
  <si>
    <t>__export__.product_template_30963_fb3f6709</t>
  </si>
  <si>
    <t>10370</t>
  </si>
  <si>
    <t>ტრეინინგი</t>
  </si>
  <si>
    <t>__export__.product_template_30964_4903ee07</t>
  </si>
  <si>
    <t>10863</t>
  </si>
  <si>
    <t>ტრეინინგი: (უტ) II დაშვების დონე EN ISO 9712 SNT-TC-1A</t>
  </si>
  <si>
    <t>__export__.product_template_63166_c35bb21a</t>
  </si>
  <si>
    <t>3660</t>
  </si>
  <si>
    <t>2/5 ტროსი გვარლი</t>
  </si>
  <si>
    <t>__export__.product_category_4652_4c0fe85a</t>
  </si>
  <si>
    <t>__export__.product_template_30965_aba2be9c</t>
  </si>
  <si>
    <t>3204</t>
  </si>
  <si>
    <t>__export__.product_template_30966_e6029a0a</t>
  </si>
  <si>
    <t>8533</t>
  </si>
  <si>
    <t>__export__.product_template_30967_72e3c18d</t>
  </si>
  <si>
    <t>8664</t>
  </si>
  <si>
    <t>__export__.product_template_30968_8b5d8df1</t>
  </si>
  <si>
    <t>4583</t>
  </si>
  <si>
    <t>__export__.product_template_30969_06b10e5b</t>
  </si>
  <si>
    <t>5185</t>
  </si>
  <si>
    <t>__export__.product_template_30970_e4f0568c</t>
  </si>
  <si>
    <t>5050</t>
  </si>
  <si>
    <t>ტროსი გვარლი 8-10მმ</t>
  </si>
  <si>
    <t>__export__.product_template_30971_4a6045d4</t>
  </si>
  <si>
    <t>11038</t>
  </si>
  <si>
    <t>ტუალეტის ქაღალდი</t>
  </si>
  <si>
    <t>__export__.product_template_63341_d30f5ff4</t>
  </si>
  <si>
    <t>11039</t>
  </si>
  <si>
    <t>ტუალეტის ჯაგრისი (ხის ტარით)</t>
  </si>
  <si>
    <t>__export__.product_template_63342_59a214f6</t>
  </si>
  <si>
    <t>8772</t>
  </si>
  <si>
    <t>ტუმბო თაროებით</t>
  </si>
  <si>
    <t>__export__.product_template_30972_089a72e7</t>
  </si>
  <si>
    <t>9432</t>
  </si>
  <si>
    <t>ტუმბო მაგიდის</t>
  </si>
  <si>
    <t>__export__.product_template_30973_0a9f9a68</t>
  </si>
  <si>
    <t>9435</t>
  </si>
  <si>
    <t>__export__.product_template_30974_7382074a</t>
  </si>
  <si>
    <t>10907</t>
  </si>
  <si>
    <t>ტყე-კაფვა</t>
  </si>
  <si>
    <t>2/5 ტყე-კაფვა</t>
  </si>
  <si>
    <t>__export__.product_category_4702_d5c34b56</t>
  </si>
  <si>
    <t>__export__.product_template_63210_dec0c1f7</t>
  </si>
  <si>
    <t>10083</t>
  </si>
  <si>
    <t>უკაბელო შტრიხკოდ-სკანერი</t>
  </si>
  <si>
    <t>__export__.product_template_30975_0912e993</t>
  </si>
  <si>
    <t>8904</t>
  </si>
  <si>
    <t>__export__.product_template_30976_edc5c89d</t>
  </si>
  <si>
    <t>8936</t>
  </si>
  <si>
    <t>__export__.product_template_47177_e73144e5</t>
  </si>
  <si>
    <t>10444</t>
  </si>
  <si>
    <t>ულტრაბგერის TOFD (ტოფდ) პრობი</t>
  </si>
  <si>
    <t>__export__.product_template_47178_10a2b247</t>
  </si>
  <si>
    <t>10445</t>
  </si>
  <si>
    <t>ულტრაბგერის TOFD (ტოფდ) პრობის სოლი</t>
  </si>
  <si>
    <t>__export__.product_template_47179_49e1fb06</t>
  </si>
  <si>
    <t>10126</t>
  </si>
  <si>
    <t>ულტრაბგერის დაკალიბრების ბლოკი</t>
  </si>
  <si>
    <t>3/1 სტანდარტი საკალიბრო</t>
  </si>
  <si>
    <t>__export__.product_category_4653_01e9622a</t>
  </si>
  <si>
    <t>__export__.product_template_47180_2ac31d4d</t>
  </si>
  <si>
    <t>10127</t>
  </si>
  <si>
    <t>ულტრაბგერის საკონტაქტო სითხე</t>
  </si>
  <si>
    <t>__export__.product_template_47181_ca230e4d</t>
  </si>
  <si>
    <t>10122</t>
  </si>
  <si>
    <t>ულტრაბგერის სტანდარტული პრობი</t>
  </si>
  <si>
    <t>__export__.product_template_47182_f6beb289</t>
  </si>
  <si>
    <t>10124</t>
  </si>
  <si>
    <t>ულტრაბგერის სტანდარტული პრობის სოლი</t>
  </si>
  <si>
    <t>__export__.product_template_47183_96834c57</t>
  </si>
  <si>
    <t>10123</t>
  </si>
  <si>
    <t>ულტრაბგერის ფაზირებული პრობი</t>
  </si>
  <si>
    <t>__export__.product_template_47184_f82a83f0</t>
  </si>
  <si>
    <t>10125</t>
  </si>
  <si>
    <t>ულტრაბგერის ფაზირებული პრობის სოლი</t>
  </si>
  <si>
    <t>__export__.product_template_47185_7af09663</t>
  </si>
  <si>
    <t>10638</t>
  </si>
  <si>
    <t>უნიტაზის (აზიური) ავზი</t>
  </si>
  <si>
    <t>__export__.product_template_63109_b1c014c7</t>
  </si>
  <si>
    <t>10637</t>
  </si>
  <si>
    <t>უნიტაზის (აზიური) ავზის ჩამრეცხი მექანიზმი</t>
  </si>
  <si>
    <t>__export__.product_template_63108_0a05b702</t>
  </si>
  <si>
    <t>11004</t>
  </si>
  <si>
    <t>უნიტაზის ავზის ჩამრეცხი მექანიზმი</t>
  </si>
  <si>
    <t>__export__.product_template_63307_0ac9af70</t>
  </si>
  <si>
    <t>7566</t>
  </si>
  <si>
    <t>__export__.product_template_47186_43c5f6ce</t>
  </si>
  <si>
    <t>5215</t>
  </si>
  <si>
    <t>__export__.product_template_47187_85eb9ff6</t>
  </si>
  <si>
    <t>1004</t>
  </si>
  <si>
    <t>__export__.product_template_47188_ce2196fa</t>
  </si>
  <si>
    <t>3456</t>
  </si>
  <si>
    <t>__export__.product_template_47189_fcacaf37</t>
  </si>
  <si>
    <t>8962</t>
  </si>
  <si>
    <t>__export__.product_template_47190_8f46fbb4</t>
  </si>
  <si>
    <t>10328</t>
  </si>
  <si>
    <t>ურიკა ჰიდრავლიკური პალეტის სასწორით</t>
  </si>
  <si>
    <t>__export__.product_template_47191_72e81e16</t>
  </si>
  <si>
    <t>3044</t>
  </si>
  <si>
    <t>__export__.product_template_47192_0ed4ac97</t>
  </si>
  <si>
    <t>9967</t>
  </si>
  <si>
    <t>__export__.product_template_47193_e1ea0e69</t>
  </si>
  <si>
    <t>9960</t>
  </si>
  <si>
    <t>უსადენო წვდომის წერტილი</t>
  </si>
  <si>
    <t>__export__.product_template_47194_8e45f9e2</t>
  </si>
  <si>
    <t>9819</t>
  </si>
  <si>
    <t>__export__.product_template_47195_3f6eb669</t>
  </si>
  <si>
    <t>9818</t>
  </si>
  <si>
    <t>__export__.product_template_47196_a41e7fd1</t>
  </si>
  <si>
    <t>10481</t>
  </si>
  <si>
    <t>უსაფრთხოების საოპერაციო ცენტრის (SOC) სისტემა</t>
  </si>
  <si>
    <t>__export__.product_template_47197_cfe478bc</t>
  </si>
  <si>
    <t>9820</t>
  </si>
  <si>
    <t>__export__.product_template_47198_7e277b7e</t>
  </si>
  <si>
    <t>4209</t>
  </si>
  <si>
    <t>3/2 უწყვეტი კვების წყარო UPS</t>
  </si>
  <si>
    <t>__export__.product_category_4654_b64fe754</t>
  </si>
  <si>
    <t>__export__.product_template_47199_87f26560</t>
  </si>
  <si>
    <t>10769</t>
  </si>
  <si>
    <t xml:space="preserve">უწყვეტი კვების წყარო UPS 3kva/2700w (12V 9Ah ბატარეა - 6ც) </t>
  </si>
  <si>
    <t>3/2 უწყვეტი კვების წყარო UPS 2197</t>
  </si>
  <si>
    <t>__export__.product_category_4760_359bf866</t>
  </si>
  <si>
    <t>__export__.product_template_62797_c0c7687b</t>
  </si>
  <si>
    <t>10975</t>
  </si>
  <si>
    <t>ფაილი</t>
  </si>
  <si>
    <t>__export__.product_template_63278_b2d5adf7</t>
  </si>
  <si>
    <t>3165</t>
  </si>
  <si>
    <t>__export__.product_template_47200_cd4da151</t>
  </si>
  <si>
    <t>3588</t>
  </si>
  <si>
    <t>__export__.product_template_47201_5232c791</t>
  </si>
  <si>
    <t>10345</t>
  </si>
  <si>
    <t>ფანარი მაგნიტიანი სადგარით</t>
  </si>
  <si>
    <t>__export__.product_template_47202_86a71d8a</t>
  </si>
  <si>
    <t>5945</t>
  </si>
  <si>
    <t>__export__.product_template_47203_cc6d90af</t>
  </si>
  <si>
    <t>9966</t>
  </si>
  <si>
    <t>__export__.product_template_47204_2c834067</t>
  </si>
  <si>
    <t>10404</t>
  </si>
  <si>
    <t>ფანარი ჰალოგენი</t>
  </si>
  <si>
    <t>__export__.product_template_47205_ae513d98</t>
  </si>
  <si>
    <t>1706</t>
  </si>
  <si>
    <t>__export__.product_template_47206_bf99c3d8</t>
  </si>
  <si>
    <t>7539</t>
  </si>
  <si>
    <t>ფანერა 1525*1525*10</t>
  </si>
  <si>
    <t>__export__.product_template_47207_9198a01d</t>
  </si>
  <si>
    <t>10976</t>
  </si>
  <si>
    <t>ფანქარი</t>
  </si>
  <si>
    <t>__export__.product_template_63279_444d14c3</t>
  </si>
  <si>
    <t>3021</t>
  </si>
  <si>
    <t>__export__.product_template_47208_2fa6eaef</t>
  </si>
  <si>
    <t>10094</t>
  </si>
  <si>
    <t>ფითხი (შპაკლი) I პირი</t>
  </si>
  <si>
    <t>__export__.product_template_47209_27397abf</t>
  </si>
  <si>
    <t>10095</t>
  </si>
  <si>
    <t>ფითხი (შპაკლი) II პირი</t>
  </si>
  <si>
    <t>__export__.product_template_47210_5bd1dd32</t>
  </si>
  <si>
    <t>4511</t>
  </si>
  <si>
    <t>__export__.product_template_47211_da38357c</t>
  </si>
  <si>
    <t>6954</t>
  </si>
  <si>
    <t>__export__.product_template_47212_c7873291</t>
  </si>
  <si>
    <t>4501</t>
  </si>
  <si>
    <t>__export__.product_template_47213_c70add3d</t>
  </si>
  <si>
    <t>6962</t>
  </si>
  <si>
    <t>__export__.product_template_47214_0380c2b7</t>
  </si>
  <si>
    <t>6964</t>
  </si>
  <si>
    <t>__export__.product_template_47215_0de4f432</t>
  </si>
  <si>
    <t>6738</t>
  </si>
  <si>
    <t>ფირფიტები 6მმ მყარი შენადნობის (ფრეზის)</t>
  </si>
  <si>
    <t>__export__.product_template_47216_c4391878</t>
  </si>
  <si>
    <t>10312</t>
  </si>
  <si>
    <t>ფიტინგი</t>
  </si>
  <si>
    <t>__export__.product_template_47217_c4bcfcde</t>
  </si>
  <si>
    <t>3474</t>
  </si>
  <si>
    <t>__export__.product_template_47218_5627e6e3</t>
  </si>
  <si>
    <t>3269</t>
  </si>
  <si>
    <t>__export__.product_template_47219_49443476</t>
  </si>
  <si>
    <t>9502</t>
  </si>
  <si>
    <t>3/3 მოწყობილობის მაკომპლექტებელი 1640</t>
  </si>
  <si>
    <t>__export__.product_category_4752_91cfe779</t>
  </si>
  <si>
    <t>__export__.product_template_47220_a61fe460</t>
  </si>
  <si>
    <t>6226</t>
  </si>
  <si>
    <t>__export__.product_template_47221_4e561aa6</t>
  </si>
  <si>
    <t>6223</t>
  </si>
  <si>
    <t>__export__.product_template_47222_7c969438</t>
  </si>
  <si>
    <t>6227</t>
  </si>
  <si>
    <t>3/3 მოწყობილობის მაკომპლექტებელი 1620</t>
  </si>
  <si>
    <t>__export__.product_category_4751_8591a9c3</t>
  </si>
  <si>
    <t>__export__.product_template_47223_4471ee59</t>
  </si>
  <si>
    <t>6222</t>
  </si>
  <si>
    <t>__export__.product_template_47224_899809ba</t>
  </si>
  <si>
    <t>6225</t>
  </si>
  <si>
    <t>__export__.product_template_47225_6e58e0a7</t>
  </si>
  <si>
    <t>6221</t>
  </si>
  <si>
    <t>__export__.product_template_47226_bdcf0702</t>
  </si>
  <si>
    <t>6224</t>
  </si>
  <si>
    <t>__export__.product_template_47227_6eace5f0</t>
  </si>
  <si>
    <t>4447</t>
  </si>
  <si>
    <t>ფლობოსის სამსვლიანი გამათანაბრებელი ბლოკი</t>
  </si>
  <si>
    <t>__export__.product_template_47228_245a69b3</t>
  </si>
  <si>
    <t>7187</t>
  </si>
  <si>
    <t>__export__.product_template_47229_24c23c1f</t>
  </si>
  <si>
    <t>9647</t>
  </si>
  <si>
    <t>ფლოუბოსის გადამყვანი (14822)</t>
  </si>
  <si>
    <t>__export__.product_template_47230_d61a36a4</t>
  </si>
  <si>
    <t>8393</t>
  </si>
  <si>
    <t>2/12/6 საოფისე ტექნიკა 2197</t>
  </si>
  <si>
    <t>__export__.product_category_4764_a87dfc26</t>
  </si>
  <si>
    <t>__export__.product_template_47231_0f9cc004</t>
  </si>
  <si>
    <t>8979</t>
  </si>
  <si>
    <t>__export__.product_template_47232_33a3ef49</t>
  </si>
  <si>
    <t>3473</t>
  </si>
  <si>
    <t>__export__.product_template_47233_91f95458</t>
  </si>
  <si>
    <t>5946</t>
  </si>
  <si>
    <t>__export__.product_template_47234_4710ef3f</t>
  </si>
  <si>
    <t>8699</t>
  </si>
  <si>
    <t>ფრეზი დისკური D150</t>
  </si>
  <si>
    <t>__export__.product_template_47235_4190e9cc</t>
  </si>
  <si>
    <t>8676</t>
  </si>
  <si>
    <t>ფრეზი თითა D15-25</t>
  </si>
  <si>
    <t>__export__.product_template_47236_4f071b4e</t>
  </si>
  <si>
    <t>10003</t>
  </si>
  <si>
    <t>ფრეზი თითა D8</t>
  </si>
  <si>
    <t>__export__.product_template_47237_1749298b</t>
  </si>
  <si>
    <t>9238</t>
  </si>
  <si>
    <t>ფრეზი თითა ორფრთიანი D10</t>
  </si>
  <si>
    <t>__export__.product_template_47238_5a5a801d</t>
  </si>
  <si>
    <t>6790</t>
  </si>
  <si>
    <t>ფრეზი თითა ორფრთიანი D12</t>
  </si>
  <si>
    <t>__export__.product_template_47239_9b842592</t>
  </si>
  <si>
    <t>10753</t>
  </si>
  <si>
    <t>ფრეზი თითა ორფრთიანი D8</t>
  </si>
  <si>
    <t>__export__.product_template_77890_555ea609</t>
  </si>
  <si>
    <t>7497</t>
  </si>
  <si>
    <t>__export__.product_template_47240_76fb8cfd</t>
  </si>
  <si>
    <t>8697</t>
  </si>
  <si>
    <t>__export__.product_template_47241_c88ae245</t>
  </si>
  <si>
    <t>8696</t>
  </si>
  <si>
    <t>__export__.product_template_47242_f7f46019</t>
  </si>
  <si>
    <t>8695</t>
  </si>
  <si>
    <t>__export__.product_template_47243_b26ed86e</t>
  </si>
  <si>
    <t>8694</t>
  </si>
  <si>
    <t>__export__.product_template_47244_69223cb6</t>
  </si>
  <si>
    <t>8698</t>
  </si>
  <si>
    <t>ფტოროპლასტი (ტეფლონის წნული) D50</t>
  </si>
  <si>
    <t>__export__.product_template_47245_7d61996e</t>
  </si>
  <si>
    <t>3078</t>
  </si>
  <si>
    <t>__export__.product_template_47246_9fbadf88</t>
  </si>
  <si>
    <t>3298</t>
  </si>
  <si>
    <t>__export__.product_template_47247_f0fc8001</t>
  </si>
  <si>
    <t>9921</t>
  </si>
  <si>
    <t>__export__.product_template_47248_e9061e31</t>
  </si>
  <si>
    <t>8102</t>
  </si>
  <si>
    <t>__export__.product_template_47249_82e8d07d</t>
  </si>
  <si>
    <t>5240</t>
  </si>
  <si>
    <t>ფურცელი ლითონის 1000*2000*1</t>
  </si>
  <si>
    <t>__export__.product_template_47250_c4033004</t>
  </si>
  <si>
    <t>3386</t>
  </si>
  <si>
    <t>ფურცელი ლითონის 1000*2000*1.5</t>
  </si>
  <si>
    <t>__export__.product_template_47251_c933a7fe</t>
  </si>
  <si>
    <t>3787</t>
  </si>
  <si>
    <t>__export__.product_template_47252_9447b47b</t>
  </si>
  <si>
    <t>6602</t>
  </si>
  <si>
    <t>__export__.product_template_47253_b34e9a8f</t>
  </si>
  <si>
    <t>5959</t>
  </si>
  <si>
    <t>ფურცელი ლითონის 1250*2500*2</t>
  </si>
  <si>
    <t>__export__.product_template_47254_2cf1a46d</t>
  </si>
  <si>
    <t>6021</t>
  </si>
  <si>
    <t>__export__.product_template_47255_2b682023</t>
  </si>
  <si>
    <t>8101</t>
  </si>
  <si>
    <t>__export__.product_template_47256_c7eca1a0</t>
  </si>
  <si>
    <t>8104</t>
  </si>
  <si>
    <t>__export__.product_template_47257_27ddbf1c</t>
  </si>
  <si>
    <t>8199</t>
  </si>
  <si>
    <t>__export__.product_template_47258_c78b72f5</t>
  </si>
  <si>
    <t>8689</t>
  </si>
  <si>
    <t>__export__.product_template_47259_32ba4a0d</t>
  </si>
  <si>
    <t>5864</t>
  </si>
  <si>
    <t>__export__.product_template_47260_87958746</t>
  </si>
  <si>
    <t>6571</t>
  </si>
  <si>
    <t>__export__.product_template_47261_2e840480</t>
  </si>
  <si>
    <t>5194</t>
  </si>
  <si>
    <t>__export__.product_template_47262_fb36f2d5</t>
  </si>
  <si>
    <t>3316</t>
  </si>
  <si>
    <t>__export__.product_template_47263_0ee900fe</t>
  </si>
  <si>
    <t>8103</t>
  </si>
  <si>
    <t>__export__.product_template_47264_ffb530b5</t>
  </si>
  <si>
    <t>5101</t>
  </si>
  <si>
    <t>__export__.product_template_47265_1286af84</t>
  </si>
  <si>
    <t>9865</t>
  </si>
  <si>
    <t>ფურცელი ლითონის 3300*1100*5 მოთუთიებული</t>
  </si>
  <si>
    <t>__export__.product_template_47266_b818aa1b</t>
  </si>
  <si>
    <t>8105</t>
  </si>
  <si>
    <t>__export__.product_template_47267_228f208b</t>
  </si>
  <si>
    <t>5759</t>
  </si>
  <si>
    <t>__export__.product_template_47268_009745ca</t>
  </si>
  <si>
    <t>6416</t>
  </si>
  <si>
    <t>__export__.product_template_47269_033da92b</t>
  </si>
  <si>
    <t>4566</t>
  </si>
  <si>
    <t>__export__.product_template_47270_143018eb</t>
  </si>
  <si>
    <t>7753</t>
  </si>
  <si>
    <t>__export__.product_template_47271_72efa8ad</t>
  </si>
  <si>
    <t>8200</t>
  </si>
  <si>
    <t>__export__.product_template_47272_de0803da</t>
  </si>
  <si>
    <t>8100</t>
  </si>
  <si>
    <t>__export__.product_template_47273_947a2c1a</t>
  </si>
  <si>
    <t>4534</t>
  </si>
  <si>
    <t>ფურცელი ლითონის 5მმ</t>
  </si>
  <si>
    <t>__export__.product_template_47274_143f8d5e</t>
  </si>
  <si>
    <t>9322</t>
  </si>
  <si>
    <t>__export__.product_template_47275_4504b391</t>
  </si>
  <si>
    <t>6579</t>
  </si>
  <si>
    <t>__export__.product_template_47276_fb1316ca</t>
  </si>
  <si>
    <t>6572</t>
  </si>
  <si>
    <t>__export__.product_template_47277_57eb5221</t>
  </si>
  <si>
    <t>3782</t>
  </si>
  <si>
    <t>__export__.product_template_47278_2c1176d7</t>
  </si>
  <si>
    <t>6598</t>
  </si>
  <si>
    <t>__export__.product_template_47279_7adb278f</t>
  </si>
  <si>
    <t>6599</t>
  </si>
  <si>
    <t>__export__.product_template_47280_ff9c3d17</t>
  </si>
  <si>
    <t>6269</t>
  </si>
  <si>
    <t>__export__.product_template_47281_cccb5cf9</t>
  </si>
  <si>
    <t>6601</t>
  </si>
  <si>
    <t>__export__.product_template_47282_2cc89047</t>
  </si>
  <si>
    <t>8690</t>
  </si>
  <si>
    <t>__export__.product_template_47283_ef8bbb39</t>
  </si>
  <si>
    <t>10204</t>
  </si>
  <si>
    <t>ფურცელი ლითონის მოთუთიებული გოფრირებული 1140*0.5</t>
  </si>
  <si>
    <t>__export__.product_template_47284_9a713a32</t>
  </si>
  <si>
    <t>10979</t>
  </si>
  <si>
    <t>ფურცელი სანიშნე ფერადი არაწებოვანი</t>
  </si>
  <si>
    <t>__export__.product_template_63282_1cce1179</t>
  </si>
  <si>
    <t>10980</t>
  </si>
  <si>
    <t>ფურცელი სანიშნე ფერადი წებოვანი</t>
  </si>
  <si>
    <t>__export__.product_template_63283_847c0c9f</t>
  </si>
  <si>
    <t>10019</t>
  </si>
  <si>
    <t>ფურცელი ფოლადის 40მმ (ნახშირბადის შემც. 0.20-0.25, ფ 20 ფ 25)</t>
  </si>
  <si>
    <t>__export__.product_template_47285_e346d1a9</t>
  </si>
  <si>
    <t>3263</t>
  </si>
  <si>
    <t>__export__.product_template_47286_1fc0bfc0</t>
  </si>
  <si>
    <t>3052</t>
  </si>
  <si>
    <t>__export__.product_template_47287_97207cda</t>
  </si>
  <si>
    <t>3830</t>
  </si>
  <si>
    <t>ქანჩი</t>
  </si>
  <si>
    <t>__export__.product_template_47288_795af94e</t>
  </si>
  <si>
    <t>5764</t>
  </si>
  <si>
    <t>__export__.product_template_47289_e0d62545</t>
  </si>
  <si>
    <t>8042</t>
  </si>
  <si>
    <t>__export__.product_template_47290_2ec7005e</t>
  </si>
  <si>
    <t>5238</t>
  </si>
  <si>
    <t>__export__.product_template_47291_dee5e3a7</t>
  </si>
  <si>
    <t>6202</t>
  </si>
  <si>
    <t>__export__.product_template_47292_e269cdb5</t>
  </si>
  <si>
    <t>7479</t>
  </si>
  <si>
    <t>__export__.product_template_47293_1513aa0c</t>
  </si>
  <si>
    <t>5743</t>
  </si>
  <si>
    <t>__export__.product_template_47294_2cbed18a</t>
  </si>
  <si>
    <t>7915</t>
  </si>
  <si>
    <t>__export__.product_template_47295_ad5311ea</t>
  </si>
  <si>
    <t>5733</t>
  </si>
  <si>
    <t>__export__.product_template_47296_c71869a7</t>
  </si>
  <si>
    <t>7488</t>
  </si>
  <si>
    <t>__export__.product_template_47297_e83890dd</t>
  </si>
  <si>
    <t>5846</t>
  </si>
  <si>
    <t>__export__.product_template_47298_58e9dd82</t>
  </si>
  <si>
    <t>7483</t>
  </si>
  <si>
    <t>__export__.product_template_47299_acd4ff92</t>
  </si>
  <si>
    <t>5724</t>
  </si>
  <si>
    <t>__export__.product_template_47300_55551c4c</t>
  </si>
  <si>
    <t>8627</t>
  </si>
  <si>
    <t>__export__.product_template_47301_0b66011a</t>
  </si>
  <si>
    <t>5261</t>
  </si>
  <si>
    <t>__export__.product_template_47302_0b879ed8</t>
  </si>
  <si>
    <t>9801</t>
  </si>
  <si>
    <t>__export__.product_template_47303_f7e82ef7</t>
  </si>
  <si>
    <t>5841</t>
  </si>
  <si>
    <t>__export__.product_template_47304_5c1878c9</t>
  </si>
  <si>
    <t>8172</t>
  </si>
  <si>
    <t>__export__.product_template_47305_9b2412ca</t>
  </si>
  <si>
    <t>7740</t>
  </si>
  <si>
    <t>__export__.product_template_47306_c58635f6</t>
  </si>
  <si>
    <t>9380</t>
  </si>
  <si>
    <t>ქანჩი 32</t>
  </si>
  <si>
    <t>__export__.product_template_47307_8f32978d</t>
  </si>
  <si>
    <t>10230</t>
  </si>
  <si>
    <t>ქანჩი 33</t>
  </si>
  <si>
    <t>__export__.product_template_47308_f9d0f2bc</t>
  </si>
  <si>
    <t>8186</t>
  </si>
  <si>
    <t>__export__.product_template_47309_ffee17ae</t>
  </si>
  <si>
    <t>6647</t>
  </si>
  <si>
    <t>__export__.product_template_47310_f291e5cc</t>
  </si>
  <si>
    <t>8173</t>
  </si>
  <si>
    <t>__export__.product_template_47311_6c1fdbaf</t>
  </si>
  <si>
    <t>10305</t>
  </si>
  <si>
    <t>__export__.product_template_47312_5b6af27f</t>
  </si>
  <si>
    <t>10338</t>
  </si>
  <si>
    <t>ქანჩი 48</t>
  </si>
  <si>
    <t>__export__.product_template_47313_7c37478e</t>
  </si>
  <si>
    <t>10463</t>
  </si>
  <si>
    <t>__export__.product_template_47314_e5f0651a</t>
  </si>
  <si>
    <t>10389</t>
  </si>
  <si>
    <t>ქანჩი 52</t>
  </si>
  <si>
    <t>__export__.product_template_47315_ab695f72</t>
  </si>
  <si>
    <t>10640</t>
  </si>
  <si>
    <t>ქანჩი 56</t>
  </si>
  <si>
    <t>__export__.product_template_63111_a469b496</t>
  </si>
  <si>
    <t>8185</t>
  </si>
  <si>
    <t>__export__.product_template_47316_872c8fd4</t>
  </si>
  <si>
    <t>5847</t>
  </si>
  <si>
    <t>ქანჩი 6 (კგ)</t>
  </si>
  <si>
    <t>__export__.product_template_47317_87a65671</t>
  </si>
  <si>
    <t>7914</t>
  </si>
  <si>
    <t>__export__.product_template_47318_08869210</t>
  </si>
  <si>
    <t>6120</t>
  </si>
  <si>
    <t>__export__.product_template_47319_aa3b09af</t>
  </si>
  <si>
    <t>3681</t>
  </si>
  <si>
    <t>__export__.product_template_47320_3193d26e</t>
  </si>
  <si>
    <t>9195</t>
  </si>
  <si>
    <t>ქანჩი სარტყამი ცალმხრ. წაგრძელებული 85მმ L-455</t>
  </si>
  <si>
    <t>__export__.product_template_47321_2218a0f0</t>
  </si>
  <si>
    <t>9194</t>
  </si>
  <si>
    <t>ქანჩი სარტყამი ცალმხრ. წვეტიანი 85მმ L-395</t>
  </si>
  <si>
    <t>__export__.product_template_47322_8fcec003</t>
  </si>
  <si>
    <t>8678</t>
  </si>
  <si>
    <t>__export__.product_template_47323_585f71c0</t>
  </si>
  <si>
    <t>10354</t>
  </si>
  <si>
    <t>ქანჩის გასაღები ბრტყელტუჩა სარეგულირებელი პოზიციით</t>
  </si>
  <si>
    <t>__export__.product_template_47324_82d93d35</t>
  </si>
  <si>
    <t>6951</t>
  </si>
  <si>
    <t>__export__.product_template_47325_b63d7881</t>
  </si>
  <si>
    <t>9400</t>
  </si>
  <si>
    <t>__export__.product_template_47326_3669f7c2</t>
  </si>
  <si>
    <t>9399</t>
  </si>
  <si>
    <t>__export__.product_template_47327_36039639</t>
  </si>
  <si>
    <t>9287</t>
  </si>
  <si>
    <t>__export__.product_template_47328_17616fb9</t>
  </si>
  <si>
    <t>10799</t>
  </si>
  <si>
    <t>ქანჩის გასაღები დინამომეტრული</t>
  </si>
  <si>
    <t>__export__.product_template_62798_754b1e2c</t>
  </si>
  <si>
    <t>4096</t>
  </si>
  <si>
    <t>__export__.product_template_47329_14be17a6</t>
  </si>
  <si>
    <t>3849</t>
  </si>
  <si>
    <t>__export__.product_template_47330_d9d2abd8</t>
  </si>
  <si>
    <t>10521</t>
  </si>
  <si>
    <t>__export__.product_template_46380_284971cb</t>
  </si>
  <si>
    <t>3268</t>
  </si>
  <si>
    <t>ქანჩის გასაღები მილის</t>
  </si>
  <si>
    <t>__export__.product_template_47331_05d07516</t>
  </si>
  <si>
    <t>6250</t>
  </si>
  <si>
    <t>__export__.product_template_47332_ab26ea04</t>
  </si>
  <si>
    <t>8164</t>
  </si>
  <si>
    <t>__export__.product_template_47333_47719b62</t>
  </si>
  <si>
    <t>8417</t>
  </si>
  <si>
    <t>__export__.product_template_47334_caba681d</t>
  </si>
  <si>
    <t>10321</t>
  </si>
  <si>
    <t>__export__.product_template_47335_26bfeda8</t>
  </si>
  <si>
    <t>10798</t>
  </si>
  <si>
    <t>ქანჩის გასაღების დარტყმითი თავაკები 10-32</t>
  </si>
  <si>
    <t>__export__.product_template_62799_fcf4089f</t>
  </si>
  <si>
    <t>10806</t>
  </si>
  <si>
    <t>ქანჩის გასაღების დარტყმითი თავაკები ექვსკუთხა H6-H19</t>
  </si>
  <si>
    <t>__export__.product_template_62800_ed547d85</t>
  </si>
  <si>
    <t>10805</t>
  </si>
  <si>
    <t>ქანჩის გასაღების დარტყმითი თავაკები ვარსკვლავა T30-T80</t>
  </si>
  <si>
    <t>__export__.product_template_62801_62356cf8</t>
  </si>
  <si>
    <t>10263</t>
  </si>
  <si>
    <t>ქანჩის გასაღების თავაკების კომპლექტი 10-46</t>
  </si>
  <si>
    <t>__export__.product_template_47336_ada124c3</t>
  </si>
  <si>
    <t>4409</t>
  </si>
  <si>
    <t>__export__.product_template_47337_bc56cedb</t>
  </si>
  <si>
    <t>10509</t>
  </si>
  <si>
    <t>ქანჩის გასაღების ნაკრები 8-32 ანტისტატიკური</t>
  </si>
  <si>
    <t>__export__.product_template_47338_c104f625</t>
  </si>
  <si>
    <t>8663</t>
  </si>
  <si>
    <t>__export__.product_template_47339_8f89b1bf</t>
  </si>
  <si>
    <t>1893</t>
  </si>
  <si>
    <t>ქანჩის გასაღების ნაკრები თავაკებით</t>
  </si>
  <si>
    <t>__export__.product_template_47340_f4869970</t>
  </si>
  <si>
    <t>3854</t>
  </si>
  <si>
    <t>__export__.product_template_47341_3f21376f</t>
  </si>
  <si>
    <t>10797</t>
  </si>
  <si>
    <t>ქანჩის დამჭერი ელემენტზე 18V</t>
  </si>
  <si>
    <t>__export__.product_template_62802_882a260c</t>
  </si>
  <si>
    <t>9847</t>
  </si>
  <si>
    <t>ქარსაცავი ქუდი D110 თუნუქის მილის</t>
  </si>
  <si>
    <t>__export__.product_template_47342_bf5834dd</t>
  </si>
  <si>
    <t>3646</t>
  </si>
  <si>
    <t>__export__.product_template_47343_4a490570</t>
  </si>
  <si>
    <t>3624</t>
  </si>
  <si>
    <t>__export__.product_template_47344_2c25296f</t>
  </si>
  <si>
    <t>00022</t>
  </si>
  <si>
    <t>ქაღალდიი</t>
  </si>
  <si>
    <t>__export__.product_template_47722_dad8d8da</t>
  </si>
  <si>
    <t>11040</t>
  </si>
  <si>
    <t>ქაღალდის ხელსახოცის რულონი დისპენსერისათვის</t>
  </si>
  <si>
    <t>__export__.product_template_63343_e904d1a6</t>
  </si>
  <si>
    <t>7493</t>
  </si>
  <si>
    <t>ქვა გაბიონისათვის</t>
  </si>
  <si>
    <t>__export__.product_template_47345_35c2914b</t>
  </si>
  <si>
    <t>9271</t>
  </si>
  <si>
    <t>2/12/2 ქიმიური ნივთიერებები</t>
  </si>
  <si>
    <t>__export__.product_category_4656_66d8c11f</t>
  </si>
  <si>
    <t>__export__.product_template_47346_3cf4f074</t>
  </si>
  <si>
    <t>5942</t>
  </si>
  <si>
    <t>__export__.product_template_47347_28e88090</t>
  </si>
  <si>
    <t>4580</t>
  </si>
  <si>
    <t>ქვიშა (ლამი)</t>
  </si>
  <si>
    <t>__export__.product_template_47348_cd42e741</t>
  </si>
  <si>
    <t>4314</t>
  </si>
  <si>
    <t>__export__.product_template_47349_57d0bd8b</t>
  </si>
  <si>
    <t>7522</t>
  </si>
  <si>
    <t>ქვიშა ყვითელი</t>
  </si>
  <si>
    <t>__export__.product_template_47350_0d434a74</t>
  </si>
  <si>
    <t>10380</t>
  </si>
  <si>
    <t>ქვიშა შავი 0.6მმ</t>
  </si>
  <si>
    <t>__export__.product_template_47351_0fc11016</t>
  </si>
  <si>
    <t>3394</t>
  </si>
  <si>
    <t>ქვიშა-ღორღი საბეტონე მასალა</t>
  </si>
  <si>
    <t>__export__.product_template_47352_0d5069d6</t>
  </si>
  <si>
    <t>10586</t>
  </si>
  <si>
    <t>ქვიშა-ხრეში (ბალასტი)</t>
  </si>
  <si>
    <t>__export__.product_template_47354_ae81ba99</t>
  </si>
  <si>
    <t>6636</t>
  </si>
  <si>
    <t>ქვიშა-ხრეში (ღორღი 0-80მმ)</t>
  </si>
  <si>
    <t>__export__.product_template_47355_29373010</t>
  </si>
  <si>
    <t>2298</t>
  </si>
  <si>
    <t>2/5 მოწყობილობა ექსპლოატაცია</t>
  </si>
  <si>
    <t>__export__.product_category_4657_6e584e43</t>
  </si>
  <si>
    <t>__export__.product_template_47353_4fe25bf5</t>
  </si>
  <si>
    <t>3797</t>
  </si>
  <si>
    <t>__export__.product_template_47356_fb972d34</t>
  </si>
  <si>
    <t>3882</t>
  </si>
  <si>
    <t>__export__.product_template_47357_0e1c52c8</t>
  </si>
  <si>
    <t>10413</t>
  </si>
  <si>
    <t>ქოლგა საველე - შემდუღებლისთვის</t>
  </si>
  <si>
    <t>__export__.product_template_47358_c291dfd4</t>
  </si>
  <si>
    <t>10077</t>
  </si>
  <si>
    <t>ქრომატოგრაფის კოლონა MGC BF CHA 10m PPQ HI, Fieldl</t>
  </si>
  <si>
    <t>__export__.product_template_47359_5d6f7230</t>
  </si>
  <si>
    <t>10154</t>
  </si>
  <si>
    <t>ქრომატოგრაფის კოლონა MGC BF CHA 20m MSSA HI,Fieldl</t>
  </si>
  <si>
    <t>__export__.product_template_47360_0f5ffbb6</t>
  </si>
  <si>
    <t>10155</t>
  </si>
  <si>
    <t>ქრომატოგრაფის კოლონა MGC CHA 4m 5CB HI,Fieldl</t>
  </si>
  <si>
    <t>__export__.product_template_47361_1676aac6</t>
  </si>
  <si>
    <t>6868</t>
  </si>
  <si>
    <t>__export__.product_template_47362_5a84c4a6</t>
  </si>
  <si>
    <t>8927</t>
  </si>
  <si>
    <t>__export__.product_template_47363_603f47c6</t>
  </si>
  <si>
    <t>9959</t>
  </si>
  <si>
    <t>__export__.product_template_47364_660740eb</t>
  </si>
  <si>
    <t>9844</t>
  </si>
  <si>
    <t>ქუდი ნაქსოვი თბილი</t>
  </si>
  <si>
    <t>__export__.product_template_47365_1f151a37</t>
  </si>
  <si>
    <t>9833</t>
  </si>
  <si>
    <t>ქურთუკი დათბილული შუქამრეკლი</t>
  </si>
  <si>
    <t>__export__.product_template_47366_7f789df3</t>
  </si>
  <si>
    <t>9834</t>
  </si>
  <si>
    <t>ქურთუკი კომპლ. შუქამრეკლი</t>
  </si>
  <si>
    <t>__export__.product_template_47367_60e9094a</t>
  </si>
  <si>
    <t>3051</t>
  </si>
  <si>
    <t>__export__.product_template_47368_69faea42</t>
  </si>
  <si>
    <t>6132</t>
  </si>
  <si>
    <t>__export__.product_template_47369_b8d9e5e9</t>
  </si>
  <si>
    <t>4585</t>
  </si>
  <si>
    <t>__export__.product_template_47370_22a9a9fa</t>
  </si>
  <si>
    <t>6236</t>
  </si>
  <si>
    <t>__export__.product_template_47371_5a31d7b9</t>
  </si>
  <si>
    <t>8963</t>
  </si>
  <si>
    <t>__export__.product_template_47372_7a51b598</t>
  </si>
  <si>
    <t>4572</t>
  </si>
  <si>
    <t>ღვედი ჩარხის</t>
  </si>
  <si>
    <t>__export__.product_template_47373_24e99bfa</t>
  </si>
  <si>
    <t>9343</t>
  </si>
  <si>
    <t>ღვედი ჩარხისთვის B 17-2200</t>
  </si>
  <si>
    <t>__export__.product_template_47374_0026b8ea</t>
  </si>
  <si>
    <t>9344</t>
  </si>
  <si>
    <t>ღვედი ჩარხისთვის C 22-2000</t>
  </si>
  <si>
    <t>__export__.product_template_47375_c6ab1c64</t>
  </si>
  <si>
    <t>10867</t>
  </si>
  <si>
    <t>ღონისძიება: 26 მაისი</t>
  </si>
  <si>
    <t>__export__.product_template_63170_0cd5da42</t>
  </si>
  <si>
    <t>10866</t>
  </si>
  <si>
    <t>ღონისძიება: ენერგეტიკოსის დღე</t>
  </si>
  <si>
    <t>__export__.product_template_63169_d6948763</t>
  </si>
  <si>
    <t>10865</t>
  </si>
  <si>
    <t>ღონისძიება: კორპორატიული</t>
  </si>
  <si>
    <t>__export__.product_template_63168_1831a66e</t>
  </si>
  <si>
    <t>10308</t>
  </si>
  <si>
    <t>ღორღი (80-200)</t>
  </si>
  <si>
    <t>__export__.product_template_47376_c187aa79</t>
  </si>
  <si>
    <t>7555</t>
  </si>
  <si>
    <t>ღორღი (ბალასტი)</t>
  </si>
  <si>
    <t>__export__.product_template_47377_87e71ae3</t>
  </si>
  <si>
    <t>10302</t>
  </si>
  <si>
    <t>__export__.product_template_47378_7f7cb392</t>
  </si>
  <si>
    <t>10475</t>
  </si>
  <si>
    <t>__export__.product_template_47379_6d728f00</t>
  </si>
  <si>
    <t>3393</t>
  </si>
  <si>
    <t>__export__.product_template_47380_34279a29</t>
  </si>
  <si>
    <t>3131</t>
  </si>
  <si>
    <t>__export__.product_template_47381_124b7385</t>
  </si>
  <si>
    <t>10353</t>
  </si>
  <si>
    <t>__export__.product_template_47382_ef19c92d</t>
  </si>
  <si>
    <t>11047</t>
  </si>
  <si>
    <t>ყავა აპარატის</t>
  </si>
  <si>
    <t>__export__.product_template_63350_5cdff054</t>
  </si>
  <si>
    <t>13530</t>
  </si>
  <si>
    <t>ყავა აპარატის 0.250კგ</t>
  </si>
  <si>
    <t>__export__.product_template_77870_286f77cd</t>
  </si>
  <si>
    <t>11048</t>
  </si>
  <si>
    <t>ყავა უნალექო</t>
  </si>
  <si>
    <t>__export__.product_template_63351_a7411fb0</t>
  </si>
  <si>
    <t>11049</t>
  </si>
  <si>
    <t>ყავა უნალექო თურქყლი</t>
  </si>
  <si>
    <t>__export__.product_template_63352_6d0499e7</t>
  </si>
  <si>
    <t>10120</t>
  </si>
  <si>
    <t>ყავის აპარატი</t>
  </si>
  <si>
    <t>__export__.product_template_47383_21ea2eb5</t>
  </si>
  <si>
    <t>11055</t>
  </si>
  <si>
    <t>ყუთი მუყაოს სამეურნეო</t>
  </si>
  <si>
    <t>__export__.product_template_71012_964b0f00</t>
  </si>
  <si>
    <t>6500</t>
  </si>
  <si>
    <t>__export__.product_template_47384_62d9a54d</t>
  </si>
  <si>
    <t>9880</t>
  </si>
  <si>
    <t>ყუთი სამეურნეო პლასტმასის 220X350X165</t>
  </si>
  <si>
    <t>2/12/2 სამეურნეო</t>
  </si>
  <si>
    <t>__export__.product_category_4659_882a94be</t>
  </si>
  <si>
    <t>__export__.product_template_47385_e8f91c88</t>
  </si>
  <si>
    <t>9879</t>
  </si>
  <si>
    <t>ყუთი სამეურნეო პლასტმასის 310X490X190</t>
  </si>
  <si>
    <t>__export__.product_template_47386_53b1ff0a</t>
  </si>
  <si>
    <t>9881</t>
  </si>
  <si>
    <t>ყუთი სამეურნეო პლასტმასის 310X490X190 გამყოფით</t>
  </si>
  <si>
    <t>__export__.product_template_47387_0bf984ed</t>
  </si>
  <si>
    <t>8949</t>
  </si>
  <si>
    <t>__export__.product_template_47388_858ef327</t>
  </si>
  <si>
    <t>10415</t>
  </si>
  <si>
    <t>შაბლონი მანიშნებლის  "მიმდინარეობს ვიდეო კონტროლი" პლასტმასი 250*250*5მმ</t>
  </si>
  <si>
    <t>__export__.product_template_47390_c0167840</t>
  </si>
  <si>
    <t>10416</t>
  </si>
  <si>
    <t>შაბლონი მანიშნებლის  "მოწევა აკრძალულია" პლასტმასი 250*250*5მმ</t>
  </si>
  <si>
    <t>__export__.product_template_47391_bdea1f9a</t>
  </si>
  <si>
    <t>10417</t>
  </si>
  <si>
    <t>შაბლონი მანიშნებლის  "ობიექტზე შესვლა აკრძალულია" პლასტმასი 400*500*5მმ</t>
  </si>
  <si>
    <t>__export__.product_template_47392_56c846c2</t>
  </si>
  <si>
    <t>10414</t>
  </si>
  <si>
    <t>შაბლონი მანიშნებლის - "112" პლასტმასი 250*250*5მმ</t>
  </si>
  <si>
    <t>__export__.product_template_47389_273d2d72</t>
  </si>
  <si>
    <t>10043</t>
  </si>
  <si>
    <t>შაბლონი სწორი მონაკვეთის და კამერების მოსარგებად ნამზ.</t>
  </si>
  <si>
    <t>__export__.product_template_47393_98229ece</t>
  </si>
  <si>
    <t>9382</t>
  </si>
  <si>
    <t>__export__.product_template_47394_84db0537</t>
  </si>
  <si>
    <t>11051</t>
  </si>
  <si>
    <t>შაქარი</t>
  </si>
  <si>
    <t>__export__.product_template_63354_4cca2173</t>
  </si>
  <si>
    <t>10714</t>
  </si>
  <si>
    <t>შედუღების აპარატი აკუმულატორით 180-250 A</t>
  </si>
  <si>
    <t>3/1 შედუღების აპარატი</t>
  </si>
  <si>
    <t>__export__.product_category_4660_1627505c</t>
  </si>
  <si>
    <t>__export__.product_template_62803_efc01932</t>
  </si>
  <si>
    <t>10713</t>
  </si>
  <si>
    <t>შედუღების აპარატი ინვენტორული ნახ. ავტ. 12-250 A</t>
  </si>
  <si>
    <t>__export__.product_template_62804_0afaa712</t>
  </si>
  <si>
    <t>6007</t>
  </si>
  <si>
    <t>__export__.product_template_47395_f6737995</t>
  </si>
  <si>
    <t>3143</t>
  </si>
  <si>
    <t>2/12/2 მოწყობილობის მაკომპლექტებელი</t>
  </si>
  <si>
    <t>__export__.product_category_4661_39f31bbc</t>
  </si>
  <si>
    <t>__export__.product_template_47396_ae9e75e1</t>
  </si>
  <si>
    <t>7905</t>
  </si>
  <si>
    <t>__export__.product_template_47397_187bed2f</t>
  </si>
  <si>
    <t>8542</t>
  </si>
  <si>
    <t>__export__.product_template_47398_e5264212</t>
  </si>
  <si>
    <t>10915</t>
  </si>
  <si>
    <t>შემდუღებლის სერტიფიცირება</t>
  </si>
  <si>
    <t>2/9 სტანდარტიზაცია / აკრედიტაცია</t>
  </si>
  <si>
    <t>__export__.product_category_4704_722b4665</t>
  </si>
  <si>
    <t>__export__.product_template_63218_8e7a7a65</t>
  </si>
  <si>
    <t>4461</t>
  </si>
  <si>
    <t>__export__.product_template_47399_31449bde</t>
  </si>
  <si>
    <t>8539</t>
  </si>
  <si>
    <t>__export__.product_template_47400_19643104</t>
  </si>
  <si>
    <t>3585</t>
  </si>
  <si>
    <t>__export__.product_template_47401_928d40ed</t>
  </si>
  <si>
    <t>5264</t>
  </si>
  <si>
    <t>შემდუღებლის წინსაფარი ცეცხლგამძლე</t>
  </si>
  <si>
    <t>__export__.product_template_47402_cc212844</t>
  </si>
  <si>
    <t>10564</t>
  </si>
  <si>
    <t>შემრევი ონკანი სამზარეულოს</t>
  </si>
  <si>
    <t>__export__.product_template_47403_17e5e638</t>
  </si>
  <si>
    <t>5154</t>
  </si>
  <si>
    <t>შემრევი ონკანი საყოფაცხოვრებო</t>
  </si>
  <si>
    <t>__export__.product_template_47404_4e882926</t>
  </si>
  <si>
    <t>10138</t>
  </si>
  <si>
    <t>__export__.product_template_47405_be6c5a0e</t>
  </si>
  <si>
    <t>3514</t>
  </si>
  <si>
    <t>__export__.product_template_47406_397ef531</t>
  </si>
  <si>
    <t>8858</t>
  </si>
  <si>
    <t>__export__.product_template_47407_ced71bc1</t>
  </si>
  <si>
    <t>10772</t>
  </si>
  <si>
    <t xml:space="preserve">შენადუღი ნაკერების სატესტო ნიმუშები (Steel) </t>
  </si>
  <si>
    <t>__export__.product_template_62805_f59eaf31</t>
  </si>
  <si>
    <t>9867</t>
  </si>
  <si>
    <t>შესაბამისი ხელშეკრულების გაფორმება ზოგადი</t>
  </si>
  <si>
    <t>2/5 მომსახურება</t>
  </si>
  <si>
    <t>__export__.product_category_4683_1ab67f51</t>
  </si>
  <si>
    <t>__export__.product_template_47408_a32f0ebd</t>
  </si>
  <si>
    <t>9042</t>
  </si>
  <si>
    <t>შესადუღებელი მოწყობილობა ღიობის (რეზინის ბურთის)</t>
  </si>
  <si>
    <t>__export__.product_template_47409_77d9ad90</t>
  </si>
  <si>
    <t>10073</t>
  </si>
  <si>
    <t>შესაპოხი შპრიცის გდამყვანი ნამზ.</t>
  </si>
  <si>
    <t>__export__.product_template_47410_7f23ecee</t>
  </si>
  <si>
    <t>10129</t>
  </si>
  <si>
    <t>შესაპოხი შპრიცის მიმწოლი მოწყობილობის მწნეხავი ღერძის მიმმართველი შიდა ხრახნი М20*2.5 ნამზ.</t>
  </si>
  <si>
    <t>__export__.product_template_47411_2f8541a5</t>
  </si>
  <si>
    <t>5823</t>
  </si>
  <si>
    <t>__export__.product_template_47412_3154bdce</t>
  </si>
  <si>
    <t>5241</t>
  </si>
  <si>
    <t>__export__.product_template_47413_e8bb35d1</t>
  </si>
  <si>
    <t>8568</t>
  </si>
  <si>
    <t>__export__.product_template_47414_9bcca788</t>
  </si>
  <si>
    <t>8515</t>
  </si>
  <si>
    <t>__export__.product_template_47415_84eaa55a</t>
  </si>
  <si>
    <t>6883</t>
  </si>
  <si>
    <t>__export__.product_template_47416_519509d2</t>
  </si>
  <si>
    <t>6402</t>
  </si>
  <si>
    <t>__export__.product_template_47417_ca8990c7</t>
  </si>
  <si>
    <t>5109</t>
  </si>
  <si>
    <t>__export__.product_template_47418_9c9fc6ec</t>
  </si>
  <si>
    <t>9227</t>
  </si>
  <si>
    <t>შიფერი თუნუქის მოთუთიებული</t>
  </si>
  <si>
    <t>__export__.product_template_47419_960f5cd4</t>
  </si>
  <si>
    <t>10166</t>
  </si>
  <si>
    <t>შლანგი D15 600მმ წყლის</t>
  </si>
  <si>
    <t>__export__.product_template_47434_fd10ea8c</t>
  </si>
  <si>
    <t>10565</t>
  </si>
  <si>
    <t>შლანგი D20 500მმ</t>
  </si>
  <si>
    <t>__export__.product_template_47420_36a66efa</t>
  </si>
  <si>
    <t>8978</t>
  </si>
  <si>
    <t>შლანგი D20 მ/წნ ძაფნარევი</t>
  </si>
  <si>
    <t>__export__.product_template_47421_0770ca4a</t>
  </si>
  <si>
    <t>3073</t>
  </si>
  <si>
    <t>__export__.product_template_47422_2d8d00bc</t>
  </si>
  <si>
    <t>6179</t>
  </si>
  <si>
    <t>__export__.product_template_47423_8927d04a</t>
  </si>
  <si>
    <t>10006</t>
  </si>
  <si>
    <t>__export__.product_template_47424_e9ac8f35</t>
  </si>
  <si>
    <t>4638</t>
  </si>
  <si>
    <t>შლანგი მ/წნ</t>
  </si>
  <si>
    <t>__export__.product_template_47425_9f536851</t>
  </si>
  <si>
    <t>5504</t>
  </si>
  <si>
    <t>__export__.product_template_47426_f2510c65</t>
  </si>
  <si>
    <t>8510</t>
  </si>
  <si>
    <t>__export__.product_template_47427_8dc4c89f</t>
  </si>
  <si>
    <t>9166</t>
  </si>
  <si>
    <t>შლანგი მ/წნ გოფრირებული 10მმ ოდორანტისთვის</t>
  </si>
  <si>
    <t>__export__.product_template_47428_4761b664</t>
  </si>
  <si>
    <t>9231</t>
  </si>
  <si>
    <t>შლანგი მართვის პულტის D1/2 P64</t>
  </si>
  <si>
    <t>__export__.product_template_47429_ba8563a1</t>
  </si>
  <si>
    <t>3453</t>
  </si>
  <si>
    <t>__export__.product_template_47430_d9106795</t>
  </si>
  <si>
    <t>8930</t>
  </si>
  <si>
    <t>შლანგი სახანძრო D100 მ/წნ გოფრირებული</t>
  </si>
  <si>
    <t>__export__.product_template_47431_424ac797</t>
  </si>
  <si>
    <t>9331</t>
  </si>
  <si>
    <t>შლანგი ქვიშაჭავლური კომპრესორის</t>
  </si>
  <si>
    <t>__export__.product_template_47432_9f441998</t>
  </si>
  <si>
    <t>3167</t>
  </si>
  <si>
    <t>__export__.product_template_47433_c5966686</t>
  </si>
  <si>
    <t>10322</t>
  </si>
  <si>
    <t>__export__.product_template_47435_d48f8cbe</t>
  </si>
  <si>
    <t>10108</t>
  </si>
  <si>
    <t>შპატელი 100მმ</t>
  </si>
  <si>
    <t>2/12/4 ინსტრუმენტი</t>
  </si>
  <si>
    <t>__export__.product_category_4662_e5eca508</t>
  </si>
  <si>
    <t>__export__.product_template_47436_89c6b757</t>
  </si>
  <si>
    <t>10107</t>
  </si>
  <si>
    <t>შპატელი 200მმ</t>
  </si>
  <si>
    <t>__export__.product_template_47437_7a745e97</t>
  </si>
  <si>
    <t>10106</t>
  </si>
  <si>
    <t>შპატელი 400მმ</t>
  </si>
  <si>
    <t>__export__.product_template_47438_049f7feb</t>
  </si>
  <si>
    <t>7634</t>
  </si>
  <si>
    <t>შრედერი (ქაღალდის გამანადგურებელი)</t>
  </si>
  <si>
    <t>3/4 საოფისე ტექნიკა</t>
  </si>
  <si>
    <t>__export__.product_category_4663_8e4ea175</t>
  </si>
  <si>
    <t>__export__.product_template_47439_bf076591</t>
  </si>
  <si>
    <t>10329</t>
  </si>
  <si>
    <t>შტაბელერი ელექტრო პალეტის</t>
  </si>
  <si>
    <t>__export__.product_template_47441_f39be9d6</t>
  </si>
  <si>
    <t>9910</t>
  </si>
  <si>
    <t>შტაბელერი ჰიდრავლიკური პალეტის</t>
  </si>
  <si>
    <t>__export__.product_template_47440_d3fb6ba0</t>
  </si>
  <si>
    <t>3230</t>
  </si>
  <si>
    <t>შტანგელ-ცირკული 150</t>
  </si>
  <si>
    <t>__export__.product_template_47442_666015cb</t>
  </si>
  <si>
    <t>6659</t>
  </si>
  <si>
    <t>__export__.product_template_47446_e8e70d19</t>
  </si>
  <si>
    <t>3839</t>
  </si>
  <si>
    <t>შტანგელ-ცირკული 250</t>
  </si>
  <si>
    <t>__export__.product_template_47443_0aa80afa</t>
  </si>
  <si>
    <t>6690</t>
  </si>
  <si>
    <t>შტანგელ-ცირკული 250 ნონიუსი 0.05მმ</t>
  </si>
  <si>
    <t>__export__.product_template_47447_f9f60c0e</t>
  </si>
  <si>
    <t>10343</t>
  </si>
  <si>
    <t>შტანგელ-ცირკული 300 ნონიუსი 0.2მმ</t>
  </si>
  <si>
    <t>__export__.product_template_47448_48fb48a2</t>
  </si>
  <si>
    <t>10210</t>
  </si>
  <si>
    <t>შტანგელ-ცირკული 300 ციფრული ნონიუსი 0.02მმ</t>
  </si>
  <si>
    <t>__export__.product_template_47444_e5bfc5b0</t>
  </si>
  <si>
    <t>10260</t>
  </si>
  <si>
    <t>შტანგელ-ცირკული 450 ციფრული ნონიუსი 0.02მმ</t>
  </si>
  <si>
    <t>__export__.product_template_47445_da19e3f6</t>
  </si>
  <si>
    <t>10344</t>
  </si>
  <si>
    <t>შტანგელ-ცირკული 500 ნონიუსი 0.2მმ</t>
  </si>
  <si>
    <t>__export__.product_template_47449_97e5fadc</t>
  </si>
  <si>
    <t>10374</t>
  </si>
  <si>
    <t>შტატივი (ტრიპოდი) GNSS მობილური სადგურის</t>
  </si>
  <si>
    <t>__export__.product_template_47450_f95b5125</t>
  </si>
  <si>
    <t>3448</t>
  </si>
  <si>
    <t>__export__.product_template_47451_d6a1190e</t>
  </si>
  <si>
    <t>6296</t>
  </si>
  <si>
    <t>__export__.product_template_47452_c8a97118</t>
  </si>
  <si>
    <t>3440</t>
  </si>
  <si>
    <t>__export__.product_template_47453_a71786b5</t>
  </si>
  <si>
    <t>2003614</t>
  </si>
  <si>
    <t>შუალედური დამჭერი 4*35</t>
  </si>
  <si>
    <t>__export__.product_template_77921_b68416ba</t>
  </si>
  <si>
    <t>3833</t>
  </si>
  <si>
    <t>__export__.product_template_47455_28d04dcb</t>
  </si>
  <si>
    <t>1964</t>
  </si>
  <si>
    <t>__export__.product_template_47454_f3bd8bf1</t>
  </si>
  <si>
    <t>3675</t>
  </si>
  <si>
    <t>__export__.product_template_47456_c2bc98e1</t>
  </si>
  <si>
    <t>3842</t>
  </si>
  <si>
    <t>__export__.product_template_47457_ea7072ee</t>
  </si>
  <si>
    <t>7706</t>
  </si>
  <si>
    <t>__export__.product_template_47458_e7c61428</t>
  </si>
  <si>
    <t>10399</t>
  </si>
  <si>
    <t>შუასადები DN150 PN64 საყელურიანი მილტუჩისთვის</t>
  </si>
  <si>
    <t>__export__.product_template_47459_7e8c9c0f</t>
  </si>
  <si>
    <t>10400</t>
  </si>
  <si>
    <t>შუასადები DN50 PN64 საყელურიანი მილტუჩისთვის</t>
  </si>
  <si>
    <t>__export__.product_template_47460_932c1704</t>
  </si>
  <si>
    <t>10333</t>
  </si>
  <si>
    <t>შუასადები DN700 PN40 საყელურიანი მილტუჩისთვის</t>
  </si>
  <si>
    <t>__export__.product_template_47461_24d7756d</t>
  </si>
  <si>
    <t>10398</t>
  </si>
  <si>
    <t>შუასადები DN700 PN64 საყელურიანი მილტუჩისთვის</t>
  </si>
  <si>
    <t>__export__.product_template_47462_1d3cc3f0</t>
  </si>
  <si>
    <t>9294</t>
  </si>
  <si>
    <t>__export__.product_template_47463_ad5a314f</t>
  </si>
  <si>
    <t>6240</t>
  </si>
  <si>
    <t>__export__.product_template_47464_a04b9de7</t>
  </si>
  <si>
    <t>10659</t>
  </si>
  <si>
    <t>შურუპი თვითმჭრელი 3.5*35</t>
  </si>
  <si>
    <t>__export__.product_template_63128_406bc33f</t>
  </si>
  <si>
    <t>10546</t>
  </si>
  <si>
    <t>შურუპი თვითმჭრელი 3.5*9 (სემიჩკა)</t>
  </si>
  <si>
    <t>__export__.product_template_47465_e520a488</t>
  </si>
  <si>
    <t>9864</t>
  </si>
  <si>
    <t>__export__.product_template_47466_93297cc0</t>
  </si>
  <si>
    <t>9953</t>
  </si>
  <si>
    <t>__export__.product_template_47467_34af5b70</t>
  </si>
  <si>
    <t>10299</t>
  </si>
  <si>
    <t>შურუპი თუნუქის 6*60 თვითმჭრელი</t>
  </si>
  <si>
    <t>__export__.product_template_47468_a7deb323</t>
  </si>
  <si>
    <t>9226</t>
  </si>
  <si>
    <t>შურუპი შიფერის</t>
  </si>
  <si>
    <t>__export__.product_template_47469_c9cd4eeb</t>
  </si>
  <si>
    <t>4600</t>
  </si>
  <si>
    <t>__export__.product_template_47471_6afa80a2</t>
  </si>
  <si>
    <t>3525</t>
  </si>
  <si>
    <t>შხამქიმიკატი ჰერბიციდი</t>
  </si>
  <si>
    <t>__export__.product_template_47472_661cf045</t>
  </si>
  <si>
    <t>11050</t>
  </si>
  <si>
    <t>ჩაი</t>
  </si>
  <si>
    <t>__export__.product_template_63353_5e5cf9e0</t>
  </si>
  <si>
    <t>10562</t>
  </si>
  <si>
    <t>ჩამკეტი კლაპანი D50 პლ. მილის</t>
  </si>
  <si>
    <t>__export__.product_template_47473_6655a4e9</t>
  </si>
  <si>
    <t>3796</t>
  </si>
  <si>
    <t>ჩანთა ნოუთბუქის</t>
  </si>
  <si>
    <t>__export__.product_template_47474_054f1f06</t>
  </si>
  <si>
    <t>3583</t>
  </si>
  <si>
    <t>__export__.product_template_47475_bb595c96</t>
  </si>
  <si>
    <t>7814</t>
  </si>
  <si>
    <t>ჩაფხუტი ლურჯი</t>
  </si>
  <si>
    <t>__export__.product_template_47476_ca6b360c</t>
  </si>
  <si>
    <t>7815</t>
  </si>
  <si>
    <t>ჩაფხუტი მწვანე</t>
  </si>
  <si>
    <t>__export__.product_template_47477_2fec7d03</t>
  </si>
  <si>
    <t>10206</t>
  </si>
  <si>
    <t>ჩაფხუტი ნაცრისფერი</t>
  </si>
  <si>
    <t>__export__.product_template_47478_f6e5277c</t>
  </si>
  <si>
    <t>10207</t>
  </si>
  <si>
    <t>__export__.product_template_47479_3ff2853d</t>
  </si>
  <si>
    <t>8162</t>
  </si>
  <si>
    <t>__export__.product_template_47480_7d648499</t>
  </si>
  <si>
    <t>10205</t>
  </si>
  <si>
    <t>ჩაფხუტი წითელი</t>
  </si>
  <si>
    <t>__export__.product_template_47481_42c07fc1</t>
  </si>
  <si>
    <t>3133</t>
  </si>
  <si>
    <t>ჩაქუჩი 1კგ</t>
  </si>
  <si>
    <t>__export__.product_template_47482_501eb330</t>
  </si>
  <si>
    <t>10352</t>
  </si>
  <si>
    <t>__export__.product_template_47483_ebe6322b</t>
  </si>
  <si>
    <t>9968</t>
  </si>
  <si>
    <t>__export__.product_template_47484_2e3bfbd6</t>
  </si>
  <si>
    <t>8951</t>
  </si>
  <si>
    <t>ჩაქუჩი ლურსმანსაძრობით 0.6კგ</t>
  </si>
  <si>
    <t>__export__.product_template_47485_f07240dc</t>
  </si>
  <si>
    <t>4529</t>
  </si>
  <si>
    <t>__export__.product_template_47486_d01ea34b</t>
  </si>
  <si>
    <t>3258</t>
  </si>
  <si>
    <t>__export__.product_template_47487_7de1ac1b</t>
  </si>
  <si>
    <t>10825</t>
  </si>
  <si>
    <t>ჩექმა სამუშაო ტყავის თასმიანი სტანდარტული</t>
  </si>
  <si>
    <t>__export__.product_template_62806_82127a3a</t>
  </si>
  <si>
    <t>10296</t>
  </si>
  <si>
    <t>__export__.product_template_47488_0d792c40</t>
  </si>
  <si>
    <t>3050</t>
  </si>
  <si>
    <t>__export__.product_template_47489_96055d22</t>
  </si>
  <si>
    <t>10478</t>
  </si>
  <si>
    <t>ჩობალი ROD SEAL RSB 125</t>
  </si>
  <si>
    <t>__export__.product_template_47490_49a14c8c</t>
  </si>
  <si>
    <t>4343</t>
  </si>
  <si>
    <t>__export__.product_template_47491_53755a09</t>
  </si>
  <si>
    <t>5819</t>
  </si>
  <si>
    <t>__export__.product_template_47492_9625aaa2</t>
  </si>
  <si>
    <t>3210</t>
  </si>
  <si>
    <t>ცემენტი M400</t>
  </si>
  <si>
    <t>__export__.product_template_47493_a39c5918</t>
  </si>
  <si>
    <t>10433</t>
  </si>
  <si>
    <t>ცენტრალიზირებული აუტენტიფიკაციის სერვერი</t>
  </si>
  <si>
    <t>__export__.product_template_47494_f591c687</t>
  </si>
  <si>
    <t>10801</t>
  </si>
  <si>
    <t>ცენტრატორი მილის D1000</t>
  </si>
  <si>
    <t>__export__.product_template_62807_8c6f4e5a</t>
  </si>
  <si>
    <t>10762</t>
  </si>
  <si>
    <t>ცენტრატორი მილის D1200</t>
  </si>
  <si>
    <t>__export__.product_template_62808_f5475254</t>
  </si>
  <si>
    <t>7873</t>
  </si>
  <si>
    <t>ცენტრატორი მილის D325</t>
  </si>
  <si>
    <t>__export__.product_template_47495_78af8fc9</t>
  </si>
  <si>
    <t>10800</t>
  </si>
  <si>
    <t>ცენტრატორი მილის D500</t>
  </si>
  <si>
    <t>__export__.product_template_62809_c57acace</t>
  </si>
  <si>
    <t>10761</t>
  </si>
  <si>
    <t>ცენტრატორი მილის D720</t>
  </si>
  <si>
    <t>__export__.product_template_62810_2489a5f1</t>
  </si>
  <si>
    <t>6353</t>
  </si>
  <si>
    <t>__export__.product_template_47496_47462fcd</t>
  </si>
  <si>
    <t>10248</t>
  </si>
  <si>
    <t>ცეცხლმაქრი 1კგ</t>
  </si>
  <si>
    <t>__export__.product_template_47497_2da9e934</t>
  </si>
  <si>
    <t>10901</t>
  </si>
  <si>
    <t>ცეცხლმაქრი 1კგ დამუხტვა</t>
  </si>
  <si>
    <t>__export__.product_template_63204_9bed1fa2</t>
  </si>
  <si>
    <t>10906</t>
  </si>
  <si>
    <t>ცეცხლმაქრი 25კგ დამუხტვა</t>
  </si>
  <si>
    <t>__export__.product_template_63209_bb6ffa9c</t>
  </si>
  <si>
    <t>8196</t>
  </si>
  <si>
    <t>__export__.product_template_47498_96abac37</t>
  </si>
  <si>
    <t>3257</t>
  </si>
  <si>
    <t>__export__.product_template_47499_3285f5df</t>
  </si>
  <si>
    <t>10902</t>
  </si>
  <si>
    <t>ცეცხლმაქრი 2კგ დამუხტვა</t>
  </si>
  <si>
    <t>__export__.product_template_63205_e8a5d404</t>
  </si>
  <si>
    <t>3563</t>
  </si>
  <si>
    <t>__export__.product_template_47500_5fb73569</t>
  </si>
  <si>
    <t>10903</t>
  </si>
  <si>
    <t>ცეცხლმაქრი 4კგ დამუხტვა</t>
  </si>
  <si>
    <t>__export__.product_template_63206_f8893e32</t>
  </si>
  <si>
    <t>8670</t>
  </si>
  <si>
    <t>__export__.product_template_47501_d1b5cfa1</t>
  </si>
  <si>
    <t>10904</t>
  </si>
  <si>
    <t>ცეცხლმაქრი 6კგ დამუხტვა</t>
  </si>
  <si>
    <t>__export__.product_template_63207_316d5882</t>
  </si>
  <si>
    <t>3838</t>
  </si>
  <si>
    <t>__export__.product_template_47502_f2364de5</t>
  </si>
  <si>
    <t>10905</t>
  </si>
  <si>
    <t>ცეცხლმაქრი 9კგ დამუხტვა</t>
  </si>
  <si>
    <t>__export__.product_template_63208_069b4dac</t>
  </si>
  <si>
    <t>7890</t>
  </si>
  <si>
    <t>ცივი შეჭრის დანადგარის სამაგრი კოჭა</t>
  </si>
  <si>
    <t>__export__.product_template_47503_f8f5c159</t>
  </si>
  <si>
    <t>10284</t>
  </si>
  <si>
    <t>ციფა მილი (ინდიკატორი)</t>
  </si>
  <si>
    <t>__export__.product_template_47504_2a92051e</t>
  </si>
  <si>
    <t>11041</t>
  </si>
  <si>
    <t>ცოცხი</t>
  </si>
  <si>
    <t>__export__.product_template_63344_74133244</t>
  </si>
  <si>
    <t>11042</t>
  </si>
  <si>
    <t xml:space="preserve">ცოცხი ეზოს </t>
  </si>
  <si>
    <t>__export__.product_template_63345_c324c3ea</t>
  </si>
  <si>
    <t>9260</t>
  </si>
  <si>
    <t>__export__.product_template_47505_8dbcf467</t>
  </si>
  <si>
    <t>5218</t>
  </si>
  <si>
    <t>ძაბრი</t>
  </si>
  <si>
    <t>__export__.product_template_47506_69e45c59</t>
  </si>
  <si>
    <t>3122</t>
  </si>
  <si>
    <t>__export__.product_template_47508_42415286</t>
  </si>
  <si>
    <t>1734</t>
  </si>
  <si>
    <t>__export__.product_template_47507_ca059e63</t>
  </si>
  <si>
    <t>8142</t>
  </si>
  <si>
    <t>__export__.product_template_47509_f4c5b426</t>
  </si>
  <si>
    <t>7588</t>
  </si>
  <si>
    <t>__export__.product_template_47510_55ed3dc5</t>
  </si>
  <si>
    <t>7494</t>
  </si>
  <si>
    <t>ძაღლისაგან თავდაცვის ულტრაბგერითი საშუალება</t>
  </si>
  <si>
    <t>__export__.product_template_47511_cdcbfe81</t>
  </si>
  <si>
    <t>5248</t>
  </si>
  <si>
    <t>2/5 ძუძუკა</t>
  </si>
  <si>
    <t>__export__.product_category_4666_ef6c12a5</t>
  </si>
  <si>
    <t>__export__.product_template_47512_497c9c53</t>
  </si>
  <si>
    <t>6144</t>
  </si>
  <si>
    <t>__export__.product_template_47513_2821e010</t>
  </si>
  <si>
    <t>9866</t>
  </si>
  <si>
    <t>__export__.product_template_47514_e7fdf8e3</t>
  </si>
  <si>
    <t>6145</t>
  </si>
  <si>
    <t>__export__.product_template_47515_c0e1743e</t>
  </si>
  <si>
    <t>6146</t>
  </si>
  <si>
    <t>__export__.product_template_47516_78508437</t>
  </si>
  <si>
    <t>7794</t>
  </si>
  <si>
    <t>__export__.product_template_47517_6d07a6e3</t>
  </si>
  <si>
    <t>10044</t>
  </si>
  <si>
    <t>2/5 ძუძუკა 1640</t>
  </si>
  <si>
    <t>__export__.product_category_4758_169959d2</t>
  </si>
  <si>
    <t>__export__.product_template_47518_c90362d4</t>
  </si>
  <si>
    <t>9862</t>
  </si>
  <si>
    <t>წარმომადგენლობითი</t>
  </si>
  <si>
    <t>__export__.product_template_47519_bcb9dc6f</t>
  </si>
  <si>
    <t>10869</t>
  </si>
  <si>
    <t>წარმომადგენლობითი: საჩუქრები</t>
  </si>
  <si>
    <t>__export__.product_template_63172_67439fb9</t>
  </si>
  <si>
    <t>10868</t>
  </si>
  <si>
    <t>წარმომადგენლობითი: სტუმრების დახვედრა</t>
  </si>
  <si>
    <t>__export__.product_template_63171_83fdbc30</t>
  </si>
  <si>
    <t>10870</t>
  </si>
  <si>
    <t>წარმომადგენლობითი: ჩაი, ყავა, წყალი</t>
  </si>
  <si>
    <t>__export__.product_template_63173_6a360017</t>
  </si>
  <si>
    <t>4064</t>
  </si>
  <si>
    <t>წებო ემულსია (პვა)</t>
  </si>
  <si>
    <t>__export__.product_template_47520_6b4ebf97</t>
  </si>
  <si>
    <t>10981</t>
  </si>
  <si>
    <t>წებო თხევადი</t>
  </si>
  <si>
    <t>__export__.product_template_63284_9b205834</t>
  </si>
  <si>
    <t>10110</t>
  </si>
  <si>
    <t>წებო ლინოლეუმის</t>
  </si>
  <si>
    <t>__export__.product_template_47521_94879d80</t>
  </si>
  <si>
    <t>10982</t>
  </si>
  <si>
    <t>წებო მშრალი</t>
  </si>
  <si>
    <t>__export__.product_template_63285_0a21cbd7</t>
  </si>
  <si>
    <t>10479</t>
  </si>
  <si>
    <t>წებო სწრაფშრობადი უნივერსალური ელასტომერი R-20გ. Skaloc 4S 06</t>
  </si>
  <si>
    <t>__export__.product_template_47522_da25ac2c</t>
  </si>
  <si>
    <t>10117</t>
  </si>
  <si>
    <t>წებო-ცემენტი</t>
  </si>
  <si>
    <t>__export__.product_template_47523_298fcb65</t>
  </si>
  <si>
    <t>3121</t>
  </si>
  <si>
    <t>__export__.product_template_47524_b19ad19e</t>
  </si>
  <si>
    <t>წინა სამუხრუჭე ხუნდები</t>
  </si>
  <si>
    <t>__export__.product_template_47695_71cbe687</t>
  </si>
  <si>
    <t>5480</t>
  </si>
  <si>
    <t>__export__.product_template_47525_b2bc6fa9</t>
  </si>
  <si>
    <t>5035</t>
  </si>
  <si>
    <t>__export__.product_template_47526_865b6561</t>
  </si>
  <si>
    <t>9421</t>
  </si>
  <si>
    <t>წნევის გადამწოდი (სენსორი) 2000 Mbar</t>
  </si>
  <si>
    <t>__export__.product_template_47527_48049cc2</t>
  </si>
  <si>
    <t>9422</t>
  </si>
  <si>
    <t>წნევის გადამწოდი (სენსორი) 3500 Mbar</t>
  </si>
  <si>
    <t>__export__.product_template_47528_a3512445</t>
  </si>
  <si>
    <t>9455</t>
  </si>
  <si>
    <t>წნევის კალიბრატორი DPI 620 კომპლ.</t>
  </si>
  <si>
    <t>__export__.product_template_47529_e9710f42</t>
  </si>
  <si>
    <t>9040</t>
  </si>
  <si>
    <t>წნევის საკონტროლებელი სისტემა რეზინის ბურთში</t>
  </si>
  <si>
    <t>__export__.product_template_47530_f62d54cf</t>
  </si>
  <si>
    <t>11053</t>
  </si>
  <si>
    <t>წყალი პლ. ბოთლში 0.5ლ</t>
  </si>
  <si>
    <t>__export__.product_template_63356_e27c82fe</t>
  </si>
  <si>
    <t>11052</t>
  </si>
  <si>
    <t>წყალი შუშის ბოთლში</t>
  </si>
  <si>
    <t>__export__.product_template_63355_caf28565</t>
  </si>
  <si>
    <t>4562</t>
  </si>
  <si>
    <t>წყლის გამაცხელებელი</t>
  </si>
  <si>
    <t>__export__.product_template_47531_455229a9</t>
  </si>
  <si>
    <t>9329</t>
  </si>
  <si>
    <t>წყლის გამაცხელებელი ონკანი ელექტრო</t>
  </si>
  <si>
    <t>__export__.product_template_47532_3e9125ca</t>
  </si>
  <si>
    <t>10568</t>
  </si>
  <si>
    <t>წყლის ელ. გამაცხელებელი 30ლ.</t>
  </si>
  <si>
    <t>__export__.product_template_47533_cba881f2</t>
  </si>
  <si>
    <t>8762</t>
  </si>
  <si>
    <t>წყლის ელექტრო მადუღარა</t>
  </si>
  <si>
    <t>__export__.product_template_47534_0c251dfe</t>
  </si>
  <si>
    <t>8839</t>
  </si>
  <si>
    <t>3/1 წყლის ტუმბო</t>
  </si>
  <si>
    <t>__export__.product_category_4667_41a5438c</t>
  </si>
  <si>
    <t>__export__.product_template_47535_7d330b64</t>
  </si>
  <si>
    <t>5278</t>
  </si>
  <si>
    <t>3/1 წყლის ტუმბო 1620</t>
  </si>
  <si>
    <t>__export__.product_category_4761_64e4245e</t>
  </si>
  <si>
    <t>__export__.product_template_47536_ffa34265</t>
  </si>
  <si>
    <t>9404</t>
  </si>
  <si>
    <t>__export__.product_template_47537_8df2861e</t>
  </si>
  <si>
    <t>3813</t>
  </si>
  <si>
    <t>__export__.product_template_47538_e789f41b</t>
  </si>
  <si>
    <t>3831</t>
  </si>
  <si>
    <t>__export__.product_template_47539_f0fbab84</t>
  </si>
  <si>
    <t>4493</t>
  </si>
  <si>
    <t>ჭანჭიკი (კგ)</t>
  </si>
  <si>
    <t>__export__.product_template_47540_e4020c11</t>
  </si>
  <si>
    <t>5751</t>
  </si>
  <si>
    <t>__export__.product_template_47541_3d380ecf</t>
  </si>
  <si>
    <t>8477</t>
  </si>
  <si>
    <t>ჭანჭიკი 12*70</t>
  </si>
  <si>
    <t>__export__.product_template_47542_c31d626c</t>
  </si>
  <si>
    <t>5237</t>
  </si>
  <si>
    <t>__export__.product_template_47543_c99029b0</t>
  </si>
  <si>
    <t>5742</t>
  </si>
  <si>
    <t>__export__.product_template_47544_f2cd8770</t>
  </si>
  <si>
    <t>10027</t>
  </si>
  <si>
    <t>__export__.product_template_47545_8edc2da6</t>
  </si>
  <si>
    <t>6153</t>
  </si>
  <si>
    <t>__export__.product_template_47546_eef6feac</t>
  </si>
  <si>
    <t>8560</t>
  </si>
  <si>
    <t>__export__.product_template_47547_9fedb4ef</t>
  </si>
  <si>
    <t>8584</t>
  </si>
  <si>
    <t>__export__.product_template_47548_37b6830e</t>
  </si>
  <si>
    <t>5749</t>
  </si>
  <si>
    <t>__export__.product_template_47549_bbb0d62d</t>
  </si>
  <si>
    <t>8952</t>
  </si>
  <si>
    <t>__export__.product_template_47550_f752bde6</t>
  </si>
  <si>
    <t>10026</t>
  </si>
  <si>
    <t>ჭანჭიკი 16*90</t>
  </si>
  <si>
    <t>__export__.product_template_47551_3c554f34</t>
  </si>
  <si>
    <t>8682</t>
  </si>
  <si>
    <t>__export__.product_template_47552_98b25cf1</t>
  </si>
  <si>
    <t>10029</t>
  </si>
  <si>
    <t>__export__.product_template_47553_501fc3f7</t>
  </si>
  <si>
    <t>8558</t>
  </si>
  <si>
    <t>__export__.product_template_47554_52fcff2b</t>
  </si>
  <si>
    <t>8582</t>
  </si>
  <si>
    <t>__export__.product_template_47555_7a416864</t>
  </si>
  <si>
    <t>10028</t>
  </si>
  <si>
    <t>ჭანჭიკი 18*70</t>
  </si>
  <si>
    <t>__export__.product_template_47556_c4973083</t>
  </si>
  <si>
    <t>8181</t>
  </si>
  <si>
    <t>__export__.product_template_47557_866778b2</t>
  </si>
  <si>
    <t>6371</t>
  </si>
  <si>
    <t>ჭანჭიკი 18*80 (კგ)</t>
  </si>
  <si>
    <t>__export__.product_template_47558_7d6dc550</t>
  </si>
  <si>
    <t>9923</t>
  </si>
  <si>
    <t>ჭანჭიკი 18*90</t>
  </si>
  <si>
    <t>__export__.product_template_47559_6a21cc22</t>
  </si>
  <si>
    <t>5236</t>
  </si>
  <si>
    <t>__export__.product_template_47560_3ba18e41</t>
  </si>
  <si>
    <t>8953</t>
  </si>
  <si>
    <t>__export__.product_template_47561_3ea89a4b</t>
  </si>
  <si>
    <t>10032</t>
  </si>
  <si>
    <t>__export__.product_template_47562_6c51732e</t>
  </si>
  <si>
    <t>10033</t>
  </si>
  <si>
    <t>__export__.product_template_47563_c16872ca</t>
  </si>
  <si>
    <t>10030</t>
  </si>
  <si>
    <t>__export__.product_template_47564_3c1b148b</t>
  </si>
  <si>
    <t>10031</t>
  </si>
  <si>
    <t>ჭანჭიკი 20*90</t>
  </si>
  <si>
    <t>__export__.product_template_47565_6332b79c</t>
  </si>
  <si>
    <t>7485</t>
  </si>
  <si>
    <t>ჭანჭიკი 22</t>
  </si>
  <si>
    <t>__export__.product_template_47566_ff7213cc</t>
  </si>
  <si>
    <t>5725</t>
  </si>
  <si>
    <t>__export__.product_template_47567_125d1711</t>
  </si>
  <si>
    <t>8183</t>
  </si>
  <si>
    <t>__export__.product_template_47568_ee671e63</t>
  </si>
  <si>
    <t>9924</t>
  </si>
  <si>
    <t>__export__.product_template_47569_7afb124f</t>
  </si>
  <si>
    <t>8561</t>
  </si>
  <si>
    <t>ჭანჭიკი 22*150</t>
  </si>
  <si>
    <t>__export__.product_template_47570_2789f8ca</t>
  </si>
  <si>
    <t>8474</t>
  </si>
  <si>
    <t>__export__.product_template_47571_12f36d64</t>
  </si>
  <si>
    <t>8580</t>
  </si>
  <si>
    <t>__export__.product_template_47572_1708617f</t>
  </si>
  <si>
    <t>8182</t>
  </si>
  <si>
    <t>__export__.product_template_47573_c3ce3aa8</t>
  </si>
  <si>
    <t>10034</t>
  </si>
  <si>
    <t>ჭანჭიკი 22*70</t>
  </si>
  <si>
    <t>__export__.product_template_47574_12d0e3a3</t>
  </si>
  <si>
    <t>8583</t>
  </si>
  <si>
    <t>__export__.product_template_47575_472f2b3e</t>
  </si>
  <si>
    <t>7917</t>
  </si>
  <si>
    <t>__export__.product_template_47576_a988728a</t>
  </si>
  <si>
    <t>7484</t>
  </si>
  <si>
    <t>__export__.product_template_47577_6363bcbb</t>
  </si>
  <si>
    <t>10036</t>
  </si>
  <si>
    <t>ჭანჭიკი 24*100</t>
  </si>
  <si>
    <t>__export__.product_template_47578_3e541194</t>
  </si>
  <si>
    <t>10037</t>
  </si>
  <si>
    <t>__export__.product_template_47579_1c5cc7b5</t>
  </si>
  <si>
    <t>9925</t>
  </si>
  <si>
    <t>ჭანჭიკი 24*150</t>
  </si>
  <si>
    <t>__export__.product_template_47580_307ba5f9</t>
  </si>
  <si>
    <t>10035</t>
  </si>
  <si>
    <t>ჭანჭიკი 24*90</t>
  </si>
  <si>
    <t>__export__.product_template_47581_b1eccd2f</t>
  </si>
  <si>
    <t>10231</t>
  </si>
  <si>
    <t>ჭანჭიკი 27*120</t>
  </si>
  <si>
    <t>__export__.product_template_47582_c34c829e</t>
  </si>
  <si>
    <t>8674</t>
  </si>
  <si>
    <t>__export__.product_template_47583_615e6e9f</t>
  </si>
  <si>
    <t>7739</t>
  </si>
  <si>
    <t>__export__.product_template_47584_8e931027</t>
  </si>
  <si>
    <t>8559</t>
  </si>
  <si>
    <t>__export__.product_template_47585_810f746d</t>
  </si>
  <si>
    <t>9214</t>
  </si>
  <si>
    <t>__export__.product_template_47586_74f6d7ec</t>
  </si>
  <si>
    <t>10038</t>
  </si>
  <si>
    <t>__export__.product_template_47587_eae0518a</t>
  </si>
  <si>
    <t>9381</t>
  </si>
  <si>
    <t>ჭანჭიკი 32*150</t>
  </si>
  <si>
    <t>__export__.product_template_47588_bc21e444</t>
  </si>
  <si>
    <t>10039</t>
  </si>
  <si>
    <t>__export__.product_template_47589_eff3e5fd</t>
  </si>
  <si>
    <t>8675</t>
  </si>
  <si>
    <t>__export__.product_template_47590_0fdec7db</t>
  </si>
  <si>
    <t>10025</t>
  </si>
  <si>
    <t>__export__.product_template_47591_2734cdf7</t>
  </si>
  <si>
    <t>8693</t>
  </si>
  <si>
    <t>ჭანჭიკი 4.8*70</t>
  </si>
  <si>
    <t>__export__.product_template_47592_9a4e581b</t>
  </si>
  <si>
    <t>10462</t>
  </si>
  <si>
    <t>__export__.product_template_47593_b0f8a04e</t>
  </si>
  <si>
    <t>5848</t>
  </si>
  <si>
    <t>ჭანჭიკი 6 (კგ)</t>
  </si>
  <si>
    <t>__export__.product_template_47594_8bcae301</t>
  </si>
  <si>
    <t>8176</t>
  </si>
  <si>
    <t>__export__.product_template_47595_8242e7c6</t>
  </si>
  <si>
    <t>8177</t>
  </si>
  <si>
    <t>__export__.product_template_47596_cebf4ee3</t>
  </si>
  <si>
    <t>7705</t>
  </si>
  <si>
    <t>__export__.product_template_47597_c07ff099</t>
  </si>
  <si>
    <t>8180</t>
  </si>
  <si>
    <t>ჭანჭიკი 8*120</t>
  </si>
  <si>
    <t>__export__.product_template_47598_88f7210c</t>
  </si>
  <si>
    <t>8178</t>
  </si>
  <si>
    <t>__export__.product_template_47599_dc33b9d4</t>
  </si>
  <si>
    <t>8179</t>
  </si>
  <si>
    <t>__export__.product_template_47600_4dd02dfc</t>
  </si>
  <si>
    <t>7922</t>
  </si>
  <si>
    <t>__export__.product_template_47601_9acc4554</t>
  </si>
  <si>
    <t>8629</t>
  </si>
  <si>
    <t>__export__.product_template_47602_4dcee4f9</t>
  </si>
  <si>
    <t>11003</t>
  </si>
  <si>
    <t>ჭიქა ერთჯერადი</t>
  </si>
  <si>
    <t>__export__.product_template_63306_9cfc8096</t>
  </si>
  <si>
    <t>11043</t>
  </si>
  <si>
    <t>ჭურჭლის სახეხი ზამბარა</t>
  </si>
  <si>
    <t>__export__.product_template_63346_75258497</t>
  </si>
  <si>
    <t>11044</t>
  </si>
  <si>
    <t>ჭურჭლის სახეხი ღრუბელი</t>
  </si>
  <si>
    <t>__export__.product_template_63347_c53ab427</t>
  </si>
  <si>
    <t>11045</t>
  </si>
  <si>
    <t>ჭურჭლის სითხე ფეირი</t>
  </si>
  <si>
    <t>__export__.product_template_63348_5352a82b</t>
  </si>
  <si>
    <t>3870</t>
  </si>
  <si>
    <t>ხალათი სამედიცინო</t>
  </si>
  <si>
    <t>__export__.product_template_47603_ffde2b2d</t>
  </si>
  <si>
    <t>10297</t>
  </si>
  <si>
    <t>ხალათი უნიფორმა</t>
  </si>
  <si>
    <t>__export__.product_template_47604_fa17e9ee</t>
  </si>
  <si>
    <t>6205</t>
  </si>
  <si>
    <t>2/5 ხამუთი</t>
  </si>
  <si>
    <t>__export__.product_category_4669_3ff86d9b</t>
  </si>
  <si>
    <t>__export__.product_template_47606_7d4b41b4</t>
  </si>
  <si>
    <t>8687</t>
  </si>
  <si>
    <t>__export__.product_template_47605_142a5ab0</t>
  </si>
  <si>
    <t>8688</t>
  </si>
  <si>
    <t>ხამუთი D160-180 უჟ. ლითონის სამეურნეო</t>
  </si>
  <si>
    <t>__export__.product_template_47607_38131464</t>
  </si>
  <si>
    <t>9149</t>
  </si>
  <si>
    <t>__export__.product_template_47608_b9c2d27a</t>
  </si>
  <si>
    <t>9150</t>
  </si>
  <si>
    <t>ხამუთი D259 უჟ. ლითონის სამეურნეო</t>
  </si>
  <si>
    <t>__export__.product_template_47609_01fbee3a</t>
  </si>
  <si>
    <t>10042</t>
  </si>
  <si>
    <t>2/5 ხამუთი 1640</t>
  </si>
  <si>
    <t>__export__.product_category_4756_d46251ed</t>
  </si>
  <si>
    <t>__export__.product_template_47610_94f48c85</t>
  </si>
  <si>
    <t>9151</t>
  </si>
  <si>
    <t>ხამუთი D365 უჟ. ლითონის სამეურნეო</t>
  </si>
  <si>
    <t>__export__.product_template_47611_a7df199a</t>
  </si>
  <si>
    <t>9942</t>
  </si>
  <si>
    <t>ხამუთი DN500 მილისთვის ნამზ.</t>
  </si>
  <si>
    <t>__export__.product_template_47612_86d68112</t>
  </si>
  <si>
    <t>9273</t>
  </si>
  <si>
    <t>__export__.product_template_47613_83a20286</t>
  </si>
  <si>
    <t>4466</t>
  </si>
  <si>
    <t>__export__.product_template_47614_cf531232</t>
  </si>
  <si>
    <t>8555</t>
  </si>
  <si>
    <t>__export__.product_template_47615_f50fd775</t>
  </si>
  <si>
    <t>9154</t>
  </si>
  <si>
    <t>__export__.product_template_47616_979786fb</t>
  </si>
  <si>
    <t>8556</t>
  </si>
  <si>
    <t>__export__.product_template_47617_f20c723c</t>
  </si>
  <si>
    <t>9155</t>
  </si>
  <si>
    <t>__export__.product_template_47618_d6c65a97</t>
  </si>
  <si>
    <t>9156</t>
  </si>
  <si>
    <t>__export__.product_template_47619_c9749656</t>
  </si>
  <si>
    <t>8557</t>
  </si>
  <si>
    <t>__export__.product_template_47620_5f887543</t>
  </si>
  <si>
    <t>9157</t>
  </si>
  <si>
    <t>__export__.product_template_47621_10dcca12</t>
  </si>
  <si>
    <t>9158</t>
  </si>
  <si>
    <t>__export__.product_template_47622_c7665060</t>
  </si>
  <si>
    <t>10209</t>
  </si>
  <si>
    <t>ხამუთი პლასტმასის 2.5*100მმ</t>
  </si>
  <si>
    <t>__export__.product_template_47623_fecf5317</t>
  </si>
  <si>
    <t>8484</t>
  </si>
  <si>
    <t>__export__.product_template_47624_5d57ed98</t>
  </si>
  <si>
    <t>10208</t>
  </si>
  <si>
    <t>ხამუთი პლასტმასის 7.6*550მმ</t>
  </si>
  <si>
    <t>__export__.product_template_47625_54dcaba6</t>
  </si>
  <si>
    <t>3439</t>
  </si>
  <si>
    <t>__export__.product_template_47626_e2d9b1e1</t>
  </si>
  <si>
    <t>3616</t>
  </si>
  <si>
    <t>__export__.product_template_47627_58c94f77</t>
  </si>
  <si>
    <t>9274</t>
  </si>
  <si>
    <t>__export__.product_template_47628_1ba2e252</t>
  </si>
  <si>
    <t>4513</t>
  </si>
  <si>
    <t>2/12/2 ხელთათმანი</t>
  </si>
  <si>
    <t>__export__.product_category_4670_54835698</t>
  </si>
  <si>
    <t>__export__.product_template_47629_c89041d4</t>
  </si>
  <si>
    <t>3079</t>
  </si>
  <si>
    <t>__export__.product_template_47630_f6cb0895</t>
  </si>
  <si>
    <t>3201</t>
  </si>
  <si>
    <t>__export__.product_template_47631_a1d409f5</t>
  </si>
  <si>
    <t>3054</t>
  </si>
  <si>
    <t>__export__.product_template_47632_93fb9bff</t>
  </si>
  <si>
    <t>4510</t>
  </si>
  <si>
    <t>__export__.product_template_47633_2e43ab1a</t>
  </si>
  <si>
    <t>3202</t>
  </si>
  <si>
    <t>__export__.product_template_47634_0b747bc9</t>
  </si>
  <si>
    <t>3716</t>
  </si>
  <si>
    <t>__export__.product_template_47635_d29c15f8</t>
  </si>
  <si>
    <t>10165</t>
  </si>
  <si>
    <t>ხელსაბანის გოფრირებულული მილი</t>
  </si>
  <si>
    <t>__export__.product_template_47636_5116067a</t>
  </si>
  <si>
    <t>5738</t>
  </si>
  <si>
    <t>ხელსაწყოების ქეისი</t>
  </si>
  <si>
    <t>__export__.product_template_47637_5407b58c</t>
  </si>
  <si>
    <t>4539</t>
  </si>
  <si>
    <t>__export__.product_template_47638_2217195a</t>
  </si>
  <si>
    <t>3124</t>
  </si>
  <si>
    <t>__export__.product_template_47639_96c58eb7</t>
  </si>
  <si>
    <t>3130</t>
  </si>
  <si>
    <t>__export__.product_template_47640_9ba89b44</t>
  </si>
  <si>
    <t>3827</t>
  </si>
  <si>
    <t>__export__.product_template_47641_c953ea6d</t>
  </si>
  <si>
    <t>3892</t>
  </si>
  <si>
    <t>__export__.product_template_47642_9d5d2df0</t>
  </si>
  <si>
    <t>5952</t>
  </si>
  <si>
    <t>2/5 ხის მასალა</t>
  </si>
  <si>
    <t>__export__.product_category_4671_b9e43e14</t>
  </si>
  <si>
    <t>__export__.product_template_47643_13482525</t>
  </si>
  <si>
    <t>9874</t>
  </si>
  <si>
    <t>__export__.product_template_47644_945e1614</t>
  </si>
  <si>
    <t>10250</t>
  </si>
  <si>
    <t>ხის დახერხილი მასალა კოჭი 6000*200*100</t>
  </si>
  <si>
    <t>__export__.product_template_17233_fc8f093d</t>
  </si>
  <si>
    <t>3449</t>
  </si>
  <si>
    <t>__export__.product_template_47470_634e66ff</t>
  </si>
  <si>
    <t>5857</t>
  </si>
  <si>
    <t>__export__.product_template_47645_e591a874</t>
  </si>
  <si>
    <t>5726</t>
  </si>
  <si>
    <t>2/5 ხრახნი ღერო</t>
  </si>
  <si>
    <t>__export__.product_category_4672_fd398ddb</t>
  </si>
  <si>
    <t>__export__.product_template_47646_d707a852</t>
  </si>
  <si>
    <t>7556</t>
  </si>
  <si>
    <t>__export__.product_template_47647_73dd5387</t>
  </si>
  <si>
    <t>5838</t>
  </si>
  <si>
    <t>__export__.product_template_47648_6fa7f173</t>
  </si>
  <si>
    <t>5842</t>
  </si>
  <si>
    <t>__export__.product_template_47649_46e13ce2</t>
  </si>
  <si>
    <t>6615</t>
  </si>
  <si>
    <t>__export__.product_template_47650_40d1bf08</t>
  </si>
  <si>
    <t>5260</t>
  </si>
  <si>
    <t>__export__.product_template_47651_17b822fd</t>
  </si>
  <si>
    <t>6404</t>
  </si>
  <si>
    <t>__export__.product_template_47652_b4524caa</t>
  </si>
  <si>
    <t>8083</t>
  </si>
  <si>
    <t>ხრახნი ღერო თავაკების გარეშე 27*2000</t>
  </si>
  <si>
    <t>__export__.product_template_47653_bf54e6d7</t>
  </si>
  <si>
    <t>5843</t>
  </si>
  <si>
    <t>__export__.product_template_47654_6292f126</t>
  </si>
  <si>
    <t>6646</t>
  </si>
  <si>
    <t>__export__.product_template_47655_eb6e42a6</t>
  </si>
  <si>
    <t>8686</t>
  </si>
  <si>
    <t>__export__.product_template_47656_797c71b4</t>
  </si>
  <si>
    <t>5019</t>
  </si>
  <si>
    <t>ხრახნის მოსაჭრელი ინსტრუმენტი</t>
  </si>
  <si>
    <t>__export__.product_template_47657_d0548f12</t>
  </si>
  <si>
    <t>10267</t>
  </si>
  <si>
    <t>ხრახნმჭრელი გარე 1/2</t>
  </si>
  <si>
    <t>__export__.product_template_47659_9965d5bc</t>
  </si>
  <si>
    <t>7934</t>
  </si>
  <si>
    <t>__export__.product_template_47658_3398c88f</t>
  </si>
  <si>
    <t>9185</t>
  </si>
  <si>
    <t>ხრახნმჭრელი გარე G 1/2</t>
  </si>
  <si>
    <t>__export__.product_template_47661_e36ee0b7</t>
  </si>
  <si>
    <t>6682</t>
  </si>
  <si>
    <t>__export__.product_template_47660_b61d2013</t>
  </si>
  <si>
    <t>6683</t>
  </si>
  <si>
    <t>__export__.product_template_47663_8936c192</t>
  </si>
  <si>
    <t>7936</t>
  </si>
  <si>
    <t>__export__.product_template_47664_4449fa61</t>
  </si>
  <si>
    <t>5021</t>
  </si>
  <si>
    <t>__export__.product_template_47662_dcaca69f</t>
  </si>
  <si>
    <t>9124</t>
  </si>
  <si>
    <t>ხრახნმჭრელი გარე M 10</t>
  </si>
  <si>
    <t>__export__.product_template_47665_5936d8ab</t>
  </si>
  <si>
    <t>9992</t>
  </si>
  <si>
    <t>ხრახნმჭრელი გარე M 10*1</t>
  </si>
  <si>
    <t>__export__.product_template_47666_09363f53</t>
  </si>
  <si>
    <t>9990</t>
  </si>
  <si>
    <t>ხრახნმჭრელი გარე M 10*1.25</t>
  </si>
  <si>
    <t>__export__.product_template_47667_2fe84070</t>
  </si>
  <si>
    <t>9988</t>
  </si>
  <si>
    <t>ხრახნმჭრელი გარე M 11</t>
  </si>
  <si>
    <t>__export__.product_template_47668_4cd610de</t>
  </si>
  <si>
    <t>9125</t>
  </si>
  <si>
    <t>__export__.product_template_47669_4d9daaea</t>
  </si>
  <si>
    <t>9994</t>
  </si>
  <si>
    <t>ხრახნმჭრელი გარე M 12*1</t>
  </si>
  <si>
    <t>__export__.product_template_47670_fcdfca10</t>
  </si>
  <si>
    <t>9991</t>
  </si>
  <si>
    <t>ხრახნმჭრელი გარე M 12*1.25</t>
  </si>
  <si>
    <t>__export__.product_template_47671_13171580</t>
  </si>
  <si>
    <t>9993</t>
  </si>
  <si>
    <t>ხრახნმჭრელი გარე M 12*1.5</t>
  </si>
  <si>
    <t>__export__.product_template_47672_7d46791c</t>
  </si>
  <si>
    <t>9989</t>
  </si>
  <si>
    <t>ხრახნმჭრელი გარე M 13</t>
  </si>
  <si>
    <t>__export__.product_template_47673_d8f25a5c</t>
  </si>
  <si>
    <t>9126</t>
  </si>
  <si>
    <t>ხრახნმჭრელი გარე M 14</t>
  </si>
  <si>
    <t>__export__.product_template_47674_0d987dbf</t>
  </si>
  <si>
    <t>9127</t>
  </si>
  <si>
    <t>ხრახნმჭრელი გარე M 16</t>
  </si>
  <si>
    <t>__export__.product_template_47675_283c4b61</t>
  </si>
  <si>
    <t>9128</t>
  </si>
  <si>
    <t>ხრახნმჭრელი გარე M 18</t>
  </si>
  <si>
    <t>__export__.product_template_47676_28a1528a</t>
  </si>
  <si>
    <t>9129</t>
  </si>
  <si>
    <t>ხრახნმჭრელი გარე M 20</t>
  </si>
  <si>
    <t>__export__.product_template_47677_55e57fce</t>
  </si>
  <si>
    <t>9130</t>
  </si>
  <si>
    <t>ხრახნმჭრელი გარე M 22</t>
  </si>
  <si>
    <t>__export__.product_template_47678_66a71ff5</t>
  </si>
  <si>
    <t>9131</t>
  </si>
  <si>
    <t>ხრახნმჭრელი გარე M 24</t>
  </si>
  <si>
    <t>__export__.product_template_47679_5e7a9d15</t>
  </si>
  <si>
    <t>5020</t>
  </si>
  <si>
    <t>__export__.product_template_47680_4d7caae5</t>
  </si>
  <si>
    <t>9187</t>
  </si>
  <si>
    <t>ხრახნმჭრელი გარე M 33</t>
  </si>
  <si>
    <t>__export__.product_template_47681_4b1aebd0</t>
  </si>
  <si>
    <t>6675</t>
  </si>
  <si>
    <t>ხრახნმჭრელი გარე M 4</t>
  </si>
  <si>
    <t>__export__.product_template_47682_cb2b5f3e</t>
  </si>
  <si>
    <t>6717</t>
  </si>
  <si>
    <t>ხრახნმჭრელი გარე M 5</t>
  </si>
  <si>
    <t>__export__.product_template_47683_401059cd</t>
  </si>
  <si>
    <t>9122</t>
  </si>
  <si>
    <t>ხრახნმჭრელი გარე M 6</t>
  </si>
  <si>
    <t>__export__.product_template_33567_dae80791</t>
  </si>
  <si>
    <t>9986</t>
  </si>
  <si>
    <t>ხრახნმჭრელი გარე M 7</t>
  </si>
  <si>
    <t>__export__.product_template_33568_3dc96edb</t>
  </si>
  <si>
    <t>9123</t>
  </si>
  <si>
    <t>ხრახნმჭრელი გარე M 8</t>
  </si>
  <si>
    <t>__export__.product_template_33569_f0e9152a</t>
  </si>
  <si>
    <t>9987</t>
  </si>
  <si>
    <t>ხრახნმჭრელი გარე M 9</t>
  </si>
  <si>
    <t>__export__.product_template_33570_9b9b966b</t>
  </si>
  <si>
    <t>10262</t>
  </si>
  <si>
    <t>ხრახნმჭრელი გარე M33*1.5</t>
  </si>
  <si>
    <t>__export__.product_template_33571_85638eac</t>
  </si>
  <si>
    <t>10269</t>
  </si>
  <si>
    <t>ხრახნმჭრელი გარე კონუსური 1/2</t>
  </si>
  <si>
    <t>__export__.product_template_33572_b71595d3</t>
  </si>
  <si>
    <t>10268</t>
  </si>
  <si>
    <t>ხრახნმჭრელი გარე კონუსური 3/4</t>
  </si>
  <si>
    <t>__export__.product_template_33573_b03c7c48</t>
  </si>
  <si>
    <t>10011</t>
  </si>
  <si>
    <t>ხრახნმჭრელი საჭრისი გარე 16/20 T5K10</t>
  </si>
  <si>
    <t>__export__.product_template_33574_54a990e9</t>
  </si>
  <si>
    <t>10584</t>
  </si>
  <si>
    <t>ხრახნმჭრელი საჭრისის შიდა 16/16 BK8</t>
  </si>
  <si>
    <t>__export__.product_template_47684_e684196d</t>
  </si>
  <si>
    <t>9359</t>
  </si>
  <si>
    <t>ხრახნმჭრელი საჭრისის შიდა 16/20 BK8</t>
  </si>
  <si>
    <t>__export__.product_template_33575_68aed9b0</t>
  </si>
  <si>
    <t>9235</t>
  </si>
  <si>
    <t>ხრახნმჭრელი საჭრისის შიდა 20/20 BK8</t>
  </si>
  <si>
    <t>__export__.product_template_33576_309e2a08</t>
  </si>
  <si>
    <t>9188</t>
  </si>
  <si>
    <t>ხრახნმჭრელი შიდა G 1/2</t>
  </si>
  <si>
    <t>__export__.product_template_33578_44d2b075</t>
  </si>
  <si>
    <t>6713</t>
  </si>
  <si>
    <t>__export__.product_template_33577_6f8c64ee</t>
  </si>
  <si>
    <t>9189</t>
  </si>
  <si>
    <t>ხრახნმჭრელი შიდა G 3/4</t>
  </si>
  <si>
    <t>__export__.product_template_33580_ec4dfe61</t>
  </si>
  <si>
    <t>6714</t>
  </si>
  <si>
    <t>__export__.product_template_33579_b9aa2c00</t>
  </si>
  <si>
    <t>9114</t>
  </si>
  <si>
    <t>ხრახნმჭრელი შიდა M 10</t>
  </si>
  <si>
    <t>__export__.product_template_33581_b6ad8527</t>
  </si>
  <si>
    <t>10001</t>
  </si>
  <si>
    <t>ხრახნმჭრელი შიდა M 10*1</t>
  </si>
  <si>
    <t>__export__.product_template_33582_ace65ef9</t>
  </si>
  <si>
    <t>9999</t>
  </si>
  <si>
    <t>ხრახნმჭრელი შიდა M 10*1.25</t>
  </si>
  <si>
    <t>__export__.product_template_33583_888078f6</t>
  </si>
  <si>
    <t>9363</t>
  </si>
  <si>
    <t>ხრახნმჭრელი შიდა M 10*1.5</t>
  </si>
  <si>
    <t>__export__.product_template_33584_215fcac5</t>
  </si>
  <si>
    <t>9997</t>
  </si>
  <si>
    <t>ხრახნმჭრელი შიდა M 11</t>
  </si>
  <si>
    <t>__export__.product_template_33585_d94cd5a0</t>
  </si>
  <si>
    <t>9115</t>
  </si>
  <si>
    <t>__export__.product_template_33586_e40e00f4</t>
  </si>
  <si>
    <t>10002</t>
  </si>
  <si>
    <t>ხრახნმჭრელი შიდა M 12*1</t>
  </si>
  <si>
    <t>__export__.product_template_33587_452aecc2</t>
  </si>
  <si>
    <t>10000</t>
  </si>
  <si>
    <t>ხრახნმჭრელი შიდა M 12*1.25</t>
  </si>
  <si>
    <t>__export__.product_template_33588_cfb65ec2</t>
  </si>
  <si>
    <t>9362</t>
  </si>
  <si>
    <t>ხრახნმჭრელი შიდა M 12*1.5</t>
  </si>
  <si>
    <t>__export__.product_template_33589_4d2d727d</t>
  </si>
  <si>
    <t>9998</t>
  </si>
  <si>
    <t>ხრახნმჭრელი შიდა M 13</t>
  </si>
  <si>
    <t>__export__.product_template_33590_7eeaa562</t>
  </si>
  <si>
    <t>9116</t>
  </si>
  <si>
    <t>ხრახნმჭრელი შიდა M 14</t>
  </si>
  <si>
    <t>__export__.product_template_33591_8387fcfe</t>
  </si>
  <si>
    <t>9117</t>
  </si>
  <si>
    <t>ხრახნმჭრელი შიდა M 16</t>
  </si>
  <si>
    <t>__export__.product_template_33592_62f1718e</t>
  </si>
  <si>
    <t>9118</t>
  </si>
  <si>
    <t>ხრახნმჭრელი შიდა M 18</t>
  </si>
  <si>
    <t>__export__.product_template_33593_4e020235</t>
  </si>
  <si>
    <t>9119</t>
  </si>
  <si>
    <t>ხრახნმჭრელი შიდა M 20</t>
  </si>
  <si>
    <t>__export__.product_template_33594_f4d61f30</t>
  </si>
  <si>
    <t>9120</t>
  </si>
  <si>
    <t>ხრახნმჭრელი შიდა M 22</t>
  </si>
  <si>
    <t>__export__.product_template_33595_12f6fa47</t>
  </si>
  <si>
    <t>9121</t>
  </si>
  <si>
    <t>ხრახნმჭრელი შიდა M 24</t>
  </si>
  <si>
    <t>__export__.product_template_33596_65004e22</t>
  </si>
  <si>
    <t>9190</t>
  </si>
  <si>
    <t>ხრახნმჭრელი შიდა M 33*1.5</t>
  </si>
  <si>
    <t>__export__.product_template_33598_daeb1d7a</t>
  </si>
  <si>
    <t>6709</t>
  </si>
  <si>
    <t>__export__.product_template_33597_432aa1e1</t>
  </si>
  <si>
    <t>6668</t>
  </si>
  <si>
    <t>ხრახნმჭრელი შიდა M 4</t>
  </si>
  <si>
    <t>__export__.product_template_33599_e6cd686c</t>
  </si>
  <si>
    <t>6669</t>
  </si>
  <si>
    <t>ხრახნმჭრელი შიდა M 5</t>
  </si>
  <si>
    <t>__export__.product_template_33600_38f709d5</t>
  </si>
  <si>
    <t>9112</t>
  </si>
  <si>
    <t>ხრახნმჭრელი შიდა M 6</t>
  </si>
  <si>
    <t>__export__.product_template_33601_5178f740</t>
  </si>
  <si>
    <t>9995</t>
  </si>
  <si>
    <t>ხრახნმჭრელი შიდა M 7</t>
  </si>
  <si>
    <t>__export__.product_template_33602_0b7b13f7</t>
  </si>
  <si>
    <t>9113</t>
  </si>
  <si>
    <t>ხრახნმჭრელი შიდა M 8</t>
  </si>
  <si>
    <t>__export__.product_template_33603_436abeed</t>
  </si>
  <si>
    <t>9996</t>
  </si>
  <si>
    <t>ხრახნმჭრელი შიდა M 9</t>
  </si>
  <si>
    <t>__export__.product_template_33604_e49b2a96</t>
  </si>
  <si>
    <t>10271</t>
  </si>
  <si>
    <t>ხრახნმჭრელი შიდა კონუსური 1/2</t>
  </si>
  <si>
    <t>__export__.product_template_33605_b96a4f86</t>
  </si>
  <si>
    <t>10270</t>
  </si>
  <si>
    <t>ხრახნმჭრელი შიდა კონუსური 3/4</t>
  </si>
  <si>
    <t>__export__.product_template_33606_1bbd1217</t>
  </si>
  <si>
    <t>8677</t>
  </si>
  <si>
    <t>__export__.product_template_33607_3b00a034</t>
  </si>
  <si>
    <t>8681</t>
  </si>
  <si>
    <t>__export__.product_template_33608_683b8de4</t>
  </si>
  <si>
    <t>3161</t>
  </si>
  <si>
    <t>__export__.product_template_33609_29be8c6a</t>
  </si>
  <si>
    <t>7473</t>
  </si>
  <si>
    <t>__export__.product_template_33610_086c8ba6</t>
  </si>
  <si>
    <t>4419</t>
  </si>
  <si>
    <t>__export__.product_template_33611_937a7b04</t>
  </si>
  <si>
    <t>7944</t>
  </si>
  <si>
    <t>ჯამი სამღებრო</t>
  </si>
  <si>
    <t>__export__.product_template_33612_bd8ec8bc</t>
  </si>
  <si>
    <t>3088</t>
  </si>
  <si>
    <t>__export__.product_template_33613_f067759a</t>
  </si>
  <si>
    <t>10767</t>
  </si>
  <si>
    <t>ჯეკი RJ45</t>
  </si>
  <si>
    <t>__export__.product_template_62811_84e2631f</t>
  </si>
  <si>
    <t>10768</t>
  </si>
  <si>
    <t>ჯეკის დამსმელი</t>
  </si>
  <si>
    <t>__export__.product_template_62812_61a2d3f6</t>
  </si>
  <si>
    <t>10512</t>
  </si>
  <si>
    <t>ჯიხური მეტალოპლასტმასის</t>
  </si>
  <si>
    <t>__export__.product_template_47685_94187fec</t>
  </si>
  <si>
    <t>10298</t>
  </si>
  <si>
    <t>ჯიხური პლასტიკის თბოიზოლირებული</t>
  </si>
  <si>
    <t>__export__.product_template_33614_de90aea5</t>
  </si>
  <si>
    <t>11046</t>
  </si>
  <si>
    <t xml:space="preserve">ჰაერის გამწმენდი პულივიზატორიანი აეროზოლი </t>
  </si>
  <si>
    <t>__export__.product_template_63349_03cb3f90</t>
  </si>
  <si>
    <t>8955</t>
  </si>
  <si>
    <t>__export__.product_template_33615_5c04861a</t>
  </si>
  <si>
    <t>9420</t>
  </si>
  <si>
    <t>3/1 ჰაერის კომპრესორი</t>
  </si>
  <si>
    <t>__export__.product_category_4673_acf65598</t>
  </si>
  <si>
    <t>__export__.product_template_33616_3c165f65</t>
  </si>
  <si>
    <t>10320</t>
  </si>
  <si>
    <t>ჰაერის კომპრესორი მ/წნ. 15-20Bar</t>
  </si>
  <si>
    <t>__export__.product_template_33617_6c780ec3</t>
  </si>
  <si>
    <t>4402</t>
  </si>
  <si>
    <t>__export__.product_template_33618_b43f7c11</t>
  </si>
  <si>
    <t>10018</t>
  </si>
  <si>
    <t>2/12/6 აირები</t>
  </si>
  <si>
    <t>__export__.product_category_4675_bfe5b52d</t>
  </si>
  <si>
    <t>__export__.product_template_33619_528084f4</t>
  </si>
  <si>
    <t>6361</t>
  </si>
  <si>
    <t>__export__.product_template_33620_7e5379b2</t>
  </si>
  <si>
    <t>10504</t>
  </si>
  <si>
    <t>ჰიგიენური</t>
  </si>
  <si>
    <t>__export__.product_template_47686_51fa1904</t>
  </si>
  <si>
    <t>10665</t>
  </si>
  <si>
    <t>ჰიდრავლიკური ნასოსის ღერძი ნამზ.</t>
  </si>
  <si>
    <t>__export__.product_template_63134_40fe4fb7</t>
  </si>
  <si>
    <t>10522</t>
  </si>
  <si>
    <t>ჰიდრავლიკური პრესი 30ტ მანომეტრით</t>
  </si>
  <si>
    <t>__export__.product_template_47687_e019981c</t>
  </si>
  <si>
    <t>3599</t>
  </si>
  <si>
    <t>__export__.product_template_33621_7eb6e836</t>
  </si>
  <si>
    <t>10573</t>
  </si>
  <si>
    <t>ჰიდრავლიკური სითხე უნივერსალური</t>
  </si>
  <si>
    <t>__export__.product_template_47688_45c10873</t>
  </si>
  <si>
    <t>10482</t>
  </si>
  <si>
    <t>ჰიპერკონვერგენტული ინფრასტრუქტურის სპეციალიზირებული მოწყობილობა</t>
  </si>
  <si>
    <t>__export__.product_template_47689_b7525298</t>
  </si>
  <si>
    <t>10882</t>
  </si>
  <si>
    <t>ჰოსტინგი: GGTC ვებგვერდი</t>
  </si>
  <si>
    <t>__export__.product_template_63185_9ddaabda</t>
  </si>
  <si>
    <t>standard_price</t>
  </si>
  <si>
    <t>odoo</t>
  </si>
  <si>
    <t>სხვაობა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</si>
</sst>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00_-;\-* #,##0.0000_-;_-* &quot;-&quot;??_-;_-@_-"/>
    <numFmt numFmtId="166" formatCode="_-* #,##0.00\ _₾_-;\-* #,##0.00\ _₾_-;_-* &quot;-&quot;??\ _₾_-;_-@_-"/>
    <numFmt numFmtId="169" formatCode="_(* #,##0.00_);_(* \(#,##0.00\);_(* &quot;-&quot;????_);_(@_)"/>
  </numFmts>
  <fonts count="6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 wrapText="1"/>
    </xf>
    <xf numFmtId="164" fontId="2" fillId="0" borderId="0" xfId="1" applyFont="1"/>
    <xf numFmtId="165" fontId="3" fillId="0" borderId="0" xfId="1" applyNumberFormat="1" applyFont="1"/>
    <xf numFmtId="165" fontId="3" fillId="2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Border="1"/>
    <xf numFmtId="0" fontId="2" fillId="0" borderId="1" xfId="0" applyFont="1" applyBorder="1" applyAlignment="1">
      <alignment horizontal="right" vertical="top"/>
    </xf>
    <xf numFmtId="166" fontId="2" fillId="0" borderId="0" xfId="0" applyNumberFormat="1" applyFont="1"/>
    <xf numFmtId="49" fontId="5" fillId="0" borderId="0" xfId="0" applyNumberFormat="1" applyFont="1"/>
    <xf numFmtId="0" fontId="5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49" fontId="3" fillId="2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/>
    <xf numFmtId="49" fontId="2" fillId="0" borderId="0" xfId="0" applyNumberFormat="1" applyFont="1"/>
    <xf numFmtId="0" fontId="5" fillId="0" borderId="0" xfId="2" applyFont="1"/>
    <xf numFmtId="169" fontId="2" fillId="0" borderId="0" xfId="0" applyNumberFormat="1" applyFont="1"/>
  </cellXfs>
  <cellStyles count="3">
    <cellStyle name="Comma" xfId="1" builtinId="3"/>
    <cellStyle name="Normal" xfId="0" builtinId="0"/>
    <cellStyle name="Normal 2" xfId="2" xr:uid="{9391DF68-959B-448C-8F76-A0FD12991F5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206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1053;&#1072;&#1080;&#1084;&#1077;&#1085;&#1086;&#1074;&#1072;&#1085;&#1080;&#1077;%20&#1074;%20&#1078;&#1091;&#1088;&#1085;&#1072;&#1083;&#1077;%20(account.move.line).xlsx" TargetMode="External"/><Relationship Id="rId1" Type="http://schemas.openxmlformats.org/officeDocument/2006/relationships/externalLinkPath" Target="file:///C:\Users\User\Downloads\&#1053;&#1072;&#1080;&#1084;&#1077;&#1085;&#1086;&#1074;&#1072;&#1085;&#1080;&#1077;%20&#1074;%20&#1078;&#1091;&#1088;&#1085;&#1072;&#1083;&#1077;%20(account.move.lin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G1" t="str">
            <v>კოდი</v>
          </cell>
          <cell r="O1" t="str">
            <v>კრედიტი</v>
          </cell>
        </row>
        <row r="2">
          <cell r="G2">
            <v>10663</v>
          </cell>
          <cell r="O2">
            <v>7013.28</v>
          </cell>
        </row>
        <row r="3">
          <cell r="G3">
            <v>10662</v>
          </cell>
          <cell r="O3">
            <v>2076.27</v>
          </cell>
        </row>
        <row r="4">
          <cell r="G4">
            <v>10661</v>
          </cell>
          <cell r="O4">
            <v>203.39</v>
          </cell>
        </row>
        <row r="5">
          <cell r="G5">
            <v>10583</v>
          </cell>
          <cell r="O5">
            <v>89371.64</v>
          </cell>
        </row>
        <row r="6">
          <cell r="G6">
            <v>10582</v>
          </cell>
          <cell r="O6">
            <v>27710.99</v>
          </cell>
        </row>
        <row r="7">
          <cell r="G7">
            <v>10581</v>
          </cell>
          <cell r="O7">
            <v>62198.12</v>
          </cell>
        </row>
        <row r="8">
          <cell r="G8">
            <v>10577</v>
          </cell>
          <cell r="O8">
            <v>355.93</v>
          </cell>
        </row>
        <row r="9">
          <cell r="G9">
            <v>10521</v>
          </cell>
          <cell r="O9">
            <v>330.51</v>
          </cell>
        </row>
        <row r="10">
          <cell r="G10">
            <v>10506</v>
          </cell>
          <cell r="O10">
            <v>220.34</v>
          </cell>
        </row>
        <row r="11">
          <cell r="G11">
            <v>10498</v>
          </cell>
          <cell r="O11">
            <v>28076.32</v>
          </cell>
        </row>
        <row r="12">
          <cell r="G12">
            <v>10493</v>
          </cell>
          <cell r="O12">
            <v>127.12</v>
          </cell>
        </row>
        <row r="13">
          <cell r="G13">
            <v>10492</v>
          </cell>
          <cell r="O13">
            <v>127.11</v>
          </cell>
        </row>
        <row r="14">
          <cell r="G14">
            <v>10490</v>
          </cell>
          <cell r="O14">
            <v>266.95</v>
          </cell>
        </row>
        <row r="15">
          <cell r="G15">
            <v>10488</v>
          </cell>
          <cell r="O15">
            <v>794.5</v>
          </cell>
        </row>
        <row r="16">
          <cell r="G16">
            <v>10476</v>
          </cell>
          <cell r="O16">
            <v>142.37</v>
          </cell>
        </row>
        <row r="17">
          <cell r="G17">
            <v>10475</v>
          </cell>
          <cell r="O17">
            <v>114.72</v>
          </cell>
        </row>
        <row r="18">
          <cell r="G18">
            <v>10474</v>
          </cell>
          <cell r="O18">
            <v>13816.95</v>
          </cell>
        </row>
        <row r="19">
          <cell r="G19">
            <v>10466</v>
          </cell>
          <cell r="O19">
            <v>148.30000000000001</v>
          </cell>
        </row>
        <row r="20">
          <cell r="G20">
            <v>10465</v>
          </cell>
          <cell r="O20">
            <v>84.76</v>
          </cell>
        </row>
        <row r="21">
          <cell r="G21">
            <v>10464</v>
          </cell>
          <cell r="O21">
            <v>4.24</v>
          </cell>
        </row>
        <row r="22">
          <cell r="G22">
            <v>10463</v>
          </cell>
          <cell r="O22">
            <v>4.24</v>
          </cell>
        </row>
        <row r="23">
          <cell r="G23">
            <v>10462</v>
          </cell>
          <cell r="O23">
            <v>16.95</v>
          </cell>
        </row>
        <row r="24">
          <cell r="G24">
            <v>10460</v>
          </cell>
          <cell r="O24">
            <v>27279</v>
          </cell>
        </row>
        <row r="25">
          <cell r="G25">
            <v>10459</v>
          </cell>
          <cell r="O25">
            <v>7680</v>
          </cell>
        </row>
        <row r="26">
          <cell r="G26">
            <v>10458</v>
          </cell>
          <cell r="O26">
            <v>14830.51</v>
          </cell>
        </row>
        <row r="27">
          <cell r="G27">
            <v>10450</v>
          </cell>
          <cell r="O27">
            <v>8114.78</v>
          </cell>
        </row>
        <row r="28">
          <cell r="G28">
            <v>10423</v>
          </cell>
          <cell r="O28">
            <v>452.39</v>
          </cell>
        </row>
        <row r="29">
          <cell r="G29">
            <v>10421</v>
          </cell>
          <cell r="O29">
            <v>14542.37</v>
          </cell>
        </row>
        <row r="30">
          <cell r="G30">
            <v>10419</v>
          </cell>
          <cell r="O30">
            <v>77.97</v>
          </cell>
        </row>
        <row r="31">
          <cell r="G31">
            <v>10405</v>
          </cell>
          <cell r="O31">
            <v>72.5</v>
          </cell>
        </row>
        <row r="32">
          <cell r="G32">
            <v>10403</v>
          </cell>
          <cell r="O32">
            <v>148.31</v>
          </cell>
        </row>
        <row r="33">
          <cell r="G33">
            <v>10402</v>
          </cell>
          <cell r="O33">
            <v>108.47</v>
          </cell>
        </row>
        <row r="34">
          <cell r="G34">
            <v>10394</v>
          </cell>
          <cell r="O34">
            <v>2117.38</v>
          </cell>
        </row>
        <row r="35">
          <cell r="G35">
            <v>10392</v>
          </cell>
          <cell r="O35">
            <v>957.63</v>
          </cell>
        </row>
        <row r="36">
          <cell r="G36">
            <v>10387</v>
          </cell>
          <cell r="O36">
            <v>4576.2700000000004</v>
          </cell>
        </row>
        <row r="37">
          <cell r="G37">
            <v>10386</v>
          </cell>
          <cell r="O37">
            <v>4237.29</v>
          </cell>
        </row>
        <row r="38">
          <cell r="G38">
            <v>10385</v>
          </cell>
          <cell r="O38">
            <v>2542.37</v>
          </cell>
        </row>
        <row r="39">
          <cell r="G39">
            <v>10384</v>
          </cell>
          <cell r="O39">
            <v>6779.66</v>
          </cell>
        </row>
        <row r="40">
          <cell r="G40">
            <v>10383</v>
          </cell>
          <cell r="O40">
            <v>4661.0200000000004</v>
          </cell>
        </row>
        <row r="41">
          <cell r="G41">
            <v>10382</v>
          </cell>
          <cell r="O41">
            <v>2711.86</v>
          </cell>
        </row>
        <row r="42">
          <cell r="G42">
            <v>10381</v>
          </cell>
          <cell r="O42">
            <v>5084.75</v>
          </cell>
        </row>
        <row r="43">
          <cell r="G43">
            <v>10379</v>
          </cell>
          <cell r="O43">
            <v>84.75</v>
          </cell>
        </row>
        <row r="44">
          <cell r="G44">
            <v>10378</v>
          </cell>
          <cell r="O44">
            <v>0</v>
          </cell>
        </row>
        <row r="45">
          <cell r="G45">
            <v>10363</v>
          </cell>
          <cell r="O45">
            <v>9749.01</v>
          </cell>
        </row>
        <row r="46">
          <cell r="G46">
            <v>10360</v>
          </cell>
          <cell r="O46">
            <v>2.54</v>
          </cell>
        </row>
        <row r="47">
          <cell r="G47">
            <v>10353</v>
          </cell>
          <cell r="O47">
            <v>7.8</v>
          </cell>
        </row>
        <row r="48">
          <cell r="G48">
            <v>10352</v>
          </cell>
          <cell r="O48">
            <v>14.4</v>
          </cell>
        </row>
        <row r="49">
          <cell r="G49">
            <v>10343</v>
          </cell>
          <cell r="O49">
            <v>80.510000000000005</v>
          </cell>
        </row>
        <row r="50">
          <cell r="G50">
            <v>10337</v>
          </cell>
          <cell r="O50">
            <v>5084.75</v>
          </cell>
        </row>
        <row r="51">
          <cell r="G51">
            <v>10336</v>
          </cell>
          <cell r="O51">
            <v>7627.12</v>
          </cell>
        </row>
        <row r="52">
          <cell r="G52">
            <v>10332</v>
          </cell>
          <cell r="O52">
            <v>3813.56</v>
          </cell>
        </row>
        <row r="53">
          <cell r="G53">
            <v>10326</v>
          </cell>
          <cell r="O53">
            <v>949.16</v>
          </cell>
        </row>
        <row r="54">
          <cell r="G54">
            <v>10322</v>
          </cell>
          <cell r="O54">
            <v>206.57</v>
          </cell>
        </row>
        <row r="55">
          <cell r="G55">
            <v>10321</v>
          </cell>
          <cell r="O55">
            <v>199.15</v>
          </cell>
        </row>
        <row r="56">
          <cell r="G56">
            <v>10319</v>
          </cell>
          <cell r="O56">
            <v>8211.4699999999993</v>
          </cell>
        </row>
        <row r="57">
          <cell r="G57">
            <v>10318</v>
          </cell>
          <cell r="O57">
            <v>206.17</v>
          </cell>
        </row>
        <row r="58">
          <cell r="G58">
            <v>10317</v>
          </cell>
          <cell r="O58">
            <v>4366.1000000000004</v>
          </cell>
        </row>
        <row r="59">
          <cell r="G59">
            <v>10307</v>
          </cell>
          <cell r="O59">
            <v>3538.98</v>
          </cell>
        </row>
        <row r="60">
          <cell r="G60">
            <v>10306</v>
          </cell>
          <cell r="O60">
            <v>528.80999999999995</v>
          </cell>
        </row>
        <row r="61">
          <cell r="G61">
            <v>10305</v>
          </cell>
          <cell r="O61">
            <v>7688.14</v>
          </cell>
        </row>
        <row r="62">
          <cell r="G62">
            <v>10304</v>
          </cell>
          <cell r="O62">
            <v>14440.68</v>
          </cell>
        </row>
        <row r="63">
          <cell r="G63">
            <v>10303</v>
          </cell>
          <cell r="O63">
            <v>677.97</v>
          </cell>
        </row>
        <row r="64">
          <cell r="G64">
            <v>10302</v>
          </cell>
          <cell r="O64">
            <v>27.27</v>
          </cell>
        </row>
        <row r="65">
          <cell r="G65">
            <v>10300</v>
          </cell>
          <cell r="O65">
            <v>44006.97</v>
          </cell>
        </row>
        <row r="66">
          <cell r="G66">
            <v>10296</v>
          </cell>
          <cell r="O66">
            <v>1186.45</v>
          </cell>
        </row>
        <row r="67">
          <cell r="G67">
            <v>10295</v>
          </cell>
          <cell r="O67">
            <v>1525.42</v>
          </cell>
        </row>
        <row r="68">
          <cell r="G68">
            <v>10294</v>
          </cell>
          <cell r="O68">
            <v>126.27</v>
          </cell>
        </row>
        <row r="69">
          <cell r="G69">
            <v>10292</v>
          </cell>
          <cell r="O69">
            <v>1694.92</v>
          </cell>
        </row>
        <row r="70">
          <cell r="G70">
            <v>10291</v>
          </cell>
          <cell r="O70">
            <v>430.51</v>
          </cell>
        </row>
        <row r="71">
          <cell r="G71">
            <v>10290</v>
          </cell>
          <cell r="O71">
            <v>1523.73</v>
          </cell>
        </row>
        <row r="72">
          <cell r="G72">
            <v>10289</v>
          </cell>
          <cell r="O72">
            <v>728.81</v>
          </cell>
        </row>
        <row r="73">
          <cell r="G73">
            <v>10288</v>
          </cell>
          <cell r="O73">
            <v>674.58</v>
          </cell>
        </row>
        <row r="74">
          <cell r="G74">
            <v>10287</v>
          </cell>
          <cell r="O74">
            <v>1819.79</v>
          </cell>
        </row>
        <row r="75">
          <cell r="G75">
            <v>10286</v>
          </cell>
          <cell r="O75">
            <v>452.54</v>
          </cell>
        </row>
        <row r="76">
          <cell r="G76">
            <v>10285</v>
          </cell>
          <cell r="O76">
            <v>1204.96</v>
          </cell>
        </row>
        <row r="77">
          <cell r="G77">
            <v>10276</v>
          </cell>
          <cell r="O77">
            <v>71567.77</v>
          </cell>
        </row>
        <row r="78">
          <cell r="G78">
            <v>10274</v>
          </cell>
          <cell r="O78">
            <v>5593.26</v>
          </cell>
        </row>
        <row r="79">
          <cell r="G79">
            <v>10242</v>
          </cell>
          <cell r="O79">
            <v>116949.16</v>
          </cell>
        </row>
        <row r="80">
          <cell r="G80">
            <v>10241</v>
          </cell>
          <cell r="O80">
            <v>512.32000000000005</v>
          </cell>
        </row>
        <row r="81">
          <cell r="G81">
            <v>10240</v>
          </cell>
          <cell r="O81">
            <v>585.76</v>
          </cell>
        </row>
        <row r="82">
          <cell r="G82">
            <v>10237</v>
          </cell>
          <cell r="O82">
            <v>0</v>
          </cell>
        </row>
        <row r="83">
          <cell r="G83">
            <v>10236</v>
          </cell>
          <cell r="O83">
            <v>1.02</v>
          </cell>
        </row>
        <row r="84">
          <cell r="G84">
            <v>10232</v>
          </cell>
          <cell r="O84">
            <v>135.59</v>
          </cell>
        </row>
        <row r="85">
          <cell r="G85">
            <v>10224</v>
          </cell>
          <cell r="O85">
            <v>11.86</v>
          </cell>
        </row>
        <row r="86">
          <cell r="G86">
            <v>10221</v>
          </cell>
          <cell r="O86">
            <v>5368.03</v>
          </cell>
        </row>
        <row r="87">
          <cell r="G87">
            <v>10213</v>
          </cell>
          <cell r="O87">
            <v>20.34</v>
          </cell>
        </row>
        <row r="88">
          <cell r="G88">
            <v>10207</v>
          </cell>
          <cell r="O88">
            <v>25.42</v>
          </cell>
        </row>
        <row r="89">
          <cell r="G89">
            <v>10203</v>
          </cell>
          <cell r="O89">
            <v>1059.32</v>
          </cell>
        </row>
        <row r="90">
          <cell r="G90">
            <v>10202</v>
          </cell>
          <cell r="O90">
            <v>570.32000000000005</v>
          </cell>
        </row>
        <row r="91">
          <cell r="G91">
            <v>10200</v>
          </cell>
          <cell r="O91">
            <v>1015.25</v>
          </cell>
        </row>
        <row r="92">
          <cell r="G92">
            <v>10197</v>
          </cell>
          <cell r="O92">
            <v>8474.57</v>
          </cell>
        </row>
        <row r="93">
          <cell r="G93">
            <v>10194</v>
          </cell>
          <cell r="O93">
            <v>16949.18</v>
          </cell>
        </row>
        <row r="94">
          <cell r="G94">
            <v>10191</v>
          </cell>
          <cell r="O94">
            <v>8135.59</v>
          </cell>
        </row>
        <row r="95">
          <cell r="G95">
            <v>10190</v>
          </cell>
          <cell r="O95">
            <v>17627.11</v>
          </cell>
        </row>
        <row r="96">
          <cell r="G96">
            <v>10189</v>
          </cell>
          <cell r="O96">
            <v>2033.9</v>
          </cell>
        </row>
        <row r="97">
          <cell r="G97">
            <v>10186</v>
          </cell>
          <cell r="O97">
            <v>932.2</v>
          </cell>
        </row>
        <row r="98">
          <cell r="G98">
            <v>10184</v>
          </cell>
          <cell r="O98">
            <v>1904180.92</v>
          </cell>
        </row>
        <row r="99">
          <cell r="G99">
            <v>10182</v>
          </cell>
          <cell r="O99">
            <v>433.9</v>
          </cell>
        </row>
        <row r="100">
          <cell r="G100">
            <v>10181</v>
          </cell>
          <cell r="O100">
            <v>189.83</v>
          </cell>
        </row>
        <row r="101">
          <cell r="G101">
            <v>10178</v>
          </cell>
          <cell r="O101">
            <v>2139.6799999999998</v>
          </cell>
        </row>
        <row r="102">
          <cell r="G102">
            <v>10167</v>
          </cell>
          <cell r="O102">
            <v>32.200000000000003</v>
          </cell>
        </row>
        <row r="103">
          <cell r="G103">
            <v>10166</v>
          </cell>
          <cell r="O103">
            <v>210.34</v>
          </cell>
        </row>
        <row r="104">
          <cell r="G104">
            <v>10164</v>
          </cell>
          <cell r="O104">
            <v>47.41</v>
          </cell>
        </row>
        <row r="105">
          <cell r="G105">
            <v>10160</v>
          </cell>
          <cell r="O105">
            <v>8372.8799999999992</v>
          </cell>
        </row>
        <row r="106">
          <cell r="G106">
            <v>10159</v>
          </cell>
          <cell r="O106">
            <v>7796.61</v>
          </cell>
        </row>
        <row r="107">
          <cell r="G107">
            <v>10158</v>
          </cell>
          <cell r="O107">
            <v>3127.12</v>
          </cell>
        </row>
        <row r="108">
          <cell r="G108">
            <v>10157</v>
          </cell>
          <cell r="O108">
            <v>2500</v>
          </cell>
        </row>
        <row r="109">
          <cell r="G109">
            <v>10150</v>
          </cell>
          <cell r="O109">
            <v>131.55000000000001</v>
          </cell>
        </row>
        <row r="110">
          <cell r="G110">
            <v>10149</v>
          </cell>
          <cell r="O110">
            <v>298.31</v>
          </cell>
        </row>
        <row r="111">
          <cell r="G111">
            <v>10147</v>
          </cell>
          <cell r="O111">
            <v>827.12</v>
          </cell>
        </row>
        <row r="112">
          <cell r="G112">
            <v>10146</v>
          </cell>
          <cell r="O112">
            <v>2466.1</v>
          </cell>
        </row>
        <row r="113">
          <cell r="G113">
            <v>10144</v>
          </cell>
          <cell r="O113">
            <v>5359.85</v>
          </cell>
        </row>
        <row r="114">
          <cell r="G114">
            <v>10143</v>
          </cell>
          <cell r="O114">
            <v>12129.16</v>
          </cell>
        </row>
        <row r="115">
          <cell r="G115">
            <v>10138</v>
          </cell>
          <cell r="O115">
            <v>23.73</v>
          </cell>
        </row>
        <row r="116">
          <cell r="G116">
            <v>10136</v>
          </cell>
          <cell r="O116">
            <v>2274.58</v>
          </cell>
        </row>
        <row r="117">
          <cell r="G117">
            <v>10135</v>
          </cell>
          <cell r="O117">
            <v>43.9</v>
          </cell>
        </row>
        <row r="118">
          <cell r="G118">
            <v>10133</v>
          </cell>
          <cell r="O118">
            <v>567.84</v>
          </cell>
        </row>
        <row r="119">
          <cell r="G119">
            <v>10132</v>
          </cell>
          <cell r="O119">
            <v>730.05</v>
          </cell>
        </row>
        <row r="120">
          <cell r="G120">
            <v>10130</v>
          </cell>
          <cell r="O120">
            <v>997.67</v>
          </cell>
        </row>
        <row r="121">
          <cell r="G121">
            <v>10121</v>
          </cell>
          <cell r="O121">
            <v>2457.63</v>
          </cell>
        </row>
        <row r="122">
          <cell r="G122">
            <v>10119</v>
          </cell>
          <cell r="O122">
            <v>2317.8000000000002</v>
          </cell>
        </row>
        <row r="123">
          <cell r="G123">
            <v>10116</v>
          </cell>
          <cell r="O123">
            <v>79.66</v>
          </cell>
        </row>
        <row r="124">
          <cell r="G124">
            <v>10115</v>
          </cell>
          <cell r="O124">
            <v>33.9</v>
          </cell>
        </row>
        <row r="125">
          <cell r="G125">
            <v>10114</v>
          </cell>
          <cell r="O125">
            <v>12.46</v>
          </cell>
        </row>
        <row r="126">
          <cell r="G126">
            <v>10113</v>
          </cell>
          <cell r="O126">
            <v>20.34</v>
          </cell>
        </row>
        <row r="127">
          <cell r="G127">
            <v>10109</v>
          </cell>
          <cell r="O127">
            <v>8.4700000000000006</v>
          </cell>
        </row>
        <row r="128">
          <cell r="G128">
            <v>10093</v>
          </cell>
          <cell r="O128">
            <v>523.73</v>
          </cell>
        </row>
        <row r="129">
          <cell r="G129">
            <v>10091</v>
          </cell>
          <cell r="O129">
            <v>767.42</v>
          </cell>
        </row>
        <row r="130">
          <cell r="G130">
            <v>10086</v>
          </cell>
          <cell r="O130">
            <v>3898.3</v>
          </cell>
        </row>
        <row r="131">
          <cell r="G131">
            <v>10085</v>
          </cell>
          <cell r="O131">
            <v>201.46</v>
          </cell>
        </row>
        <row r="132">
          <cell r="G132">
            <v>10072</v>
          </cell>
          <cell r="O132">
            <v>33.9</v>
          </cell>
        </row>
        <row r="133">
          <cell r="G133">
            <v>10063</v>
          </cell>
          <cell r="O133">
            <v>2915.25</v>
          </cell>
        </row>
        <row r="134">
          <cell r="G134">
            <v>10056</v>
          </cell>
          <cell r="O134">
            <v>1506.25</v>
          </cell>
        </row>
        <row r="135">
          <cell r="G135">
            <v>10054</v>
          </cell>
          <cell r="O135">
            <v>1476.25</v>
          </cell>
        </row>
        <row r="136">
          <cell r="G136">
            <v>10052</v>
          </cell>
          <cell r="O136">
            <v>988.22</v>
          </cell>
        </row>
        <row r="137">
          <cell r="G137">
            <v>10051</v>
          </cell>
          <cell r="O137">
            <v>81.349999999999994</v>
          </cell>
        </row>
        <row r="138">
          <cell r="G138">
            <v>10050</v>
          </cell>
          <cell r="O138">
            <v>19.07</v>
          </cell>
        </row>
        <row r="139">
          <cell r="G139">
            <v>10049</v>
          </cell>
          <cell r="O139">
            <v>13.56</v>
          </cell>
        </row>
        <row r="140">
          <cell r="G140">
            <v>10048</v>
          </cell>
          <cell r="O140">
            <v>76.27</v>
          </cell>
        </row>
        <row r="141">
          <cell r="G141">
            <v>10047</v>
          </cell>
          <cell r="O141">
            <v>58.47</v>
          </cell>
        </row>
        <row r="142">
          <cell r="G142">
            <v>10045</v>
          </cell>
          <cell r="O142">
            <v>3533.91</v>
          </cell>
        </row>
        <row r="143">
          <cell r="G143">
            <v>10044</v>
          </cell>
          <cell r="O143">
            <v>26.74</v>
          </cell>
        </row>
        <row r="144">
          <cell r="G144">
            <v>10042</v>
          </cell>
          <cell r="O144">
            <v>193.79</v>
          </cell>
        </row>
        <row r="145">
          <cell r="G145">
            <v>10039</v>
          </cell>
          <cell r="O145">
            <v>486.79</v>
          </cell>
        </row>
        <row r="146">
          <cell r="G146">
            <v>10038</v>
          </cell>
          <cell r="O146">
            <v>369.49</v>
          </cell>
        </row>
        <row r="147">
          <cell r="G147">
            <v>10037</v>
          </cell>
          <cell r="O147">
            <v>184.61</v>
          </cell>
        </row>
        <row r="148">
          <cell r="G148">
            <v>10033</v>
          </cell>
          <cell r="O148">
            <v>119.66</v>
          </cell>
        </row>
        <row r="149">
          <cell r="G149">
            <v>10032</v>
          </cell>
          <cell r="O149">
            <v>98.64</v>
          </cell>
        </row>
        <row r="150">
          <cell r="G150">
            <v>10030</v>
          </cell>
          <cell r="O150">
            <v>72.2</v>
          </cell>
        </row>
        <row r="151">
          <cell r="G151">
            <v>10029</v>
          </cell>
          <cell r="O151">
            <v>27.33</v>
          </cell>
        </row>
        <row r="152">
          <cell r="G152">
            <v>10027</v>
          </cell>
          <cell r="O152">
            <v>40.19</v>
          </cell>
        </row>
        <row r="153">
          <cell r="G153">
            <v>10025</v>
          </cell>
          <cell r="O153">
            <v>16.95</v>
          </cell>
        </row>
        <row r="154">
          <cell r="G154">
            <v>10024</v>
          </cell>
          <cell r="O154">
            <v>869.21</v>
          </cell>
        </row>
        <row r="155">
          <cell r="G155">
            <v>10023</v>
          </cell>
          <cell r="O155">
            <v>92.44</v>
          </cell>
        </row>
        <row r="156">
          <cell r="G156">
            <v>10022</v>
          </cell>
          <cell r="O156">
            <v>443.68</v>
          </cell>
        </row>
        <row r="157">
          <cell r="G157">
            <v>10021</v>
          </cell>
          <cell r="O157">
            <v>2257.4899999999998</v>
          </cell>
        </row>
        <row r="158">
          <cell r="G158">
            <v>10018</v>
          </cell>
          <cell r="O158">
            <v>40657.629999999997</v>
          </cell>
        </row>
        <row r="159">
          <cell r="G159">
            <v>10006</v>
          </cell>
          <cell r="O159">
            <v>3118.64</v>
          </cell>
        </row>
        <row r="160">
          <cell r="G160">
            <v>9981</v>
          </cell>
          <cell r="O160">
            <v>2287.19</v>
          </cell>
        </row>
        <row r="161">
          <cell r="G161">
            <v>9968</v>
          </cell>
          <cell r="O161">
            <v>3627.12</v>
          </cell>
        </row>
        <row r="162">
          <cell r="G162">
            <v>9967</v>
          </cell>
          <cell r="O162">
            <v>2491.5300000000002</v>
          </cell>
        </row>
        <row r="163">
          <cell r="G163">
            <v>9966</v>
          </cell>
          <cell r="O163">
            <v>368.64</v>
          </cell>
        </row>
        <row r="164">
          <cell r="G164">
            <v>9963</v>
          </cell>
          <cell r="O164">
            <v>791.53</v>
          </cell>
        </row>
        <row r="165">
          <cell r="G165">
            <v>9959</v>
          </cell>
          <cell r="O165">
            <v>3725.42</v>
          </cell>
        </row>
        <row r="166">
          <cell r="G166">
            <v>9953</v>
          </cell>
          <cell r="O166">
            <v>25.42</v>
          </cell>
        </row>
        <row r="167">
          <cell r="G167">
            <v>9947</v>
          </cell>
          <cell r="O167">
            <v>508.46</v>
          </cell>
        </row>
        <row r="168">
          <cell r="G168">
            <v>9946</v>
          </cell>
          <cell r="O168">
            <v>305.08</v>
          </cell>
        </row>
        <row r="169">
          <cell r="G169">
            <v>9944</v>
          </cell>
          <cell r="O169">
            <v>1379.66</v>
          </cell>
        </row>
        <row r="170">
          <cell r="G170">
            <v>9943</v>
          </cell>
          <cell r="O170">
            <v>141352.79</v>
          </cell>
        </row>
        <row r="171">
          <cell r="G171">
            <v>9940</v>
          </cell>
          <cell r="O171">
            <v>185.14</v>
          </cell>
        </row>
        <row r="172">
          <cell r="G172">
            <v>9938</v>
          </cell>
          <cell r="O172">
            <v>215.65</v>
          </cell>
        </row>
        <row r="173">
          <cell r="G173">
            <v>9933</v>
          </cell>
          <cell r="O173">
            <v>590.78</v>
          </cell>
        </row>
        <row r="174">
          <cell r="G174">
            <v>9932</v>
          </cell>
          <cell r="O174">
            <v>849.46</v>
          </cell>
        </row>
        <row r="175">
          <cell r="G175">
            <v>9927</v>
          </cell>
          <cell r="O175">
            <v>0</v>
          </cell>
        </row>
        <row r="176">
          <cell r="G176">
            <v>9924</v>
          </cell>
          <cell r="O176">
            <v>90.75</v>
          </cell>
        </row>
        <row r="177">
          <cell r="G177">
            <v>9921</v>
          </cell>
          <cell r="O177">
            <v>355.93</v>
          </cell>
        </row>
        <row r="178">
          <cell r="G178">
            <v>9920</v>
          </cell>
          <cell r="O178">
            <v>1916.1</v>
          </cell>
        </row>
        <row r="179">
          <cell r="G179">
            <v>9918</v>
          </cell>
          <cell r="O179">
            <v>7118.64</v>
          </cell>
        </row>
        <row r="180">
          <cell r="G180">
            <v>9916</v>
          </cell>
          <cell r="O180">
            <v>70.34</v>
          </cell>
        </row>
        <row r="181">
          <cell r="G181">
            <v>9914</v>
          </cell>
          <cell r="O181">
            <v>5515.98</v>
          </cell>
        </row>
        <row r="182">
          <cell r="G182">
            <v>9913</v>
          </cell>
          <cell r="O182">
            <v>567.82000000000005</v>
          </cell>
        </row>
        <row r="183">
          <cell r="G183">
            <v>9907</v>
          </cell>
          <cell r="O183">
            <v>228.82</v>
          </cell>
        </row>
        <row r="184">
          <cell r="G184">
            <v>9885</v>
          </cell>
          <cell r="O184">
            <v>15067.43</v>
          </cell>
        </row>
        <row r="185">
          <cell r="G185">
            <v>9884</v>
          </cell>
          <cell r="O185">
            <v>412726.36</v>
          </cell>
        </row>
        <row r="186">
          <cell r="G186">
            <v>9878</v>
          </cell>
          <cell r="O186">
            <v>49.88</v>
          </cell>
        </row>
        <row r="187">
          <cell r="G187">
            <v>9875</v>
          </cell>
          <cell r="O187">
            <v>69616.86</v>
          </cell>
        </row>
        <row r="188">
          <cell r="G188">
            <v>9874</v>
          </cell>
          <cell r="O188">
            <v>641.19000000000005</v>
          </cell>
        </row>
        <row r="189">
          <cell r="G189">
            <v>9873</v>
          </cell>
          <cell r="O189">
            <v>71288.14</v>
          </cell>
        </row>
        <row r="190">
          <cell r="G190">
            <v>9872</v>
          </cell>
          <cell r="O190">
            <v>217346.48</v>
          </cell>
        </row>
        <row r="191">
          <cell r="G191">
            <v>9870</v>
          </cell>
          <cell r="O191">
            <v>130811.06</v>
          </cell>
        </row>
        <row r="192">
          <cell r="G192">
            <v>9868</v>
          </cell>
          <cell r="O192">
            <v>30390.9</v>
          </cell>
        </row>
        <row r="193">
          <cell r="G193">
            <v>9866</v>
          </cell>
          <cell r="O193">
            <v>6.78</v>
          </cell>
        </row>
        <row r="194">
          <cell r="G194">
            <v>9864</v>
          </cell>
          <cell r="O194">
            <v>154.28</v>
          </cell>
        </row>
        <row r="195">
          <cell r="G195">
            <v>9863</v>
          </cell>
          <cell r="O195">
            <v>50417.23</v>
          </cell>
        </row>
        <row r="196">
          <cell r="G196">
            <v>9858</v>
          </cell>
          <cell r="O196">
            <v>341.81</v>
          </cell>
        </row>
        <row r="197">
          <cell r="G197">
            <v>9857</v>
          </cell>
          <cell r="O197">
            <v>1123.1600000000001</v>
          </cell>
        </row>
        <row r="198">
          <cell r="G198">
            <v>9856</v>
          </cell>
          <cell r="O198">
            <v>1881.91</v>
          </cell>
        </row>
        <row r="199">
          <cell r="G199">
            <v>9855</v>
          </cell>
          <cell r="O199">
            <v>4288.13</v>
          </cell>
        </row>
        <row r="200">
          <cell r="G200">
            <v>9854</v>
          </cell>
          <cell r="O200">
            <v>3593.22</v>
          </cell>
        </row>
        <row r="201">
          <cell r="G201">
            <v>9853</v>
          </cell>
          <cell r="O201">
            <v>508.47</v>
          </cell>
        </row>
        <row r="202">
          <cell r="G202">
            <v>9852</v>
          </cell>
          <cell r="O202">
            <v>677.97</v>
          </cell>
        </row>
        <row r="203">
          <cell r="G203">
            <v>9850</v>
          </cell>
          <cell r="O203">
            <v>847.46</v>
          </cell>
        </row>
        <row r="204">
          <cell r="G204">
            <v>9849</v>
          </cell>
          <cell r="O204">
            <v>7395.48</v>
          </cell>
        </row>
        <row r="205">
          <cell r="G205">
            <v>9841</v>
          </cell>
          <cell r="O205">
            <v>2.54</v>
          </cell>
        </row>
        <row r="206">
          <cell r="G206">
            <v>9837</v>
          </cell>
          <cell r="O206">
            <v>1194.6400000000001</v>
          </cell>
        </row>
        <row r="207">
          <cell r="G207">
            <v>9832</v>
          </cell>
          <cell r="O207">
            <v>17116.21</v>
          </cell>
        </row>
        <row r="208">
          <cell r="G208">
            <v>9828</v>
          </cell>
          <cell r="O208">
            <v>355.93</v>
          </cell>
        </row>
        <row r="209">
          <cell r="G209">
            <v>9827</v>
          </cell>
          <cell r="O209">
            <v>1391.12</v>
          </cell>
        </row>
        <row r="210">
          <cell r="G210">
            <v>9826</v>
          </cell>
          <cell r="O210">
            <v>122.03</v>
          </cell>
        </row>
        <row r="211">
          <cell r="G211">
            <v>9825</v>
          </cell>
          <cell r="O211">
            <v>44.79</v>
          </cell>
        </row>
        <row r="212">
          <cell r="G212">
            <v>9822</v>
          </cell>
          <cell r="O212">
            <v>457.63</v>
          </cell>
        </row>
        <row r="213">
          <cell r="G213">
            <v>9821</v>
          </cell>
          <cell r="O213">
            <v>39.4</v>
          </cell>
        </row>
        <row r="214">
          <cell r="G214">
            <v>9820</v>
          </cell>
          <cell r="O214">
            <v>411.19</v>
          </cell>
        </row>
        <row r="215">
          <cell r="G215">
            <v>9819</v>
          </cell>
          <cell r="O215">
            <v>4738.9799999999996</v>
          </cell>
        </row>
        <row r="216">
          <cell r="G216">
            <v>9818</v>
          </cell>
          <cell r="O216">
            <v>2215.39</v>
          </cell>
        </row>
        <row r="217">
          <cell r="G217">
            <v>9815</v>
          </cell>
          <cell r="O217">
            <v>16.61</v>
          </cell>
        </row>
        <row r="218">
          <cell r="G218">
            <v>9812</v>
          </cell>
          <cell r="O218">
            <v>31.14</v>
          </cell>
        </row>
        <row r="219">
          <cell r="G219">
            <v>9811</v>
          </cell>
          <cell r="O219">
            <v>166.1</v>
          </cell>
        </row>
        <row r="220">
          <cell r="G220">
            <v>9809</v>
          </cell>
          <cell r="O220">
            <v>228.81</v>
          </cell>
        </row>
        <row r="221">
          <cell r="G221">
            <v>9808</v>
          </cell>
          <cell r="O221">
            <v>372.88</v>
          </cell>
        </row>
        <row r="222">
          <cell r="G222">
            <v>9807</v>
          </cell>
          <cell r="O222">
            <v>812.73</v>
          </cell>
        </row>
        <row r="223">
          <cell r="G223">
            <v>9805</v>
          </cell>
          <cell r="O223">
            <v>2922.58</v>
          </cell>
        </row>
        <row r="224">
          <cell r="G224">
            <v>9802</v>
          </cell>
          <cell r="O224">
            <v>379.01</v>
          </cell>
        </row>
        <row r="225">
          <cell r="G225">
            <v>9801</v>
          </cell>
          <cell r="O225">
            <v>260.74</v>
          </cell>
        </row>
        <row r="226">
          <cell r="G226">
            <v>9639</v>
          </cell>
          <cell r="O226">
            <v>329.72</v>
          </cell>
        </row>
        <row r="227">
          <cell r="G227">
            <v>9636</v>
          </cell>
          <cell r="O227">
            <v>40015.660000000003</v>
          </cell>
        </row>
        <row r="228">
          <cell r="G228">
            <v>9622</v>
          </cell>
          <cell r="O228">
            <v>21322.77</v>
          </cell>
        </row>
        <row r="229">
          <cell r="G229">
            <v>9529</v>
          </cell>
          <cell r="O229">
            <v>6986.08</v>
          </cell>
        </row>
        <row r="230">
          <cell r="G230">
            <v>9516</v>
          </cell>
          <cell r="O230">
            <v>969.1</v>
          </cell>
        </row>
        <row r="231">
          <cell r="G231">
            <v>9505</v>
          </cell>
          <cell r="O231">
            <v>3970.57</v>
          </cell>
        </row>
        <row r="232">
          <cell r="G232">
            <v>9504</v>
          </cell>
          <cell r="O232">
            <v>25149.58</v>
          </cell>
        </row>
        <row r="233">
          <cell r="G233">
            <v>9502</v>
          </cell>
          <cell r="O233">
            <v>22.11</v>
          </cell>
        </row>
        <row r="234">
          <cell r="G234">
            <v>9501</v>
          </cell>
          <cell r="O234">
            <v>49.81</v>
          </cell>
        </row>
        <row r="235">
          <cell r="G235">
            <v>9451</v>
          </cell>
          <cell r="O235">
            <v>0.03</v>
          </cell>
        </row>
        <row r="236">
          <cell r="G236">
            <v>9449</v>
          </cell>
          <cell r="O236">
            <v>45617.16</v>
          </cell>
        </row>
        <row r="237">
          <cell r="G237">
            <v>9442</v>
          </cell>
          <cell r="O237">
            <v>88843.22</v>
          </cell>
        </row>
        <row r="238">
          <cell r="G238">
            <v>9441</v>
          </cell>
          <cell r="O238">
            <v>32508.48</v>
          </cell>
        </row>
        <row r="239">
          <cell r="G239">
            <v>9440</v>
          </cell>
          <cell r="O239">
            <v>7627.12</v>
          </cell>
        </row>
        <row r="240">
          <cell r="G240">
            <v>9435</v>
          </cell>
          <cell r="O240">
            <v>17074.57</v>
          </cell>
        </row>
        <row r="241">
          <cell r="G241">
            <v>9434</v>
          </cell>
          <cell r="O241">
            <v>0.01</v>
          </cell>
        </row>
        <row r="242">
          <cell r="G242">
            <v>9428</v>
          </cell>
          <cell r="O242">
            <v>8474.58</v>
          </cell>
        </row>
        <row r="243">
          <cell r="G243">
            <v>9427</v>
          </cell>
          <cell r="O243">
            <v>40677.97</v>
          </cell>
        </row>
        <row r="244">
          <cell r="G244">
            <v>9424</v>
          </cell>
          <cell r="O244">
            <v>40500</v>
          </cell>
        </row>
        <row r="245">
          <cell r="G245">
            <v>9423</v>
          </cell>
          <cell r="O245">
            <v>20437.47</v>
          </cell>
        </row>
        <row r="246">
          <cell r="G246">
            <v>9420</v>
          </cell>
          <cell r="O246">
            <v>398820.34</v>
          </cell>
        </row>
        <row r="247">
          <cell r="G247">
            <v>9409</v>
          </cell>
          <cell r="O247">
            <v>657622.41</v>
          </cell>
        </row>
        <row r="248">
          <cell r="G248">
            <v>9407</v>
          </cell>
          <cell r="O248">
            <v>104555.08</v>
          </cell>
        </row>
        <row r="249">
          <cell r="G249">
            <v>9404</v>
          </cell>
          <cell r="O249">
            <v>1016.95</v>
          </cell>
        </row>
        <row r="250">
          <cell r="G250">
            <v>9403</v>
          </cell>
          <cell r="O250">
            <v>30019.18</v>
          </cell>
        </row>
        <row r="251">
          <cell r="G251">
            <v>9400</v>
          </cell>
          <cell r="O251">
            <v>33.9</v>
          </cell>
        </row>
        <row r="252">
          <cell r="G252">
            <v>9399</v>
          </cell>
          <cell r="O252">
            <v>16.350000000000001</v>
          </cell>
        </row>
        <row r="253">
          <cell r="G253">
            <v>9397</v>
          </cell>
          <cell r="O253">
            <v>26.44</v>
          </cell>
        </row>
        <row r="254">
          <cell r="G254">
            <v>9386</v>
          </cell>
          <cell r="O254">
            <v>17.79</v>
          </cell>
        </row>
        <row r="255">
          <cell r="G255">
            <v>9384</v>
          </cell>
          <cell r="O255">
            <v>51.27</v>
          </cell>
        </row>
        <row r="256">
          <cell r="G256">
            <v>9383</v>
          </cell>
          <cell r="O256">
            <v>51.27</v>
          </cell>
        </row>
        <row r="257">
          <cell r="G257">
            <v>9382</v>
          </cell>
          <cell r="O257">
            <v>514.84</v>
          </cell>
        </row>
        <row r="258">
          <cell r="G258">
            <v>9351</v>
          </cell>
          <cell r="O258">
            <v>135.59</v>
          </cell>
        </row>
        <row r="259">
          <cell r="G259">
            <v>9348</v>
          </cell>
          <cell r="O259">
            <v>4324.75</v>
          </cell>
        </row>
        <row r="260">
          <cell r="G260">
            <v>9346</v>
          </cell>
          <cell r="O260">
            <v>922.03</v>
          </cell>
        </row>
        <row r="261">
          <cell r="G261">
            <v>9345</v>
          </cell>
          <cell r="O261">
            <v>1305.08</v>
          </cell>
        </row>
        <row r="262">
          <cell r="G262">
            <v>9342</v>
          </cell>
          <cell r="O262">
            <v>623.04999999999995</v>
          </cell>
        </row>
        <row r="263">
          <cell r="G263">
            <v>9338</v>
          </cell>
          <cell r="O263">
            <v>5128.82</v>
          </cell>
        </row>
        <row r="264">
          <cell r="G264">
            <v>9337</v>
          </cell>
          <cell r="O264">
            <v>271.19</v>
          </cell>
        </row>
        <row r="265">
          <cell r="G265">
            <v>9336</v>
          </cell>
          <cell r="O265">
            <v>381.36</v>
          </cell>
        </row>
        <row r="266">
          <cell r="G266">
            <v>9335</v>
          </cell>
          <cell r="O266">
            <v>2542.37</v>
          </cell>
        </row>
        <row r="267">
          <cell r="G267">
            <v>9334</v>
          </cell>
          <cell r="O267">
            <v>15127.12</v>
          </cell>
        </row>
        <row r="268">
          <cell r="G268">
            <v>9328</v>
          </cell>
          <cell r="O268">
            <v>10.199999999999999</v>
          </cell>
        </row>
        <row r="269">
          <cell r="G269">
            <v>9327</v>
          </cell>
          <cell r="O269">
            <v>94.91</v>
          </cell>
        </row>
        <row r="270">
          <cell r="G270">
            <v>9324</v>
          </cell>
          <cell r="O270">
            <v>118.64</v>
          </cell>
        </row>
        <row r="271">
          <cell r="G271">
            <v>9323</v>
          </cell>
          <cell r="O271">
            <v>31.34</v>
          </cell>
        </row>
        <row r="272">
          <cell r="G272">
            <v>9322</v>
          </cell>
          <cell r="O272">
            <v>735.66</v>
          </cell>
        </row>
        <row r="273">
          <cell r="G273">
            <v>9312</v>
          </cell>
          <cell r="O273">
            <v>63.56</v>
          </cell>
        </row>
        <row r="274">
          <cell r="G274">
            <v>9310</v>
          </cell>
          <cell r="O274">
            <v>3003.44</v>
          </cell>
        </row>
        <row r="275">
          <cell r="G275">
            <v>9305</v>
          </cell>
          <cell r="O275">
            <v>20677.97</v>
          </cell>
        </row>
        <row r="276">
          <cell r="G276">
            <v>9303</v>
          </cell>
          <cell r="O276">
            <v>6057.37</v>
          </cell>
        </row>
        <row r="277">
          <cell r="G277">
            <v>9302</v>
          </cell>
          <cell r="O277">
            <v>5616.35</v>
          </cell>
        </row>
        <row r="278">
          <cell r="G278">
            <v>9301</v>
          </cell>
          <cell r="O278">
            <v>7080.75</v>
          </cell>
        </row>
        <row r="279">
          <cell r="G279">
            <v>9299</v>
          </cell>
          <cell r="O279">
            <v>21741.75</v>
          </cell>
        </row>
        <row r="280">
          <cell r="G280">
            <v>9297</v>
          </cell>
          <cell r="O280">
            <v>3221.65</v>
          </cell>
        </row>
        <row r="281">
          <cell r="G281">
            <v>9296</v>
          </cell>
          <cell r="O281">
            <v>4245</v>
          </cell>
        </row>
        <row r="282">
          <cell r="G282">
            <v>9295</v>
          </cell>
          <cell r="O282">
            <v>1860.67</v>
          </cell>
        </row>
        <row r="283">
          <cell r="G283">
            <v>9294</v>
          </cell>
          <cell r="O283">
            <v>713.17</v>
          </cell>
        </row>
        <row r="284">
          <cell r="G284">
            <v>9293</v>
          </cell>
          <cell r="O284">
            <v>7628.61</v>
          </cell>
        </row>
        <row r="285">
          <cell r="G285">
            <v>9290</v>
          </cell>
          <cell r="O285">
            <v>1525.43</v>
          </cell>
        </row>
        <row r="286">
          <cell r="G286">
            <v>9289</v>
          </cell>
          <cell r="O286">
            <v>50</v>
          </cell>
        </row>
        <row r="287">
          <cell r="G287">
            <v>9288</v>
          </cell>
          <cell r="O287">
            <v>54.58</v>
          </cell>
        </row>
        <row r="288">
          <cell r="G288">
            <v>9287</v>
          </cell>
          <cell r="O288">
            <v>1032.21</v>
          </cell>
        </row>
        <row r="289">
          <cell r="G289">
            <v>9286</v>
          </cell>
          <cell r="O289">
            <v>22.04</v>
          </cell>
        </row>
        <row r="290">
          <cell r="G290">
            <v>9285</v>
          </cell>
          <cell r="O290">
            <v>98.31</v>
          </cell>
        </row>
        <row r="291">
          <cell r="G291">
            <v>9279</v>
          </cell>
          <cell r="O291">
            <v>472.88</v>
          </cell>
        </row>
        <row r="292">
          <cell r="G292">
            <v>9276</v>
          </cell>
          <cell r="O292">
            <v>352.55</v>
          </cell>
        </row>
        <row r="293">
          <cell r="G293">
            <v>9275</v>
          </cell>
          <cell r="O293">
            <v>1864.41</v>
          </cell>
        </row>
        <row r="294">
          <cell r="G294">
            <v>9274</v>
          </cell>
          <cell r="O294">
            <v>459.46</v>
          </cell>
        </row>
        <row r="295">
          <cell r="G295">
            <v>9273</v>
          </cell>
          <cell r="O295">
            <v>1722.16</v>
          </cell>
        </row>
        <row r="296">
          <cell r="G296">
            <v>9272</v>
          </cell>
          <cell r="O296">
            <v>271.18</v>
          </cell>
        </row>
        <row r="297">
          <cell r="G297">
            <v>9271</v>
          </cell>
          <cell r="O297">
            <v>2506.35</v>
          </cell>
        </row>
        <row r="298">
          <cell r="G298">
            <v>9262</v>
          </cell>
          <cell r="O298">
            <v>122.03</v>
          </cell>
        </row>
        <row r="299">
          <cell r="G299">
            <v>9260</v>
          </cell>
          <cell r="O299">
            <v>0</v>
          </cell>
        </row>
        <row r="300">
          <cell r="G300">
            <v>9257</v>
          </cell>
          <cell r="O300">
            <v>466.1</v>
          </cell>
        </row>
        <row r="301">
          <cell r="G301">
            <v>9256</v>
          </cell>
          <cell r="O301">
            <v>193.21</v>
          </cell>
        </row>
        <row r="302">
          <cell r="G302">
            <v>9237</v>
          </cell>
          <cell r="O302">
            <v>23.73</v>
          </cell>
        </row>
        <row r="303">
          <cell r="G303">
            <v>9225</v>
          </cell>
          <cell r="O303">
            <v>1349.15</v>
          </cell>
        </row>
        <row r="304">
          <cell r="G304">
            <v>9221</v>
          </cell>
          <cell r="O304">
            <v>173.43</v>
          </cell>
        </row>
        <row r="305">
          <cell r="G305">
            <v>9218</v>
          </cell>
          <cell r="O305">
            <v>4854.75</v>
          </cell>
        </row>
        <row r="306">
          <cell r="G306">
            <v>9217</v>
          </cell>
          <cell r="O306">
            <v>553.26</v>
          </cell>
        </row>
        <row r="307">
          <cell r="G307">
            <v>9216</v>
          </cell>
          <cell r="O307">
            <v>10484.08</v>
          </cell>
        </row>
        <row r="308">
          <cell r="G308">
            <v>9214</v>
          </cell>
          <cell r="O308">
            <v>40.68</v>
          </cell>
        </row>
        <row r="309">
          <cell r="G309">
            <v>9211</v>
          </cell>
          <cell r="O309">
            <v>338.98</v>
          </cell>
        </row>
        <row r="310">
          <cell r="G310">
            <v>9210</v>
          </cell>
          <cell r="O310">
            <v>259.83</v>
          </cell>
        </row>
        <row r="311">
          <cell r="G311">
            <v>9205</v>
          </cell>
          <cell r="O311">
            <v>2881.36</v>
          </cell>
        </row>
        <row r="312">
          <cell r="G312">
            <v>9182</v>
          </cell>
          <cell r="O312">
            <v>159.91999999999999</v>
          </cell>
        </row>
        <row r="313">
          <cell r="G313">
            <v>9178</v>
          </cell>
          <cell r="O313">
            <v>4626.83</v>
          </cell>
        </row>
        <row r="314">
          <cell r="G314">
            <v>9177</v>
          </cell>
          <cell r="O314">
            <v>10677.46</v>
          </cell>
        </row>
        <row r="315">
          <cell r="G315">
            <v>9176</v>
          </cell>
          <cell r="O315">
            <v>171.14</v>
          </cell>
        </row>
        <row r="316">
          <cell r="G316">
            <v>9175</v>
          </cell>
          <cell r="O316">
            <v>15754.24</v>
          </cell>
        </row>
        <row r="317">
          <cell r="G317">
            <v>9174</v>
          </cell>
          <cell r="O317">
            <v>23631.360000000001</v>
          </cell>
        </row>
        <row r="318">
          <cell r="G318">
            <v>9172</v>
          </cell>
          <cell r="O318">
            <v>3071.19</v>
          </cell>
        </row>
        <row r="319">
          <cell r="G319">
            <v>9171</v>
          </cell>
          <cell r="O319">
            <v>696.61</v>
          </cell>
        </row>
        <row r="320">
          <cell r="G320">
            <v>9165</v>
          </cell>
          <cell r="O320">
            <v>5605.62</v>
          </cell>
        </row>
        <row r="321">
          <cell r="G321">
            <v>9163</v>
          </cell>
          <cell r="O321">
            <v>6521.76</v>
          </cell>
        </row>
        <row r="322">
          <cell r="G322">
            <v>9160</v>
          </cell>
          <cell r="O322">
            <v>3162.55</v>
          </cell>
        </row>
        <row r="323">
          <cell r="G323">
            <v>9158</v>
          </cell>
          <cell r="O323">
            <v>5474.58</v>
          </cell>
        </row>
        <row r="324">
          <cell r="G324">
            <v>9157</v>
          </cell>
          <cell r="O324">
            <v>31440.68</v>
          </cell>
        </row>
        <row r="325">
          <cell r="G325">
            <v>9156</v>
          </cell>
          <cell r="O325">
            <v>6644.07</v>
          </cell>
        </row>
        <row r="326">
          <cell r="G326">
            <v>9155</v>
          </cell>
          <cell r="O326">
            <v>10423.73</v>
          </cell>
        </row>
        <row r="327">
          <cell r="G327">
            <v>9154</v>
          </cell>
          <cell r="O327">
            <v>2084.75</v>
          </cell>
        </row>
        <row r="328">
          <cell r="G328">
            <v>9149</v>
          </cell>
          <cell r="O328">
            <v>411.87</v>
          </cell>
        </row>
        <row r="329">
          <cell r="G329">
            <v>9147</v>
          </cell>
          <cell r="O329">
            <v>732.2</v>
          </cell>
        </row>
        <row r="330">
          <cell r="G330">
            <v>9146</v>
          </cell>
          <cell r="O330">
            <v>32203.39</v>
          </cell>
        </row>
        <row r="331">
          <cell r="G331">
            <v>9145</v>
          </cell>
          <cell r="O331">
            <v>1937.29</v>
          </cell>
        </row>
        <row r="332">
          <cell r="G332">
            <v>9144</v>
          </cell>
          <cell r="O332">
            <v>12711.86</v>
          </cell>
        </row>
        <row r="333">
          <cell r="G333">
            <v>9139</v>
          </cell>
          <cell r="O333">
            <v>760.17</v>
          </cell>
        </row>
        <row r="334">
          <cell r="G334">
            <v>9125</v>
          </cell>
          <cell r="O334">
            <v>10.17</v>
          </cell>
        </row>
        <row r="335">
          <cell r="G335">
            <v>9115</v>
          </cell>
          <cell r="O335">
            <v>12.71</v>
          </cell>
        </row>
        <row r="336">
          <cell r="G336">
            <v>9100</v>
          </cell>
          <cell r="O336">
            <v>167.91</v>
          </cell>
        </row>
        <row r="337">
          <cell r="G337">
            <v>9099</v>
          </cell>
          <cell r="O337">
            <v>690.4</v>
          </cell>
        </row>
        <row r="338">
          <cell r="G338">
            <v>9097</v>
          </cell>
          <cell r="O338">
            <v>42.07</v>
          </cell>
        </row>
        <row r="339">
          <cell r="G339">
            <v>9088</v>
          </cell>
          <cell r="O339">
            <v>339.71</v>
          </cell>
        </row>
        <row r="340">
          <cell r="G340">
            <v>9082</v>
          </cell>
          <cell r="O340">
            <v>27.07</v>
          </cell>
        </row>
        <row r="341">
          <cell r="G341">
            <v>9047</v>
          </cell>
          <cell r="O341">
            <v>113.56</v>
          </cell>
        </row>
        <row r="342">
          <cell r="G342">
            <v>9046</v>
          </cell>
          <cell r="O342">
            <v>443.88</v>
          </cell>
        </row>
        <row r="343">
          <cell r="G343">
            <v>9017</v>
          </cell>
          <cell r="O343">
            <v>85.17</v>
          </cell>
        </row>
        <row r="344">
          <cell r="G344">
            <v>9016</v>
          </cell>
          <cell r="O344">
            <v>55.77</v>
          </cell>
        </row>
        <row r="345">
          <cell r="G345">
            <v>9015</v>
          </cell>
          <cell r="O345">
            <v>17.809999999999999</v>
          </cell>
        </row>
        <row r="346">
          <cell r="G346">
            <v>9007</v>
          </cell>
          <cell r="O346">
            <v>65.59</v>
          </cell>
        </row>
        <row r="347">
          <cell r="G347">
            <v>8996</v>
          </cell>
          <cell r="O347">
            <v>3093.98</v>
          </cell>
        </row>
        <row r="348">
          <cell r="G348">
            <v>8995</v>
          </cell>
          <cell r="O348">
            <v>194.92</v>
          </cell>
        </row>
        <row r="349">
          <cell r="G349">
            <v>8992</v>
          </cell>
          <cell r="O349">
            <v>167.8</v>
          </cell>
        </row>
        <row r="350">
          <cell r="G350">
            <v>8991</v>
          </cell>
          <cell r="O350">
            <v>686.44</v>
          </cell>
        </row>
        <row r="351">
          <cell r="G351">
            <v>8985</v>
          </cell>
          <cell r="O351">
            <v>2449.17</v>
          </cell>
        </row>
        <row r="352">
          <cell r="G352">
            <v>8981</v>
          </cell>
          <cell r="O352">
            <v>881.36</v>
          </cell>
        </row>
        <row r="353">
          <cell r="G353">
            <v>8979</v>
          </cell>
          <cell r="O353">
            <v>64.87</v>
          </cell>
        </row>
        <row r="354">
          <cell r="G354">
            <v>8974</v>
          </cell>
          <cell r="O354">
            <v>1832.76</v>
          </cell>
        </row>
        <row r="355">
          <cell r="G355">
            <v>8973</v>
          </cell>
          <cell r="O355">
            <v>4565.33</v>
          </cell>
        </row>
        <row r="356">
          <cell r="G356">
            <v>8972</v>
          </cell>
          <cell r="O356">
            <v>6145.39</v>
          </cell>
        </row>
        <row r="357">
          <cell r="G357">
            <v>8971</v>
          </cell>
          <cell r="O357">
            <v>1059.71</v>
          </cell>
        </row>
        <row r="358">
          <cell r="G358">
            <v>8969</v>
          </cell>
          <cell r="O358">
            <v>22.17</v>
          </cell>
        </row>
        <row r="359">
          <cell r="G359">
            <v>8968</v>
          </cell>
          <cell r="O359">
            <v>224.23</v>
          </cell>
        </row>
        <row r="360">
          <cell r="G360">
            <v>8964</v>
          </cell>
          <cell r="O360">
            <v>230.51</v>
          </cell>
        </row>
        <row r="361">
          <cell r="G361">
            <v>8963</v>
          </cell>
          <cell r="O361">
            <v>169.49</v>
          </cell>
        </row>
        <row r="362">
          <cell r="G362">
            <v>8962</v>
          </cell>
          <cell r="O362">
            <v>847.46</v>
          </cell>
        </row>
        <row r="363">
          <cell r="G363">
            <v>8955</v>
          </cell>
          <cell r="O363">
            <v>381.35</v>
          </cell>
        </row>
        <row r="364">
          <cell r="G364">
            <v>8954</v>
          </cell>
          <cell r="O364">
            <v>37.49</v>
          </cell>
        </row>
        <row r="365">
          <cell r="G365">
            <v>8953</v>
          </cell>
          <cell r="O365">
            <v>499.66</v>
          </cell>
        </row>
        <row r="366">
          <cell r="G366">
            <v>8952</v>
          </cell>
          <cell r="O366">
            <v>282.63</v>
          </cell>
        </row>
        <row r="367">
          <cell r="G367">
            <v>8951</v>
          </cell>
          <cell r="O367">
            <v>106.06</v>
          </cell>
        </row>
        <row r="368">
          <cell r="G368">
            <v>8950</v>
          </cell>
          <cell r="O368">
            <v>415.26</v>
          </cell>
        </row>
        <row r="369">
          <cell r="G369">
            <v>8949</v>
          </cell>
          <cell r="O369">
            <v>2006.59</v>
          </cell>
        </row>
        <row r="370">
          <cell r="G370">
            <v>8947</v>
          </cell>
          <cell r="O370">
            <v>78.17</v>
          </cell>
        </row>
        <row r="371">
          <cell r="G371">
            <v>8946</v>
          </cell>
          <cell r="O371">
            <v>35.93</v>
          </cell>
        </row>
        <row r="372">
          <cell r="G372">
            <v>8944</v>
          </cell>
          <cell r="O372">
            <v>49.35</v>
          </cell>
        </row>
        <row r="373">
          <cell r="G373">
            <v>8936</v>
          </cell>
          <cell r="O373">
            <v>974.57</v>
          </cell>
        </row>
        <row r="374">
          <cell r="G374">
            <v>8935</v>
          </cell>
          <cell r="O374">
            <v>180.79</v>
          </cell>
        </row>
        <row r="375">
          <cell r="G375">
            <v>8934</v>
          </cell>
          <cell r="O375">
            <v>24894.92</v>
          </cell>
        </row>
        <row r="376">
          <cell r="G376">
            <v>8928</v>
          </cell>
          <cell r="O376">
            <v>1013.32</v>
          </cell>
        </row>
        <row r="377">
          <cell r="G377">
            <v>8927</v>
          </cell>
          <cell r="O377">
            <v>186.44</v>
          </cell>
        </row>
        <row r="378">
          <cell r="G378">
            <v>8926</v>
          </cell>
          <cell r="O378">
            <v>7579</v>
          </cell>
        </row>
        <row r="379">
          <cell r="G379">
            <v>8917</v>
          </cell>
          <cell r="O379">
            <v>343.19</v>
          </cell>
        </row>
        <row r="380">
          <cell r="G380">
            <v>8915</v>
          </cell>
          <cell r="O380">
            <v>6076.28</v>
          </cell>
        </row>
        <row r="381">
          <cell r="G381">
            <v>8914</v>
          </cell>
          <cell r="O381">
            <v>29067.8</v>
          </cell>
        </row>
        <row r="382">
          <cell r="G382">
            <v>8913</v>
          </cell>
          <cell r="O382">
            <v>11288.14</v>
          </cell>
        </row>
        <row r="383">
          <cell r="G383">
            <v>8911</v>
          </cell>
          <cell r="O383">
            <v>7550.85</v>
          </cell>
        </row>
        <row r="384">
          <cell r="G384">
            <v>8906</v>
          </cell>
          <cell r="O384">
            <v>1239.83</v>
          </cell>
        </row>
        <row r="385">
          <cell r="G385">
            <v>8905</v>
          </cell>
          <cell r="O385">
            <v>6.36</v>
          </cell>
        </row>
        <row r="386">
          <cell r="G386">
            <v>8904</v>
          </cell>
          <cell r="O386">
            <v>76.28</v>
          </cell>
        </row>
        <row r="387">
          <cell r="G387">
            <v>8883</v>
          </cell>
          <cell r="O387">
            <v>3805.2</v>
          </cell>
        </row>
        <row r="388">
          <cell r="G388">
            <v>8881</v>
          </cell>
          <cell r="O388">
            <v>0</v>
          </cell>
        </row>
        <row r="389">
          <cell r="G389">
            <v>8880</v>
          </cell>
          <cell r="O389">
            <v>593.22</v>
          </cell>
        </row>
        <row r="390">
          <cell r="G390">
            <v>8879</v>
          </cell>
          <cell r="O390">
            <v>0.06</v>
          </cell>
        </row>
        <row r="391">
          <cell r="G391">
            <v>8877</v>
          </cell>
          <cell r="O391">
            <v>7289.57</v>
          </cell>
        </row>
        <row r="392">
          <cell r="G392">
            <v>8876</v>
          </cell>
          <cell r="O392">
            <v>0</v>
          </cell>
        </row>
        <row r="393">
          <cell r="G393">
            <v>8859</v>
          </cell>
          <cell r="O393">
            <v>264.39</v>
          </cell>
        </row>
        <row r="394">
          <cell r="G394">
            <v>8858</v>
          </cell>
          <cell r="O394">
            <v>16.95</v>
          </cell>
        </row>
        <row r="395">
          <cell r="G395">
            <v>8857</v>
          </cell>
          <cell r="O395">
            <v>282.20999999999998</v>
          </cell>
        </row>
        <row r="396">
          <cell r="G396">
            <v>8854</v>
          </cell>
          <cell r="O396">
            <v>1050.8499999999999</v>
          </cell>
        </row>
        <row r="397">
          <cell r="G397">
            <v>8853</v>
          </cell>
          <cell r="O397">
            <v>1430.51</v>
          </cell>
        </row>
        <row r="398">
          <cell r="G398">
            <v>8852</v>
          </cell>
          <cell r="O398">
            <v>930.18</v>
          </cell>
        </row>
        <row r="399">
          <cell r="G399">
            <v>8851</v>
          </cell>
          <cell r="O399">
            <v>193.22</v>
          </cell>
        </row>
        <row r="400">
          <cell r="G400">
            <v>8849</v>
          </cell>
          <cell r="O400">
            <v>54724.58</v>
          </cell>
        </row>
        <row r="401">
          <cell r="G401">
            <v>8843</v>
          </cell>
          <cell r="O401">
            <v>2000</v>
          </cell>
        </row>
        <row r="402">
          <cell r="G402">
            <v>8839</v>
          </cell>
          <cell r="O402">
            <v>62471.75</v>
          </cell>
        </row>
        <row r="403">
          <cell r="G403">
            <v>8837</v>
          </cell>
          <cell r="O403">
            <v>4067.77</v>
          </cell>
        </row>
        <row r="404">
          <cell r="G404">
            <v>8836</v>
          </cell>
          <cell r="O404">
            <v>15143.28</v>
          </cell>
        </row>
        <row r="405">
          <cell r="G405">
            <v>8834</v>
          </cell>
          <cell r="O405">
            <v>56640.69</v>
          </cell>
        </row>
        <row r="406">
          <cell r="G406">
            <v>8833</v>
          </cell>
          <cell r="O406">
            <v>57197.3</v>
          </cell>
        </row>
        <row r="407">
          <cell r="G407">
            <v>8832</v>
          </cell>
          <cell r="O407">
            <v>59428.39</v>
          </cell>
        </row>
        <row r="408">
          <cell r="G408">
            <v>8803</v>
          </cell>
          <cell r="O408">
            <v>3575</v>
          </cell>
        </row>
        <row r="409">
          <cell r="G409">
            <v>8802</v>
          </cell>
          <cell r="O409">
            <v>7277.5</v>
          </cell>
        </row>
        <row r="410">
          <cell r="G410">
            <v>8801</v>
          </cell>
          <cell r="O410">
            <v>1250</v>
          </cell>
        </row>
        <row r="411">
          <cell r="G411">
            <v>8799</v>
          </cell>
          <cell r="O411">
            <v>0.01</v>
          </cell>
        </row>
        <row r="412">
          <cell r="G412">
            <v>8788</v>
          </cell>
          <cell r="O412">
            <v>550.89</v>
          </cell>
        </row>
        <row r="413">
          <cell r="G413">
            <v>8780</v>
          </cell>
          <cell r="O413">
            <v>0</v>
          </cell>
        </row>
        <row r="414">
          <cell r="G414">
            <v>8777</v>
          </cell>
          <cell r="O414">
            <v>19661.009999999998</v>
          </cell>
        </row>
        <row r="415">
          <cell r="G415">
            <v>8775</v>
          </cell>
          <cell r="O415">
            <v>19576.27</v>
          </cell>
        </row>
        <row r="416">
          <cell r="G416">
            <v>8771</v>
          </cell>
          <cell r="O416">
            <v>0.01</v>
          </cell>
        </row>
        <row r="417">
          <cell r="G417">
            <v>8769</v>
          </cell>
          <cell r="O417">
            <v>96698.75</v>
          </cell>
        </row>
        <row r="418">
          <cell r="G418">
            <v>8768</v>
          </cell>
          <cell r="O418">
            <v>88358.05</v>
          </cell>
        </row>
        <row r="419">
          <cell r="G419">
            <v>8766</v>
          </cell>
          <cell r="O419">
            <v>10169.49</v>
          </cell>
        </row>
        <row r="420">
          <cell r="G420">
            <v>8758</v>
          </cell>
          <cell r="O420">
            <v>2321.1799999999998</v>
          </cell>
        </row>
        <row r="421">
          <cell r="G421">
            <v>8743</v>
          </cell>
          <cell r="O421">
            <v>72495.08</v>
          </cell>
        </row>
        <row r="422">
          <cell r="G422">
            <v>8739</v>
          </cell>
          <cell r="O422">
            <v>6000</v>
          </cell>
        </row>
        <row r="423">
          <cell r="G423">
            <v>8728</v>
          </cell>
          <cell r="O423">
            <v>34944.07</v>
          </cell>
        </row>
        <row r="424">
          <cell r="G424">
            <v>8715</v>
          </cell>
          <cell r="O424">
            <v>0</v>
          </cell>
        </row>
        <row r="425">
          <cell r="G425">
            <v>8714</v>
          </cell>
          <cell r="O425">
            <v>724.46</v>
          </cell>
        </row>
        <row r="426">
          <cell r="G426">
            <v>8713</v>
          </cell>
          <cell r="O426">
            <v>3504.24</v>
          </cell>
        </row>
        <row r="427">
          <cell r="G427">
            <v>8712</v>
          </cell>
          <cell r="O427">
            <v>243721.48</v>
          </cell>
        </row>
        <row r="428">
          <cell r="G428">
            <v>8697</v>
          </cell>
          <cell r="O428">
            <v>593.22</v>
          </cell>
        </row>
        <row r="429">
          <cell r="G429">
            <v>8696</v>
          </cell>
          <cell r="O429">
            <v>1127.1199999999999</v>
          </cell>
        </row>
        <row r="430">
          <cell r="G430">
            <v>8695</v>
          </cell>
          <cell r="O430">
            <v>1186.44</v>
          </cell>
        </row>
        <row r="431">
          <cell r="G431">
            <v>8694</v>
          </cell>
          <cell r="O431">
            <v>1186.44</v>
          </cell>
        </row>
        <row r="432">
          <cell r="G432">
            <v>8691</v>
          </cell>
          <cell r="O432">
            <v>374.92</v>
          </cell>
        </row>
        <row r="433">
          <cell r="G433">
            <v>8690</v>
          </cell>
          <cell r="O433">
            <v>881.36</v>
          </cell>
        </row>
        <row r="434">
          <cell r="G434">
            <v>8689</v>
          </cell>
          <cell r="O434">
            <v>379.66</v>
          </cell>
        </row>
        <row r="435">
          <cell r="G435">
            <v>8687</v>
          </cell>
          <cell r="O435">
            <v>939.44</v>
          </cell>
        </row>
        <row r="436">
          <cell r="G436">
            <v>8686</v>
          </cell>
          <cell r="O436">
            <v>2436.44</v>
          </cell>
        </row>
        <row r="437">
          <cell r="G437">
            <v>8682</v>
          </cell>
          <cell r="O437">
            <v>346.66</v>
          </cell>
        </row>
        <row r="438">
          <cell r="G438">
            <v>8681</v>
          </cell>
          <cell r="O438">
            <v>84.74</v>
          </cell>
        </row>
        <row r="439">
          <cell r="G439">
            <v>8680</v>
          </cell>
          <cell r="O439">
            <v>889.86</v>
          </cell>
        </row>
        <row r="440">
          <cell r="G440">
            <v>8678</v>
          </cell>
          <cell r="O440">
            <v>714.41</v>
          </cell>
        </row>
        <row r="441">
          <cell r="G441">
            <v>8677</v>
          </cell>
          <cell r="O441">
            <v>177.97</v>
          </cell>
        </row>
        <row r="442">
          <cell r="G442">
            <v>8675</v>
          </cell>
          <cell r="O442">
            <v>22.89</v>
          </cell>
        </row>
        <row r="443">
          <cell r="G443">
            <v>8674</v>
          </cell>
          <cell r="O443">
            <v>38.15</v>
          </cell>
        </row>
        <row r="444">
          <cell r="G444">
            <v>8670</v>
          </cell>
          <cell r="O444">
            <v>555.08000000000004</v>
          </cell>
        </row>
        <row r="445">
          <cell r="G445">
            <v>8669</v>
          </cell>
          <cell r="O445">
            <v>15.26</v>
          </cell>
        </row>
        <row r="446">
          <cell r="G446">
            <v>8668</v>
          </cell>
          <cell r="O446">
            <v>5.93</v>
          </cell>
        </row>
        <row r="447">
          <cell r="G447">
            <v>8667</v>
          </cell>
          <cell r="O447">
            <v>15392.94</v>
          </cell>
        </row>
        <row r="448">
          <cell r="G448">
            <v>8666</v>
          </cell>
          <cell r="O448">
            <v>26165.85</v>
          </cell>
        </row>
        <row r="449">
          <cell r="G449">
            <v>8665</v>
          </cell>
          <cell r="O449">
            <v>18529.13</v>
          </cell>
        </row>
        <row r="450">
          <cell r="G450">
            <v>8664</v>
          </cell>
          <cell r="O450">
            <v>406.78</v>
          </cell>
        </row>
        <row r="451">
          <cell r="G451">
            <v>8663</v>
          </cell>
          <cell r="O451">
            <v>344.07</v>
          </cell>
        </row>
        <row r="452">
          <cell r="G452">
            <v>8662</v>
          </cell>
          <cell r="O452">
            <v>4265.34</v>
          </cell>
        </row>
        <row r="453">
          <cell r="G453">
            <v>8658</v>
          </cell>
          <cell r="O453">
            <v>38.14</v>
          </cell>
        </row>
        <row r="454">
          <cell r="G454">
            <v>8655</v>
          </cell>
          <cell r="O454">
            <v>40.03</v>
          </cell>
        </row>
        <row r="455">
          <cell r="G455">
            <v>8640</v>
          </cell>
          <cell r="O455">
            <v>4319.2</v>
          </cell>
        </row>
        <row r="456">
          <cell r="G456">
            <v>8639</v>
          </cell>
          <cell r="O456">
            <v>12284.85</v>
          </cell>
        </row>
        <row r="457">
          <cell r="G457">
            <v>8629</v>
          </cell>
          <cell r="O457">
            <v>13.98</v>
          </cell>
        </row>
        <row r="458">
          <cell r="G458">
            <v>8627</v>
          </cell>
          <cell r="O458">
            <v>126.46</v>
          </cell>
        </row>
        <row r="459">
          <cell r="G459">
            <v>8626</v>
          </cell>
          <cell r="O459">
            <v>5.1100000000000003</v>
          </cell>
        </row>
        <row r="460">
          <cell r="G460">
            <v>8617</v>
          </cell>
          <cell r="O460">
            <v>70.34</v>
          </cell>
        </row>
        <row r="461">
          <cell r="G461">
            <v>8614</v>
          </cell>
          <cell r="O461">
            <v>225.68</v>
          </cell>
        </row>
        <row r="462">
          <cell r="G462">
            <v>8613</v>
          </cell>
          <cell r="O462">
            <v>148.27000000000001</v>
          </cell>
        </row>
        <row r="463">
          <cell r="G463">
            <v>8609</v>
          </cell>
          <cell r="O463">
            <v>343.92</v>
          </cell>
        </row>
        <row r="464">
          <cell r="G464">
            <v>8608</v>
          </cell>
          <cell r="O464">
            <v>60.76</v>
          </cell>
        </row>
        <row r="465">
          <cell r="G465">
            <v>8599</v>
          </cell>
          <cell r="O465">
            <v>10677.97</v>
          </cell>
        </row>
        <row r="466">
          <cell r="G466">
            <v>8598</v>
          </cell>
          <cell r="O466">
            <v>6779.66</v>
          </cell>
        </row>
        <row r="467">
          <cell r="G467">
            <v>8595</v>
          </cell>
          <cell r="O467">
            <v>29.24</v>
          </cell>
        </row>
        <row r="468">
          <cell r="G468">
            <v>8584</v>
          </cell>
          <cell r="O468">
            <v>16.38</v>
          </cell>
        </row>
        <row r="469">
          <cell r="G469">
            <v>8583</v>
          </cell>
          <cell r="O469">
            <v>23.73</v>
          </cell>
        </row>
        <row r="470">
          <cell r="G470">
            <v>8582</v>
          </cell>
          <cell r="O470">
            <v>85.43</v>
          </cell>
        </row>
        <row r="471">
          <cell r="G471">
            <v>8581</v>
          </cell>
          <cell r="O471">
            <v>54.34</v>
          </cell>
        </row>
        <row r="472">
          <cell r="G472">
            <v>8580</v>
          </cell>
          <cell r="O472">
            <v>927.48</v>
          </cell>
        </row>
        <row r="473">
          <cell r="G473">
            <v>8579</v>
          </cell>
          <cell r="O473">
            <v>162.71</v>
          </cell>
        </row>
        <row r="474">
          <cell r="G474">
            <v>8578</v>
          </cell>
          <cell r="O474">
            <v>2542.37</v>
          </cell>
        </row>
        <row r="475">
          <cell r="G475">
            <v>8575</v>
          </cell>
          <cell r="O475">
            <v>177.97</v>
          </cell>
        </row>
        <row r="476">
          <cell r="G476">
            <v>8568</v>
          </cell>
          <cell r="O476">
            <v>493.07</v>
          </cell>
        </row>
        <row r="477">
          <cell r="G477">
            <v>8565</v>
          </cell>
          <cell r="O477">
            <v>31.18</v>
          </cell>
        </row>
        <row r="478">
          <cell r="G478">
            <v>8564</v>
          </cell>
          <cell r="O478">
            <v>46.5</v>
          </cell>
        </row>
        <row r="479">
          <cell r="G479">
            <v>8563</v>
          </cell>
          <cell r="O479">
            <v>77.55</v>
          </cell>
        </row>
        <row r="480">
          <cell r="G480">
            <v>8560</v>
          </cell>
          <cell r="O480">
            <v>89.49</v>
          </cell>
        </row>
        <row r="481">
          <cell r="G481">
            <v>8559</v>
          </cell>
          <cell r="O481">
            <v>1.91</v>
          </cell>
        </row>
        <row r="482">
          <cell r="G482">
            <v>8558</v>
          </cell>
          <cell r="O482">
            <v>158.47</v>
          </cell>
        </row>
        <row r="483">
          <cell r="G483">
            <v>8557</v>
          </cell>
          <cell r="O483">
            <v>35673.919999999998</v>
          </cell>
        </row>
        <row r="484">
          <cell r="G484">
            <v>8556</v>
          </cell>
          <cell r="O484">
            <v>11876.58</v>
          </cell>
        </row>
        <row r="485">
          <cell r="G485">
            <v>8555</v>
          </cell>
          <cell r="O485">
            <v>3386.17</v>
          </cell>
        </row>
        <row r="486">
          <cell r="G486">
            <v>8554</v>
          </cell>
          <cell r="O486">
            <v>29.66</v>
          </cell>
        </row>
        <row r="487">
          <cell r="G487">
            <v>8553</v>
          </cell>
          <cell r="O487">
            <v>52.5</v>
          </cell>
        </row>
        <row r="488">
          <cell r="G488">
            <v>8549</v>
          </cell>
          <cell r="O488">
            <v>75875.22</v>
          </cell>
        </row>
        <row r="489">
          <cell r="G489">
            <v>8547</v>
          </cell>
          <cell r="O489">
            <v>30.51</v>
          </cell>
        </row>
        <row r="490">
          <cell r="G490">
            <v>8546</v>
          </cell>
          <cell r="O490">
            <v>3887.52</v>
          </cell>
        </row>
        <row r="491">
          <cell r="G491">
            <v>8545</v>
          </cell>
          <cell r="O491">
            <v>186.35</v>
          </cell>
        </row>
        <row r="492">
          <cell r="G492">
            <v>8544</v>
          </cell>
          <cell r="O492">
            <v>571.01</v>
          </cell>
        </row>
        <row r="493">
          <cell r="G493">
            <v>8542</v>
          </cell>
          <cell r="O493">
            <v>74.06</v>
          </cell>
        </row>
        <row r="494">
          <cell r="G494">
            <v>8541</v>
          </cell>
          <cell r="O494">
            <v>111.86</v>
          </cell>
        </row>
        <row r="495">
          <cell r="G495">
            <v>8539</v>
          </cell>
          <cell r="O495">
            <v>1136.3900000000001</v>
          </cell>
        </row>
        <row r="496">
          <cell r="G496">
            <v>8536</v>
          </cell>
          <cell r="O496">
            <v>1355.93</v>
          </cell>
        </row>
        <row r="497">
          <cell r="G497">
            <v>8533</v>
          </cell>
          <cell r="O497">
            <v>669.49</v>
          </cell>
        </row>
        <row r="498">
          <cell r="G498">
            <v>8530</v>
          </cell>
          <cell r="O498">
            <v>983.05</v>
          </cell>
        </row>
        <row r="499">
          <cell r="G499">
            <v>8528</v>
          </cell>
          <cell r="O499">
            <v>230.93</v>
          </cell>
        </row>
        <row r="500">
          <cell r="G500">
            <v>8523</v>
          </cell>
          <cell r="O500">
            <v>44928.76</v>
          </cell>
        </row>
        <row r="501">
          <cell r="G501">
            <v>8522</v>
          </cell>
          <cell r="O501">
            <v>26040</v>
          </cell>
        </row>
        <row r="502">
          <cell r="G502">
            <v>8520</v>
          </cell>
          <cell r="O502">
            <v>604.63</v>
          </cell>
        </row>
        <row r="503">
          <cell r="G503">
            <v>8518</v>
          </cell>
          <cell r="O503">
            <v>1740.68</v>
          </cell>
        </row>
        <row r="504">
          <cell r="G504">
            <v>8517</v>
          </cell>
          <cell r="O504">
            <v>12313.39</v>
          </cell>
        </row>
        <row r="505">
          <cell r="G505">
            <v>8516</v>
          </cell>
          <cell r="O505">
            <v>4447.79</v>
          </cell>
        </row>
        <row r="506">
          <cell r="G506">
            <v>8515</v>
          </cell>
          <cell r="O506">
            <v>292.04000000000002</v>
          </cell>
        </row>
        <row r="507">
          <cell r="G507">
            <v>8514</v>
          </cell>
          <cell r="O507">
            <v>17640.259999999998</v>
          </cell>
        </row>
        <row r="508">
          <cell r="G508">
            <v>8512</v>
          </cell>
          <cell r="O508">
            <v>35.08</v>
          </cell>
        </row>
        <row r="509">
          <cell r="G509">
            <v>8510</v>
          </cell>
          <cell r="O509">
            <v>108</v>
          </cell>
        </row>
        <row r="510">
          <cell r="G510">
            <v>8509</v>
          </cell>
          <cell r="O510">
            <v>380</v>
          </cell>
        </row>
        <row r="511">
          <cell r="G511">
            <v>8508</v>
          </cell>
          <cell r="O511">
            <v>3528</v>
          </cell>
        </row>
        <row r="512">
          <cell r="G512">
            <v>8507</v>
          </cell>
          <cell r="O512">
            <v>160</v>
          </cell>
        </row>
        <row r="513">
          <cell r="G513">
            <v>8506</v>
          </cell>
          <cell r="O513">
            <v>1665</v>
          </cell>
        </row>
        <row r="514">
          <cell r="G514">
            <v>8505</v>
          </cell>
          <cell r="O514">
            <v>1118.1400000000001</v>
          </cell>
        </row>
        <row r="515">
          <cell r="G515">
            <v>8504</v>
          </cell>
          <cell r="O515">
            <v>16949</v>
          </cell>
        </row>
        <row r="516">
          <cell r="G516">
            <v>8499</v>
          </cell>
          <cell r="O516">
            <v>1330</v>
          </cell>
        </row>
        <row r="517">
          <cell r="G517">
            <v>8498</v>
          </cell>
          <cell r="O517">
            <v>1826</v>
          </cell>
        </row>
        <row r="518">
          <cell r="G518">
            <v>8497</v>
          </cell>
          <cell r="O518">
            <v>105</v>
          </cell>
        </row>
        <row r="519">
          <cell r="G519">
            <v>8496</v>
          </cell>
          <cell r="O519">
            <v>3301.37</v>
          </cell>
        </row>
        <row r="520">
          <cell r="G520">
            <v>8495</v>
          </cell>
          <cell r="O520">
            <v>993.33</v>
          </cell>
        </row>
        <row r="521">
          <cell r="G521">
            <v>8494</v>
          </cell>
          <cell r="O521">
            <v>1120</v>
          </cell>
        </row>
        <row r="522">
          <cell r="G522">
            <v>8490</v>
          </cell>
          <cell r="O522">
            <v>20.34</v>
          </cell>
        </row>
        <row r="523">
          <cell r="G523">
            <v>8486</v>
          </cell>
          <cell r="O523">
            <v>477.28</v>
          </cell>
        </row>
        <row r="524">
          <cell r="G524">
            <v>8485</v>
          </cell>
          <cell r="O524">
            <v>5832.71</v>
          </cell>
        </row>
        <row r="525">
          <cell r="G525">
            <v>8484</v>
          </cell>
          <cell r="O525">
            <v>93.66</v>
          </cell>
        </row>
        <row r="526">
          <cell r="G526">
            <v>8476</v>
          </cell>
          <cell r="O526">
            <v>12.6</v>
          </cell>
        </row>
        <row r="527">
          <cell r="G527">
            <v>8475</v>
          </cell>
          <cell r="O527">
            <v>33.65</v>
          </cell>
        </row>
        <row r="528">
          <cell r="G528">
            <v>8474</v>
          </cell>
          <cell r="O528">
            <v>9.4</v>
          </cell>
        </row>
        <row r="529">
          <cell r="G529">
            <v>8471</v>
          </cell>
          <cell r="O529">
            <v>3000.5</v>
          </cell>
        </row>
        <row r="530">
          <cell r="G530">
            <v>8470</v>
          </cell>
          <cell r="O530">
            <v>332</v>
          </cell>
        </row>
        <row r="531">
          <cell r="G531">
            <v>8464</v>
          </cell>
          <cell r="O531">
            <v>1560</v>
          </cell>
        </row>
        <row r="532">
          <cell r="G532">
            <v>8463</v>
          </cell>
          <cell r="O532">
            <v>70</v>
          </cell>
        </row>
        <row r="533">
          <cell r="G533">
            <v>8459</v>
          </cell>
          <cell r="O533">
            <v>254.24</v>
          </cell>
        </row>
        <row r="534">
          <cell r="G534">
            <v>8458</v>
          </cell>
          <cell r="O534">
            <v>3176.25</v>
          </cell>
        </row>
        <row r="535">
          <cell r="G535">
            <v>8457</v>
          </cell>
          <cell r="O535">
            <v>2429.9899999999998</v>
          </cell>
        </row>
        <row r="536">
          <cell r="G536">
            <v>8456</v>
          </cell>
          <cell r="O536">
            <v>625.65</v>
          </cell>
        </row>
        <row r="537">
          <cell r="G537">
            <v>8455</v>
          </cell>
          <cell r="O537">
            <v>4293.6400000000003</v>
          </cell>
        </row>
        <row r="538">
          <cell r="G538">
            <v>8454</v>
          </cell>
          <cell r="O538">
            <v>170.2</v>
          </cell>
        </row>
        <row r="539">
          <cell r="G539">
            <v>8453</v>
          </cell>
          <cell r="O539">
            <v>57</v>
          </cell>
        </row>
        <row r="540">
          <cell r="G540">
            <v>8452</v>
          </cell>
          <cell r="O540">
            <v>5017.5600000000004</v>
          </cell>
        </row>
        <row r="541">
          <cell r="G541">
            <v>8450</v>
          </cell>
          <cell r="O541">
            <v>127.95</v>
          </cell>
        </row>
        <row r="542">
          <cell r="G542">
            <v>8449</v>
          </cell>
          <cell r="O542">
            <v>9090</v>
          </cell>
        </row>
        <row r="543">
          <cell r="G543">
            <v>8448</v>
          </cell>
          <cell r="O543">
            <v>1625</v>
          </cell>
        </row>
        <row r="544">
          <cell r="G544">
            <v>8444</v>
          </cell>
          <cell r="O544">
            <v>175</v>
          </cell>
        </row>
        <row r="545">
          <cell r="G545">
            <v>8439</v>
          </cell>
          <cell r="O545">
            <v>290.77999999999997</v>
          </cell>
        </row>
        <row r="546">
          <cell r="G546">
            <v>8438</v>
          </cell>
          <cell r="O546">
            <v>457.59</v>
          </cell>
        </row>
        <row r="547">
          <cell r="G547">
            <v>8437</v>
          </cell>
          <cell r="O547">
            <v>7006.49</v>
          </cell>
        </row>
        <row r="548">
          <cell r="G548">
            <v>8436</v>
          </cell>
          <cell r="O548">
            <v>11560</v>
          </cell>
        </row>
        <row r="549">
          <cell r="G549">
            <v>8432</v>
          </cell>
          <cell r="O549">
            <v>261.76</v>
          </cell>
        </row>
        <row r="550">
          <cell r="G550">
            <v>8430</v>
          </cell>
          <cell r="O550">
            <v>5.35</v>
          </cell>
        </row>
        <row r="551">
          <cell r="G551">
            <v>8429</v>
          </cell>
          <cell r="O551">
            <v>57.83</v>
          </cell>
        </row>
        <row r="552">
          <cell r="G552">
            <v>8426</v>
          </cell>
          <cell r="O552">
            <v>342888</v>
          </cell>
        </row>
        <row r="553">
          <cell r="G553">
            <v>8425</v>
          </cell>
          <cell r="O553">
            <v>1525.41</v>
          </cell>
        </row>
        <row r="554">
          <cell r="G554">
            <v>8422</v>
          </cell>
          <cell r="O554">
            <v>25.42</v>
          </cell>
        </row>
        <row r="555">
          <cell r="G555">
            <v>8418</v>
          </cell>
          <cell r="O555">
            <v>18.98</v>
          </cell>
        </row>
        <row r="556">
          <cell r="G556">
            <v>8417</v>
          </cell>
          <cell r="O556">
            <v>1368.29</v>
          </cell>
        </row>
        <row r="557">
          <cell r="G557">
            <v>8414</v>
          </cell>
          <cell r="O557">
            <v>127.12</v>
          </cell>
        </row>
        <row r="558">
          <cell r="G558">
            <v>8413</v>
          </cell>
          <cell r="O558">
            <v>115.25</v>
          </cell>
        </row>
        <row r="559">
          <cell r="G559">
            <v>8412</v>
          </cell>
          <cell r="O559">
            <v>56.13</v>
          </cell>
        </row>
        <row r="560">
          <cell r="G560">
            <v>8411</v>
          </cell>
          <cell r="O560">
            <v>1324.59</v>
          </cell>
        </row>
        <row r="561">
          <cell r="G561">
            <v>8409</v>
          </cell>
          <cell r="O561">
            <v>10.17</v>
          </cell>
        </row>
        <row r="562">
          <cell r="G562">
            <v>8408</v>
          </cell>
          <cell r="O562">
            <v>30.51</v>
          </cell>
        </row>
        <row r="563">
          <cell r="G563">
            <v>8407</v>
          </cell>
          <cell r="O563">
            <v>74.58</v>
          </cell>
        </row>
        <row r="564">
          <cell r="G564">
            <v>8406</v>
          </cell>
          <cell r="O564">
            <v>83.05</v>
          </cell>
        </row>
        <row r="565">
          <cell r="G565">
            <v>8405</v>
          </cell>
          <cell r="O565">
            <v>71.19</v>
          </cell>
        </row>
        <row r="566">
          <cell r="G566">
            <v>8393</v>
          </cell>
          <cell r="O566">
            <v>279.64999999999998</v>
          </cell>
        </row>
        <row r="567">
          <cell r="G567">
            <v>8391</v>
          </cell>
          <cell r="O567">
            <v>23071.82</v>
          </cell>
        </row>
        <row r="568">
          <cell r="G568">
            <v>8390</v>
          </cell>
          <cell r="O568">
            <v>47.46</v>
          </cell>
        </row>
        <row r="569">
          <cell r="G569">
            <v>8382</v>
          </cell>
          <cell r="O569">
            <v>16200</v>
          </cell>
        </row>
        <row r="570">
          <cell r="G570">
            <v>8369</v>
          </cell>
          <cell r="O570">
            <v>19796.740000000002</v>
          </cell>
        </row>
        <row r="571">
          <cell r="G571">
            <v>8368</v>
          </cell>
          <cell r="O571">
            <v>0</v>
          </cell>
        </row>
        <row r="572">
          <cell r="G572">
            <v>8367</v>
          </cell>
          <cell r="O572">
            <v>0</v>
          </cell>
        </row>
        <row r="573">
          <cell r="G573">
            <v>8366</v>
          </cell>
          <cell r="O573">
            <v>4697.45</v>
          </cell>
        </row>
        <row r="574">
          <cell r="G574">
            <v>8363</v>
          </cell>
          <cell r="O574">
            <v>130185.34</v>
          </cell>
        </row>
        <row r="575">
          <cell r="G575">
            <v>8362</v>
          </cell>
          <cell r="O575">
            <v>104.17</v>
          </cell>
        </row>
        <row r="576">
          <cell r="G576">
            <v>8361</v>
          </cell>
          <cell r="O576">
            <v>0</v>
          </cell>
        </row>
        <row r="577">
          <cell r="G577">
            <v>8360</v>
          </cell>
          <cell r="O577">
            <v>0.1</v>
          </cell>
        </row>
        <row r="578">
          <cell r="G578">
            <v>8350</v>
          </cell>
          <cell r="O578">
            <v>2795</v>
          </cell>
        </row>
        <row r="579">
          <cell r="G579">
            <v>8347</v>
          </cell>
          <cell r="O579">
            <v>30176.46</v>
          </cell>
        </row>
        <row r="580">
          <cell r="G580">
            <v>8346</v>
          </cell>
          <cell r="O580">
            <v>5590</v>
          </cell>
        </row>
        <row r="581">
          <cell r="G581">
            <v>8335</v>
          </cell>
          <cell r="O581">
            <v>9264</v>
          </cell>
        </row>
        <row r="582">
          <cell r="G582">
            <v>8334</v>
          </cell>
          <cell r="O582">
            <v>5200</v>
          </cell>
        </row>
        <row r="583">
          <cell r="G583">
            <v>8333</v>
          </cell>
          <cell r="O583">
            <v>3845</v>
          </cell>
        </row>
        <row r="584">
          <cell r="G584">
            <v>8332</v>
          </cell>
          <cell r="O584">
            <v>71652.539999999994</v>
          </cell>
        </row>
        <row r="585">
          <cell r="G585">
            <v>8330</v>
          </cell>
          <cell r="O585">
            <v>20467</v>
          </cell>
        </row>
        <row r="586">
          <cell r="G586">
            <v>8329</v>
          </cell>
          <cell r="O586">
            <v>45200</v>
          </cell>
        </row>
        <row r="587">
          <cell r="G587">
            <v>8328</v>
          </cell>
          <cell r="O587">
            <v>62520</v>
          </cell>
        </row>
        <row r="588">
          <cell r="G588">
            <v>8327</v>
          </cell>
          <cell r="O588">
            <v>13281</v>
          </cell>
        </row>
        <row r="589">
          <cell r="G589">
            <v>8323</v>
          </cell>
          <cell r="O589">
            <v>28462</v>
          </cell>
        </row>
        <row r="590">
          <cell r="G590">
            <v>8322</v>
          </cell>
          <cell r="O590">
            <v>31000</v>
          </cell>
        </row>
        <row r="591">
          <cell r="G591">
            <v>8321</v>
          </cell>
          <cell r="O591">
            <v>20340</v>
          </cell>
        </row>
        <row r="592">
          <cell r="G592">
            <v>8320</v>
          </cell>
          <cell r="O592">
            <v>49452</v>
          </cell>
        </row>
        <row r="593">
          <cell r="G593">
            <v>8319</v>
          </cell>
          <cell r="O593">
            <v>24720</v>
          </cell>
        </row>
        <row r="594">
          <cell r="G594">
            <v>8317</v>
          </cell>
          <cell r="O594">
            <v>0</v>
          </cell>
        </row>
        <row r="595">
          <cell r="G595">
            <v>8308</v>
          </cell>
          <cell r="O595">
            <v>7028.25</v>
          </cell>
        </row>
        <row r="596">
          <cell r="G596">
            <v>8307</v>
          </cell>
          <cell r="O596">
            <v>11816.68</v>
          </cell>
        </row>
        <row r="597">
          <cell r="G597">
            <v>8306</v>
          </cell>
          <cell r="O597">
            <v>10443.26</v>
          </cell>
        </row>
        <row r="598">
          <cell r="G598">
            <v>8303</v>
          </cell>
          <cell r="O598">
            <v>2331.9</v>
          </cell>
        </row>
        <row r="599">
          <cell r="G599">
            <v>8302</v>
          </cell>
          <cell r="O599">
            <v>10901.28</v>
          </cell>
        </row>
        <row r="600">
          <cell r="G600">
            <v>8301</v>
          </cell>
          <cell r="O600">
            <v>13254.24</v>
          </cell>
        </row>
        <row r="601">
          <cell r="G601">
            <v>8300</v>
          </cell>
          <cell r="O601">
            <v>2711.86</v>
          </cell>
        </row>
        <row r="602">
          <cell r="G602">
            <v>8292</v>
          </cell>
          <cell r="O602">
            <v>61.01</v>
          </cell>
        </row>
        <row r="603">
          <cell r="G603">
            <v>8215</v>
          </cell>
          <cell r="O603">
            <v>275.58999999999997</v>
          </cell>
        </row>
        <row r="604">
          <cell r="G604">
            <v>8214</v>
          </cell>
          <cell r="O604">
            <v>254.4</v>
          </cell>
        </row>
        <row r="605">
          <cell r="G605">
            <v>8213</v>
          </cell>
          <cell r="O605">
            <v>466.39</v>
          </cell>
        </row>
        <row r="606">
          <cell r="G606">
            <v>8200</v>
          </cell>
          <cell r="O606">
            <v>1281</v>
          </cell>
        </row>
        <row r="607">
          <cell r="G607">
            <v>8199</v>
          </cell>
          <cell r="O607">
            <v>192</v>
          </cell>
        </row>
        <row r="608">
          <cell r="G608">
            <v>8197</v>
          </cell>
          <cell r="O608">
            <v>180</v>
          </cell>
        </row>
        <row r="609">
          <cell r="G609">
            <v>8196</v>
          </cell>
          <cell r="O609">
            <v>2237.29</v>
          </cell>
        </row>
        <row r="610">
          <cell r="G610">
            <v>8193</v>
          </cell>
          <cell r="O610">
            <v>25.43</v>
          </cell>
        </row>
        <row r="611">
          <cell r="G611">
            <v>8191</v>
          </cell>
          <cell r="O611">
            <v>1184.97</v>
          </cell>
        </row>
        <row r="612">
          <cell r="G612">
            <v>8189</v>
          </cell>
          <cell r="O612">
            <v>4279.66</v>
          </cell>
        </row>
        <row r="613">
          <cell r="G613">
            <v>8186</v>
          </cell>
          <cell r="O613">
            <v>1352.8</v>
          </cell>
        </row>
        <row r="614">
          <cell r="G614">
            <v>8185</v>
          </cell>
          <cell r="O614">
            <v>1.3</v>
          </cell>
        </row>
        <row r="615">
          <cell r="G615">
            <v>8184</v>
          </cell>
          <cell r="O615">
            <v>1.36</v>
          </cell>
        </row>
        <row r="616">
          <cell r="G616">
            <v>8183</v>
          </cell>
          <cell r="O616">
            <v>142.29</v>
          </cell>
        </row>
        <row r="617">
          <cell r="G617">
            <v>8182</v>
          </cell>
          <cell r="O617">
            <v>1093.3900000000001</v>
          </cell>
        </row>
        <row r="618">
          <cell r="G618">
            <v>8181</v>
          </cell>
          <cell r="O618">
            <v>328.65</v>
          </cell>
        </row>
        <row r="619">
          <cell r="G619">
            <v>8179</v>
          </cell>
          <cell r="O619">
            <v>243.39</v>
          </cell>
        </row>
        <row r="620">
          <cell r="G620">
            <v>8178</v>
          </cell>
          <cell r="O620">
            <v>0.97</v>
          </cell>
        </row>
        <row r="621">
          <cell r="G621">
            <v>8177</v>
          </cell>
          <cell r="O621">
            <v>19.05</v>
          </cell>
        </row>
        <row r="622">
          <cell r="G622">
            <v>8176</v>
          </cell>
          <cell r="O622">
            <v>3.32</v>
          </cell>
        </row>
        <row r="623">
          <cell r="G623">
            <v>8175</v>
          </cell>
          <cell r="O623">
            <v>38.15</v>
          </cell>
        </row>
        <row r="624">
          <cell r="G624">
            <v>8174</v>
          </cell>
          <cell r="O624">
            <v>33.9</v>
          </cell>
        </row>
        <row r="625">
          <cell r="G625">
            <v>8173</v>
          </cell>
          <cell r="O625">
            <v>25.41</v>
          </cell>
        </row>
        <row r="626">
          <cell r="G626">
            <v>8172</v>
          </cell>
          <cell r="O626">
            <v>33.9</v>
          </cell>
        </row>
        <row r="627">
          <cell r="G627">
            <v>8168</v>
          </cell>
          <cell r="O627">
            <v>8757.6</v>
          </cell>
        </row>
        <row r="628">
          <cell r="G628">
            <v>8167</v>
          </cell>
          <cell r="O628">
            <v>381.35</v>
          </cell>
        </row>
        <row r="629">
          <cell r="G629">
            <v>8166</v>
          </cell>
          <cell r="O629">
            <v>135.6</v>
          </cell>
        </row>
        <row r="630">
          <cell r="G630">
            <v>8165</v>
          </cell>
          <cell r="O630">
            <v>1046.6099999999999</v>
          </cell>
        </row>
        <row r="631">
          <cell r="G631">
            <v>8164</v>
          </cell>
          <cell r="O631">
            <v>106.09</v>
          </cell>
        </row>
        <row r="632">
          <cell r="G632">
            <v>8163</v>
          </cell>
          <cell r="O632">
            <v>866.13</v>
          </cell>
        </row>
        <row r="633">
          <cell r="G633">
            <v>8162</v>
          </cell>
          <cell r="O633">
            <v>221.32</v>
          </cell>
        </row>
        <row r="634">
          <cell r="G634">
            <v>8160</v>
          </cell>
          <cell r="O634">
            <v>1287.5899999999999</v>
          </cell>
        </row>
        <row r="635">
          <cell r="G635">
            <v>8159</v>
          </cell>
          <cell r="O635">
            <v>1929.22</v>
          </cell>
        </row>
        <row r="636">
          <cell r="G636">
            <v>8158</v>
          </cell>
          <cell r="O636">
            <v>2657.61</v>
          </cell>
        </row>
        <row r="637">
          <cell r="G637">
            <v>8157</v>
          </cell>
          <cell r="O637">
            <v>2154.44</v>
          </cell>
        </row>
        <row r="638">
          <cell r="G638">
            <v>8156</v>
          </cell>
          <cell r="O638">
            <v>4753.5200000000004</v>
          </cell>
        </row>
        <row r="639">
          <cell r="G639">
            <v>8155</v>
          </cell>
          <cell r="O639">
            <v>7557.17</v>
          </cell>
        </row>
        <row r="640">
          <cell r="G640">
            <v>8152</v>
          </cell>
          <cell r="O640">
            <v>4714.29</v>
          </cell>
        </row>
        <row r="641">
          <cell r="G641">
            <v>8151</v>
          </cell>
          <cell r="O641">
            <v>62.22</v>
          </cell>
        </row>
        <row r="642">
          <cell r="G642">
            <v>8150</v>
          </cell>
          <cell r="O642">
            <v>66.489999999999995</v>
          </cell>
        </row>
        <row r="643">
          <cell r="G643">
            <v>8149</v>
          </cell>
          <cell r="O643">
            <v>41.98</v>
          </cell>
        </row>
        <row r="644">
          <cell r="G644">
            <v>8147</v>
          </cell>
          <cell r="O644">
            <v>24.21</v>
          </cell>
        </row>
        <row r="645">
          <cell r="G645">
            <v>8143</v>
          </cell>
          <cell r="O645">
            <v>46.01</v>
          </cell>
        </row>
        <row r="646">
          <cell r="G646">
            <v>8142</v>
          </cell>
          <cell r="O646">
            <v>81.36</v>
          </cell>
        </row>
        <row r="647">
          <cell r="G647">
            <v>8141</v>
          </cell>
          <cell r="O647">
            <v>94.83</v>
          </cell>
        </row>
        <row r="648">
          <cell r="G648">
            <v>8139</v>
          </cell>
          <cell r="O648">
            <v>223.72</v>
          </cell>
        </row>
        <row r="649">
          <cell r="G649">
            <v>8138</v>
          </cell>
          <cell r="O649">
            <v>237.53</v>
          </cell>
        </row>
        <row r="650">
          <cell r="G650">
            <v>8137</v>
          </cell>
          <cell r="O650">
            <v>819.77</v>
          </cell>
        </row>
        <row r="651">
          <cell r="G651">
            <v>8131</v>
          </cell>
          <cell r="O651">
            <v>1983.05</v>
          </cell>
        </row>
        <row r="652">
          <cell r="G652">
            <v>8130</v>
          </cell>
          <cell r="O652">
            <v>10870.07</v>
          </cell>
        </row>
        <row r="653">
          <cell r="G653">
            <v>8128</v>
          </cell>
          <cell r="O653">
            <v>88.92</v>
          </cell>
        </row>
        <row r="654">
          <cell r="G654">
            <v>8126</v>
          </cell>
          <cell r="O654">
            <v>126697.47</v>
          </cell>
        </row>
        <row r="655">
          <cell r="G655">
            <v>8125</v>
          </cell>
          <cell r="O655">
            <v>28530.05</v>
          </cell>
        </row>
        <row r="656">
          <cell r="G656">
            <v>8124</v>
          </cell>
          <cell r="O656">
            <v>211397.77</v>
          </cell>
        </row>
        <row r="657">
          <cell r="G657">
            <v>8118</v>
          </cell>
          <cell r="O657">
            <v>4416.04</v>
          </cell>
        </row>
        <row r="658">
          <cell r="G658">
            <v>8117</v>
          </cell>
          <cell r="O658">
            <v>2118.64</v>
          </cell>
        </row>
        <row r="659">
          <cell r="G659">
            <v>8115</v>
          </cell>
          <cell r="O659">
            <v>15419.79</v>
          </cell>
        </row>
        <row r="660">
          <cell r="G660">
            <v>8111</v>
          </cell>
          <cell r="O660">
            <v>6.15</v>
          </cell>
        </row>
        <row r="661">
          <cell r="G661">
            <v>8108</v>
          </cell>
          <cell r="O661">
            <v>1220.25</v>
          </cell>
        </row>
        <row r="662">
          <cell r="G662">
            <v>8107</v>
          </cell>
          <cell r="O662">
            <v>159.16</v>
          </cell>
        </row>
        <row r="663">
          <cell r="G663">
            <v>8106</v>
          </cell>
          <cell r="O663">
            <v>6216</v>
          </cell>
        </row>
        <row r="664">
          <cell r="G664">
            <v>8105</v>
          </cell>
          <cell r="O664">
            <v>150</v>
          </cell>
        </row>
        <row r="665">
          <cell r="G665">
            <v>8104</v>
          </cell>
          <cell r="O665">
            <v>599.16</v>
          </cell>
        </row>
        <row r="666">
          <cell r="G666">
            <v>8103</v>
          </cell>
          <cell r="O666">
            <v>20</v>
          </cell>
        </row>
        <row r="667">
          <cell r="G667">
            <v>8102</v>
          </cell>
          <cell r="O667">
            <v>8.36</v>
          </cell>
        </row>
        <row r="668">
          <cell r="G668">
            <v>8101</v>
          </cell>
          <cell r="O668">
            <v>6</v>
          </cell>
        </row>
        <row r="669">
          <cell r="G669">
            <v>8100</v>
          </cell>
          <cell r="O669">
            <v>3</v>
          </cell>
        </row>
        <row r="670">
          <cell r="G670">
            <v>8099</v>
          </cell>
          <cell r="O670">
            <v>71.760000000000005</v>
          </cell>
        </row>
        <row r="671">
          <cell r="G671">
            <v>8098</v>
          </cell>
          <cell r="O671">
            <v>288.58</v>
          </cell>
        </row>
        <row r="672">
          <cell r="G672">
            <v>8097</v>
          </cell>
          <cell r="O672">
            <v>1606.15</v>
          </cell>
        </row>
        <row r="673">
          <cell r="G673">
            <v>8096</v>
          </cell>
          <cell r="O673">
            <v>142.34</v>
          </cell>
        </row>
        <row r="674">
          <cell r="G674">
            <v>8095</v>
          </cell>
          <cell r="O674">
            <v>631.25</v>
          </cell>
        </row>
        <row r="675">
          <cell r="G675">
            <v>8094</v>
          </cell>
          <cell r="O675">
            <v>391.38</v>
          </cell>
        </row>
        <row r="676">
          <cell r="G676">
            <v>8093</v>
          </cell>
          <cell r="O676">
            <v>2579.27</v>
          </cell>
        </row>
        <row r="677">
          <cell r="G677">
            <v>8092</v>
          </cell>
          <cell r="O677">
            <v>330</v>
          </cell>
        </row>
        <row r="678">
          <cell r="G678">
            <v>8081</v>
          </cell>
          <cell r="O678">
            <v>4</v>
          </cell>
        </row>
        <row r="679">
          <cell r="G679">
            <v>8080</v>
          </cell>
          <cell r="O679">
            <v>2454.9499999999998</v>
          </cell>
        </row>
        <row r="680">
          <cell r="G680">
            <v>8079</v>
          </cell>
          <cell r="O680">
            <v>456</v>
          </cell>
        </row>
        <row r="681">
          <cell r="G681">
            <v>8078</v>
          </cell>
          <cell r="O681">
            <v>468</v>
          </cell>
        </row>
        <row r="682">
          <cell r="G682">
            <v>8075</v>
          </cell>
          <cell r="O682">
            <v>99198.54</v>
          </cell>
        </row>
        <row r="683">
          <cell r="G683">
            <v>8074</v>
          </cell>
          <cell r="O683">
            <v>7399.07</v>
          </cell>
        </row>
        <row r="684">
          <cell r="G684">
            <v>8072</v>
          </cell>
          <cell r="O684">
            <v>513.29999999999995</v>
          </cell>
        </row>
        <row r="685">
          <cell r="G685">
            <v>8071</v>
          </cell>
          <cell r="O685">
            <v>42535</v>
          </cell>
        </row>
        <row r="686">
          <cell r="G686">
            <v>8054</v>
          </cell>
          <cell r="O686">
            <v>33.9</v>
          </cell>
        </row>
        <row r="687">
          <cell r="G687">
            <v>8048</v>
          </cell>
          <cell r="O687">
            <v>162.26</v>
          </cell>
        </row>
        <row r="688">
          <cell r="G688">
            <v>8046</v>
          </cell>
          <cell r="O688">
            <v>76.27</v>
          </cell>
        </row>
        <row r="689">
          <cell r="G689">
            <v>8043</v>
          </cell>
          <cell r="O689">
            <v>190.67</v>
          </cell>
        </row>
        <row r="690">
          <cell r="G690">
            <v>8042</v>
          </cell>
          <cell r="O690">
            <v>12.74</v>
          </cell>
        </row>
        <row r="691">
          <cell r="G691">
            <v>8039</v>
          </cell>
          <cell r="O691">
            <v>47.32</v>
          </cell>
        </row>
        <row r="692">
          <cell r="G692">
            <v>8038</v>
          </cell>
          <cell r="O692">
            <v>47.46</v>
          </cell>
        </row>
        <row r="693">
          <cell r="G693">
            <v>8037</v>
          </cell>
          <cell r="O693">
            <v>54.24</v>
          </cell>
        </row>
        <row r="694">
          <cell r="G694">
            <v>8036</v>
          </cell>
          <cell r="O694">
            <v>13.56</v>
          </cell>
        </row>
        <row r="695">
          <cell r="G695">
            <v>8033</v>
          </cell>
          <cell r="O695">
            <v>28.39</v>
          </cell>
        </row>
        <row r="696">
          <cell r="G696">
            <v>8032</v>
          </cell>
          <cell r="O696">
            <v>97.22</v>
          </cell>
        </row>
        <row r="697">
          <cell r="G697">
            <v>8023</v>
          </cell>
          <cell r="O697">
            <v>44.07</v>
          </cell>
        </row>
        <row r="698">
          <cell r="G698">
            <v>8022</v>
          </cell>
          <cell r="O698">
            <v>37.29</v>
          </cell>
        </row>
        <row r="699">
          <cell r="G699">
            <v>8018</v>
          </cell>
          <cell r="O699">
            <v>586.44000000000005</v>
          </cell>
        </row>
        <row r="700">
          <cell r="G700">
            <v>8016</v>
          </cell>
          <cell r="O700">
            <v>733.05</v>
          </cell>
        </row>
        <row r="701">
          <cell r="G701">
            <v>8015</v>
          </cell>
          <cell r="O701">
            <v>150</v>
          </cell>
        </row>
        <row r="702">
          <cell r="G702">
            <v>8012</v>
          </cell>
          <cell r="O702">
            <v>150</v>
          </cell>
        </row>
        <row r="703">
          <cell r="G703">
            <v>7996</v>
          </cell>
          <cell r="O703">
            <v>245.76</v>
          </cell>
        </row>
        <row r="704">
          <cell r="G704">
            <v>7995</v>
          </cell>
          <cell r="O704">
            <v>203.39</v>
          </cell>
        </row>
        <row r="705">
          <cell r="G705">
            <v>7983</v>
          </cell>
          <cell r="O705">
            <v>2349.16</v>
          </cell>
        </row>
        <row r="706">
          <cell r="G706">
            <v>7981</v>
          </cell>
          <cell r="O706">
            <v>990.67</v>
          </cell>
        </row>
        <row r="707">
          <cell r="G707">
            <v>7974</v>
          </cell>
          <cell r="O707">
            <v>135.59</v>
          </cell>
        </row>
        <row r="708">
          <cell r="G708">
            <v>7973</v>
          </cell>
          <cell r="O708">
            <v>271.19</v>
          </cell>
        </row>
        <row r="709">
          <cell r="G709">
            <v>7968</v>
          </cell>
          <cell r="O709">
            <v>3432.2</v>
          </cell>
        </row>
        <row r="710">
          <cell r="G710">
            <v>7967</v>
          </cell>
          <cell r="O710">
            <v>194.07</v>
          </cell>
        </row>
        <row r="711">
          <cell r="G711">
            <v>7966</v>
          </cell>
          <cell r="O711">
            <v>582.20000000000005</v>
          </cell>
        </row>
        <row r="712">
          <cell r="G712">
            <v>7963</v>
          </cell>
          <cell r="O712">
            <v>592.38</v>
          </cell>
        </row>
        <row r="713">
          <cell r="G713">
            <v>7962</v>
          </cell>
          <cell r="O713">
            <v>394.92</v>
          </cell>
        </row>
        <row r="714">
          <cell r="G714">
            <v>7961</v>
          </cell>
          <cell r="O714">
            <v>197.46</v>
          </cell>
        </row>
        <row r="715">
          <cell r="G715">
            <v>7960</v>
          </cell>
          <cell r="O715">
            <v>197.46</v>
          </cell>
        </row>
        <row r="716">
          <cell r="G716">
            <v>7959</v>
          </cell>
          <cell r="O716">
            <v>592.37</v>
          </cell>
        </row>
        <row r="717">
          <cell r="G717">
            <v>7949</v>
          </cell>
          <cell r="O717">
            <v>2298.6999999999998</v>
          </cell>
        </row>
        <row r="718">
          <cell r="G718">
            <v>7948</v>
          </cell>
          <cell r="O718">
            <v>85.81</v>
          </cell>
        </row>
        <row r="719">
          <cell r="G719">
            <v>7943</v>
          </cell>
          <cell r="O719">
            <v>80.510000000000005</v>
          </cell>
        </row>
        <row r="720">
          <cell r="G720">
            <v>7930</v>
          </cell>
          <cell r="O720">
            <v>2672.95</v>
          </cell>
        </row>
        <row r="721">
          <cell r="G721">
            <v>7926</v>
          </cell>
          <cell r="O721">
            <v>129.74</v>
          </cell>
        </row>
        <row r="722">
          <cell r="G722">
            <v>7925</v>
          </cell>
          <cell r="O722">
            <v>150.19</v>
          </cell>
        </row>
        <row r="723">
          <cell r="G723">
            <v>7924</v>
          </cell>
          <cell r="O723">
            <v>10.65</v>
          </cell>
        </row>
        <row r="724">
          <cell r="G724">
            <v>7923</v>
          </cell>
          <cell r="O724">
            <v>62.73</v>
          </cell>
        </row>
        <row r="725">
          <cell r="G725">
            <v>7922</v>
          </cell>
          <cell r="O725">
            <v>15.85</v>
          </cell>
        </row>
        <row r="726">
          <cell r="G726">
            <v>7917</v>
          </cell>
          <cell r="O726">
            <v>165.42</v>
          </cell>
        </row>
        <row r="727">
          <cell r="G727">
            <v>7916</v>
          </cell>
          <cell r="O727">
            <v>16.95</v>
          </cell>
        </row>
        <row r="728">
          <cell r="G728">
            <v>7915</v>
          </cell>
          <cell r="O728">
            <v>66.989999999999995</v>
          </cell>
        </row>
        <row r="729">
          <cell r="G729">
            <v>7914</v>
          </cell>
          <cell r="O729">
            <v>120.47</v>
          </cell>
        </row>
        <row r="730">
          <cell r="G730">
            <v>7910</v>
          </cell>
          <cell r="O730">
            <v>14.24</v>
          </cell>
        </row>
        <row r="731">
          <cell r="G731">
            <v>7908</v>
          </cell>
          <cell r="O731">
            <v>925.72</v>
          </cell>
        </row>
        <row r="732">
          <cell r="G732">
            <v>7905</v>
          </cell>
          <cell r="O732">
            <v>700.74</v>
          </cell>
        </row>
        <row r="733">
          <cell r="G733">
            <v>7883</v>
          </cell>
          <cell r="O733">
            <v>200.57</v>
          </cell>
        </row>
        <row r="734">
          <cell r="G734">
            <v>7875</v>
          </cell>
          <cell r="O734">
            <v>671.91</v>
          </cell>
        </row>
        <row r="735">
          <cell r="G735">
            <v>7864</v>
          </cell>
          <cell r="O735">
            <v>4.63</v>
          </cell>
        </row>
        <row r="736">
          <cell r="G736">
            <v>7845</v>
          </cell>
          <cell r="O736">
            <v>3264.14</v>
          </cell>
        </row>
        <row r="737">
          <cell r="G737">
            <v>7844</v>
          </cell>
          <cell r="O737">
            <v>6.78</v>
          </cell>
        </row>
        <row r="738">
          <cell r="G738">
            <v>7842</v>
          </cell>
          <cell r="O738">
            <v>3229.77</v>
          </cell>
        </row>
        <row r="739">
          <cell r="G739">
            <v>7841</v>
          </cell>
          <cell r="O739">
            <v>55.61</v>
          </cell>
        </row>
        <row r="740">
          <cell r="G740">
            <v>7840</v>
          </cell>
          <cell r="O740">
            <v>588</v>
          </cell>
        </row>
        <row r="741">
          <cell r="G741">
            <v>7836</v>
          </cell>
          <cell r="O741">
            <v>230.51</v>
          </cell>
        </row>
        <row r="742">
          <cell r="G742">
            <v>7835</v>
          </cell>
          <cell r="O742">
            <v>45.76</v>
          </cell>
        </row>
        <row r="743">
          <cell r="G743">
            <v>7834</v>
          </cell>
          <cell r="O743">
            <v>11.86</v>
          </cell>
        </row>
        <row r="744">
          <cell r="G744">
            <v>7832</v>
          </cell>
          <cell r="O744">
            <v>7498.14</v>
          </cell>
        </row>
        <row r="745">
          <cell r="G745">
            <v>7830</v>
          </cell>
          <cell r="O745">
            <v>294.82</v>
          </cell>
        </row>
        <row r="746">
          <cell r="G746">
            <v>7826</v>
          </cell>
          <cell r="O746">
            <v>275.42</v>
          </cell>
        </row>
        <row r="747">
          <cell r="G747">
            <v>7824</v>
          </cell>
          <cell r="O747">
            <v>116.7</v>
          </cell>
        </row>
        <row r="748">
          <cell r="G748">
            <v>7821</v>
          </cell>
          <cell r="O748">
            <v>8706.99</v>
          </cell>
        </row>
        <row r="749">
          <cell r="G749">
            <v>7820</v>
          </cell>
          <cell r="O749">
            <v>42.37</v>
          </cell>
        </row>
        <row r="750">
          <cell r="G750">
            <v>7816</v>
          </cell>
          <cell r="O750">
            <v>30.51</v>
          </cell>
        </row>
        <row r="751">
          <cell r="G751">
            <v>7807</v>
          </cell>
          <cell r="O751">
            <v>25.43</v>
          </cell>
        </row>
        <row r="752">
          <cell r="G752">
            <v>7801</v>
          </cell>
          <cell r="O752">
            <v>50.85</v>
          </cell>
        </row>
        <row r="753">
          <cell r="G753">
            <v>7796</v>
          </cell>
          <cell r="O753">
            <v>26.48</v>
          </cell>
        </row>
        <row r="754">
          <cell r="G754">
            <v>7794</v>
          </cell>
          <cell r="O754">
            <v>63.56</v>
          </cell>
        </row>
        <row r="755">
          <cell r="G755">
            <v>7792</v>
          </cell>
          <cell r="O755">
            <v>50.85</v>
          </cell>
        </row>
        <row r="756">
          <cell r="G756">
            <v>7791</v>
          </cell>
          <cell r="O756">
            <v>12.71</v>
          </cell>
        </row>
        <row r="757">
          <cell r="G757">
            <v>7786</v>
          </cell>
          <cell r="O757">
            <v>1128.04</v>
          </cell>
        </row>
        <row r="758">
          <cell r="G758">
            <v>7784</v>
          </cell>
          <cell r="O758">
            <v>148.31</v>
          </cell>
        </row>
        <row r="759">
          <cell r="G759">
            <v>7783</v>
          </cell>
          <cell r="O759">
            <v>355.93</v>
          </cell>
        </row>
        <row r="760">
          <cell r="G760">
            <v>7782</v>
          </cell>
          <cell r="O760">
            <v>138.97999999999999</v>
          </cell>
        </row>
        <row r="761">
          <cell r="G761">
            <v>7781</v>
          </cell>
          <cell r="O761">
            <v>61.02</v>
          </cell>
        </row>
        <row r="762">
          <cell r="G762">
            <v>7780</v>
          </cell>
          <cell r="O762">
            <v>33.9</v>
          </cell>
        </row>
        <row r="763">
          <cell r="G763">
            <v>7778</v>
          </cell>
          <cell r="O763">
            <v>118.64</v>
          </cell>
        </row>
        <row r="764">
          <cell r="G764">
            <v>7775</v>
          </cell>
          <cell r="O764">
            <v>46.61</v>
          </cell>
        </row>
        <row r="765">
          <cell r="G765">
            <v>7774</v>
          </cell>
          <cell r="O765">
            <v>42.37</v>
          </cell>
        </row>
        <row r="766">
          <cell r="G766">
            <v>7773</v>
          </cell>
          <cell r="O766">
            <v>66.099999999999994</v>
          </cell>
        </row>
        <row r="767">
          <cell r="G767">
            <v>7771</v>
          </cell>
          <cell r="O767">
            <v>80.510000000000005</v>
          </cell>
        </row>
        <row r="768">
          <cell r="G768">
            <v>7764</v>
          </cell>
          <cell r="O768">
            <v>109.6</v>
          </cell>
        </row>
        <row r="769">
          <cell r="G769">
            <v>7762</v>
          </cell>
          <cell r="O769">
            <v>29.66</v>
          </cell>
        </row>
        <row r="770">
          <cell r="G770">
            <v>7761</v>
          </cell>
          <cell r="O770">
            <v>326.27</v>
          </cell>
        </row>
        <row r="771">
          <cell r="G771">
            <v>7759</v>
          </cell>
          <cell r="O771">
            <v>33.049999999999997</v>
          </cell>
        </row>
        <row r="772">
          <cell r="G772">
            <v>7753</v>
          </cell>
          <cell r="O772">
            <v>3.05</v>
          </cell>
        </row>
        <row r="773">
          <cell r="G773">
            <v>7752</v>
          </cell>
          <cell r="O773">
            <v>296.61</v>
          </cell>
        </row>
        <row r="774">
          <cell r="G774">
            <v>7751</v>
          </cell>
          <cell r="O774">
            <v>381.36</v>
          </cell>
        </row>
        <row r="775">
          <cell r="G775">
            <v>7750</v>
          </cell>
          <cell r="O775">
            <v>634.03</v>
          </cell>
        </row>
        <row r="776">
          <cell r="G776">
            <v>7747</v>
          </cell>
          <cell r="O776">
            <v>169.49</v>
          </cell>
        </row>
        <row r="777">
          <cell r="G777">
            <v>7746</v>
          </cell>
          <cell r="O777">
            <v>202.19</v>
          </cell>
        </row>
        <row r="778">
          <cell r="G778">
            <v>7744</v>
          </cell>
          <cell r="O778">
            <v>98.31</v>
          </cell>
        </row>
        <row r="779">
          <cell r="G779">
            <v>7742</v>
          </cell>
          <cell r="O779">
            <v>1.22</v>
          </cell>
        </row>
        <row r="780">
          <cell r="G780">
            <v>7741</v>
          </cell>
          <cell r="O780">
            <v>71.69</v>
          </cell>
        </row>
        <row r="781">
          <cell r="G781">
            <v>7740</v>
          </cell>
          <cell r="O781">
            <v>211.44</v>
          </cell>
        </row>
        <row r="782">
          <cell r="G782">
            <v>7739</v>
          </cell>
          <cell r="O782">
            <v>223.73</v>
          </cell>
        </row>
        <row r="783">
          <cell r="G783">
            <v>7738</v>
          </cell>
          <cell r="O783">
            <v>1288.99</v>
          </cell>
        </row>
        <row r="784">
          <cell r="G784">
            <v>7737</v>
          </cell>
          <cell r="O784">
            <v>4049.84</v>
          </cell>
        </row>
        <row r="785">
          <cell r="G785">
            <v>7735</v>
          </cell>
          <cell r="O785">
            <v>109.55</v>
          </cell>
        </row>
        <row r="786">
          <cell r="G786">
            <v>7729</v>
          </cell>
          <cell r="O786">
            <v>13110.17</v>
          </cell>
        </row>
        <row r="787">
          <cell r="G787">
            <v>7725</v>
          </cell>
          <cell r="O787">
            <v>16.95</v>
          </cell>
        </row>
        <row r="788">
          <cell r="G788">
            <v>7723</v>
          </cell>
          <cell r="O788">
            <v>422.36</v>
          </cell>
        </row>
        <row r="789">
          <cell r="G789">
            <v>7711</v>
          </cell>
          <cell r="O789">
            <v>203.38</v>
          </cell>
        </row>
        <row r="790">
          <cell r="G790">
            <v>7708</v>
          </cell>
          <cell r="O790">
            <v>7518.61</v>
          </cell>
        </row>
        <row r="791">
          <cell r="G791">
            <v>7706</v>
          </cell>
          <cell r="O791">
            <v>1818.07</v>
          </cell>
        </row>
        <row r="792">
          <cell r="G792">
            <v>7705</v>
          </cell>
          <cell r="O792">
            <v>122.03</v>
          </cell>
        </row>
        <row r="793">
          <cell r="G793">
            <v>7701</v>
          </cell>
          <cell r="O793">
            <v>269.64</v>
          </cell>
        </row>
        <row r="794">
          <cell r="G794">
            <v>7698</v>
          </cell>
          <cell r="O794">
            <v>17351.689999999999</v>
          </cell>
        </row>
        <row r="795">
          <cell r="G795">
            <v>7689</v>
          </cell>
          <cell r="O795">
            <v>24515.07</v>
          </cell>
        </row>
        <row r="796">
          <cell r="G796">
            <v>7688</v>
          </cell>
          <cell r="O796">
            <v>1954.27</v>
          </cell>
        </row>
        <row r="797">
          <cell r="G797">
            <v>7687</v>
          </cell>
          <cell r="O797">
            <v>71021.960000000006</v>
          </cell>
        </row>
        <row r="798">
          <cell r="G798">
            <v>7680</v>
          </cell>
          <cell r="O798">
            <v>47063.66</v>
          </cell>
        </row>
        <row r="799">
          <cell r="G799">
            <v>7666</v>
          </cell>
          <cell r="O799">
            <v>4583.05</v>
          </cell>
        </row>
        <row r="800">
          <cell r="G800">
            <v>7653</v>
          </cell>
          <cell r="O800">
            <v>781064.26</v>
          </cell>
        </row>
        <row r="801">
          <cell r="G801">
            <v>7652</v>
          </cell>
          <cell r="O801">
            <v>9725.24</v>
          </cell>
        </row>
        <row r="802">
          <cell r="G802">
            <v>7651</v>
          </cell>
          <cell r="O802">
            <v>7688.12</v>
          </cell>
        </row>
        <row r="803">
          <cell r="G803">
            <v>7645</v>
          </cell>
          <cell r="O803">
            <v>3305.08</v>
          </cell>
        </row>
        <row r="804">
          <cell r="G804">
            <v>7633</v>
          </cell>
          <cell r="O804">
            <v>357.25</v>
          </cell>
        </row>
        <row r="805">
          <cell r="G805">
            <v>7631</v>
          </cell>
          <cell r="O805">
            <v>0</v>
          </cell>
        </row>
        <row r="806">
          <cell r="G806">
            <v>7610</v>
          </cell>
          <cell r="O806">
            <v>173.65</v>
          </cell>
        </row>
        <row r="807">
          <cell r="G807">
            <v>7609</v>
          </cell>
          <cell r="O807">
            <v>15.27</v>
          </cell>
        </row>
        <row r="808">
          <cell r="G808">
            <v>7603</v>
          </cell>
          <cell r="O808">
            <v>31457.63</v>
          </cell>
        </row>
        <row r="809">
          <cell r="G809">
            <v>7593</v>
          </cell>
          <cell r="O809">
            <v>13.31</v>
          </cell>
        </row>
        <row r="810">
          <cell r="G810">
            <v>7592</v>
          </cell>
          <cell r="O810">
            <v>25.24</v>
          </cell>
        </row>
        <row r="811">
          <cell r="G811">
            <v>7590</v>
          </cell>
          <cell r="O811">
            <v>66.95</v>
          </cell>
        </row>
        <row r="812">
          <cell r="G812">
            <v>7588</v>
          </cell>
          <cell r="O812">
            <v>13.56</v>
          </cell>
        </row>
        <row r="813">
          <cell r="G813">
            <v>7576</v>
          </cell>
          <cell r="O813">
            <v>18188.59</v>
          </cell>
        </row>
        <row r="814">
          <cell r="G814">
            <v>7567</v>
          </cell>
          <cell r="O814">
            <v>5.08</v>
          </cell>
        </row>
        <row r="815">
          <cell r="G815">
            <v>7560</v>
          </cell>
          <cell r="O815">
            <v>84.25</v>
          </cell>
        </row>
        <row r="816">
          <cell r="G816">
            <v>7556</v>
          </cell>
          <cell r="O816">
            <v>12.71</v>
          </cell>
        </row>
        <row r="817">
          <cell r="G817">
            <v>7540</v>
          </cell>
          <cell r="O817">
            <v>1423.73</v>
          </cell>
        </row>
        <row r="818">
          <cell r="G818">
            <v>7537</v>
          </cell>
          <cell r="O818">
            <v>48.05</v>
          </cell>
        </row>
        <row r="819">
          <cell r="G819">
            <v>7536</v>
          </cell>
          <cell r="O819">
            <v>168</v>
          </cell>
        </row>
        <row r="820">
          <cell r="G820">
            <v>7531</v>
          </cell>
          <cell r="O820">
            <v>3305.08</v>
          </cell>
        </row>
        <row r="821">
          <cell r="G821">
            <v>7526</v>
          </cell>
          <cell r="O821">
            <v>247.46</v>
          </cell>
        </row>
        <row r="822">
          <cell r="G822">
            <v>7521</v>
          </cell>
          <cell r="O822">
            <v>274.57</v>
          </cell>
        </row>
        <row r="823">
          <cell r="G823">
            <v>7516</v>
          </cell>
          <cell r="O823">
            <v>248</v>
          </cell>
        </row>
        <row r="824">
          <cell r="G824">
            <v>7515</v>
          </cell>
          <cell r="O824">
            <v>596.4</v>
          </cell>
        </row>
        <row r="825">
          <cell r="G825">
            <v>7513</v>
          </cell>
          <cell r="O825">
            <v>19772.84</v>
          </cell>
        </row>
        <row r="826">
          <cell r="G826">
            <v>7510</v>
          </cell>
          <cell r="O826">
            <v>4067.8</v>
          </cell>
        </row>
        <row r="827">
          <cell r="G827">
            <v>7509</v>
          </cell>
          <cell r="O827">
            <v>10600</v>
          </cell>
        </row>
        <row r="828">
          <cell r="G828">
            <v>7500</v>
          </cell>
          <cell r="O828">
            <v>52362.69</v>
          </cell>
        </row>
        <row r="829">
          <cell r="G829">
            <v>7497</v>
          </cell>
          <cell r="O829">
            <v>885.59</v>
          </cell>
        </row>
        <row r="830">
          <cell r="G830">
            <v>7495</v>
          </cell>
          <cell r="O830">
            <v>123891.43</v>
          </cell>
        </row>
        <row r="831">
          <cell r="G831">
            <v>7491</v>
          </cell>
          <cell r="O831">
            <v>25.43</v>
          </cell>
        </row>
        <row r="832">
          <cell r="G832">
            <v>7490</v>
          </cell>
          <cell r="O832">
            <v>664.32</v>
          </cell>
        </row>
        <row r="833">
          <cell r="G833">
            <v>7488</v>
          </cell>
          <cell r="O833">
            <v>72.489999999999995</v>
          </cell>
        </row>
        <row r="834">
          <cell r="G834">
            <v>7487</v>
          </cell>
          <cell r="O834">
            <v>0.42</v>
          </cell>
        </row>
        <row r="835">
          <cell r="G835">
            <v>7486</v>
          </cell>
          <cell r="O835">
            <v>160.93</v>
          </cell>
        </row>
        <row r="836">
          <cell r="G836">
            <v>7484</v>
          </cell>
          <cell r="O836">
            <v>48.3</v>
          </cell>
        </row>
        <row r="837">
          <cell r="G837">
            <v>7483</v>
          </cell>
          <cell r="O837">
            <v>97.24</v>
          </cell>
        </row>
        <row r="838">
          <cell r="G838">
            <v>7482</v>
          </cell>
          <cell r="O838">
            <v>163.74</v>
          </cell>
        </row>
        <row r="839">
          <cell r="G839">
            <v>7481</v>
          </cell>
          <cell r="O839">
            <v>172.58</v>
          </cell>
        </row>
        <row r="840">
          <cell r="G840">
            <v>7479</v>
          </cell>
          <cell r="O840">
            <v>140.19</v>
          </cell>
        </row>
        <row r="841">
          <cell r="G841">
            <v>7475</v>
          </cell>
          <cell r="O841">
            <v>860.3</v>
          </cell>
        </row>
        <row r="842">
          <cell r="G842">
            <v>7474</v>
          </cell>
          <cell r="O842">
            <v>1627.12</v>
          </cell>
        </row>
        <row r="843">
          <cell r="G843">
            <v>7473</v>
          </cell>
          <cell r="O843">
            <v>119.2</v>
          </cell>
        </row>
        <row r="844">
          <cell r="G844">
            <v>7470</v>
          </cell>
          <cell r="O844">
            <v>11.86</v>
          </cell>
        </row>
        <row r="845">
          <cell r="G845">
            <v>7467</v>
          </cell>
          <cell r="O845">
            <v>14660.43</v>
          </cell>
        </row>
        <row r="846">
          <cell r="G846">
            <v>7466</v>
          </cell>
          <cell r="O846">
            <v>22319.89</v>
          </cell>
        </row>
        <row r="847">
          <cell r="G847">
            <v>7464</v>
          </cell>
          <cell r="O847">
            <v>149.47</v>
          </cell>
        </row>
        <row r="848">
          <cell r="G848">
            <v>7462</v>
          </cell>
          <cell r="O848">
            <v>386.43</v>
          </cell>
        </row>
        <row r="849">
          <cell r="G849">
            <v>7460</v>
          </cell>
          <cell r="O849">
            <v>932.2</v>
          </cell>
        </row>
        <row r="850">
          <cell r="G850">
            <v>7456</v>
          </cell>
          <cell r="O850">
            <v>1148.0899999999999</v>
          </cell>
        </row>
        <row r="851">
          <cell r="G851">
            <v>7451</v>
          </cell>
          <cell r="O851">
            <v>729.67</v>
          </cell>
        </row>
        <row r="852">
          <cell r="G852">
            <v>7450</v>
          </cell>
          <cell r="O852">
            <v>13220.34</v>
          </cell>
        </row>
        <row r="853">
          <cell r="G853">
            <v>7449</v>
          </cell>
          <cell r="O853">
            <v>244.07</v>
          </cell>
        </row>
        <row r="854">
          <cell r="G854">
            <v>7448</v>
          </cell>
          <cell r="O854">
            <v>296.61</v>
          </cell>
        </row>
        <row r="855">
          <cell r="G855">
            <v>7444</v>
          </cell>
          <cell r="O855">
            <v>5179.78</v>
          </cell>
        </row>
        <row r="856">
          <cell r="G856">
            <v>7443</v>
          </cell>
          <cell r="O856">
            <v>264.41000000000003</v>
          </cell>
        </row>
        <row r="857">
          <cell r="G857">
            <v>7442</v>
          </cell>
          <cell r="O857">
            <v>140.46</v>
          </cell>
        </row>
        <row r="858">
          <cell r="G858">
            <v>7441</v>
          </cell>
          <cell r="O858">
            <v>1680.74</v>
          </cell>
        </row>
        <row r="859">
          <cell r="G859">
            <v>7440</v>
          </cell>
          <cell r="O859">
            <v>14776.3</v>
          </cell>
        </row>
        <row r="860">
          <cell r="G860">
            <v>7439</v>
          </cell>
          <cell r="O860">
            <v>607.62</v>
          </cell>
        </row>
        <row r="861">
          <cell r="G861">
            <v>7438</v>
          </cell>
          <cell r="O861">
            <v>1125.21</v>
          </cell>
        </row>
        <row r="862">
          <cell r="G862">
            <v>7436</v>
          </cell>
          <cell r="O862">
            <v>74.58</v>
          </cell>
        </row>
        <row r="863">
          <cell r="G863">
            <v>7435</v>
          </cell>
          <cell r="O863">
            <v>362.83</v>
          </cell>
        </row>
        <row r="864">
          <cell r="G864">
            <v>7434</v>
          </cell>
          <cell r="O864">
            <v>52478.63</v>
          </cell>
        </row>
        <row r="865">
          <cell r="G865">
            <v>7433</v>
          </cell>
          <cell r="O865">
            <v>11384.96</v>
          </cell>
        </row>
        <row r="866">
          <cell r="G866">
            <v>7430</v>
          </cell>
          <cell r="O866">
            <v>84.75</v>
          </cell>
        </row>
        <row r="867">
          <cell r="G867">
            <v>7429</v>
          </cell>
          <cell r="O867">
            <v>118.64</v>
          </cell>
        </row>
        <row r="868">
          <cell r="G868">
            <v>7426</v>
          </cell>
          <cell r="O868">
            <v>5470.8</v>
          </cell>
        </row>
        <row r="869">
          <cell r="G869">
            <v>7413</v>
          </cell>
          <cell r="O869">
            <v>493.99</v>
          </cell>
        </row>
        <row r="870">
          <cell r="G870">
            <v>7412</v>
          </cell>
          <cell r="O870">
            <v>10.85</v>
          </cell>
        </row>
        <row r="871">
          <cell r="G871">
            <v>7398</v>
          </cell>
          <cell r="O871">
            <v>1220.8</v>
          </cell>
        </row>
        <row r="872">
          <cell r="G872">
            <v>7397</v>
          </cell>
          <cell r="O872">
            <v>1220.8</v>
          </cell>
        </row>
        <row r="873">
          <cell r="G873">
            <v>7322</v>
          </cell>
          <cell r="O873">
            <v>1448.47</v>
          </cell>
        </row>
        <row r="874">
          <cell r="G874">
            <v>7321</v>
          </cell>
          <cell r="O874">
            <v>1448.47</v>
          </cell>
        </row>
        <row r="875">
          <cell r="G875">
            <v>7320</v>
          </cell>
          <cell r="O875">
            <v>1448.47</v>
          </cell>
        </row>
        <row r="876">
          <cell r="G876">
            <v>7307</v>
          </cell>
          <cell r="O876">
            <v>427.6</v>
          </cell>
        </row>
        <row r="877">
          <cell r="G877">
            <v>7306</v>
          </cell>
          <cell r="O877">
            <v>427.6</v>
          </cell>
        </row>
        <row r="878">
          <cell r="G878">
            <v>7291</v>
          </cell>
          <cell r="O878">
            <v>3718.04</v>
          </cell>
        </row>
        <row r="879">
          <cell r="G879">
            <v>7278</v>
          </cell>
          <cell r="O879">
            <v>230</v>
          </cell>
        </row>
        <row r="880">
          <cell r="G880">
            <v>7187</v>
          </cell>
          <cell r="O880">
            <v>489</v>
          </cell>
        </row>
        <row r="881">
          <cell r="G881">
            <v>7093</v>
          </cell>
          <cell r="O881">
            <v>200</v>
          </cell>
        </row>
        <row r="882">
          <cell r="G882">
            <v>7092</v>
          </cell>
          <cell r="O882">
            <v>200</v>
          </cell>
        </row>
        <row r="883">
          <cell r="G883">
            <v>7091</v>
          </cell>
          <cell r="O883">
            <v>200</v>
          </cell>
        </row>
        <row r="884">
          <cell r="G884">
            <v>7090</v>
          </cell>
          <cell r="O884">
            <v>200</v>
          </cell>
        </row>
        <row r="885">
          <cell r="G885">
            <v>7089</v>
          </cell>
          <cell r="O885">
            <v>250</v>
          </cell>
        </row>
        <row r="886">
          <cell r="G886">
            <v>7088</v>
          </cell>
          <cell r="O886">
            <v>250</v>
          </cell>
        </row>
        <row r="887">
          <cell r="G887">
            <v>7087</v>
          </cell>
          <cell r="O887">
            <v>250</v>
          </cell>
        </row>
        <row r="888">
          <cell r="G888">
            <v>7086</v>
          </cell>
          <cell r="O888">
            <v>250</v>
          </cell>
        </row>
        <row r="889">
          <cell r="G889">
            <v>7085</v>
          </cell>
          <cell r="O889">
            <v>250</v>
          </cell>
        </row>
        <row r="890">
          <cell r="G890">
            <v>6964</v>
          </cell>
          <cell r="O890">
            <v>1245.75</v>
          </cell>
        </row>
        <row r="891">
          <cell r="G891">
            <v>6962</v>
          </cell>
          <cell r="O891">
            <v>847.46</v>
          </cell>
        </row>
        <row r="892">
          <cell r="G892">
            <v>6960</v>
          </cell>
          <cell r="O892">
            <v>711.86</v>
          </cell>
        </row>
        <row r="893">
          <cell r="G893">
            <v>6954</v>
          </cell>
          <cell r="O893">
            <v>203.38</v>
          </cell>
        </row>
        <row r="894">
          <cell r="G894">
            <v>6952</v>
          </cell>
          <cell r="O894">
            <v>3883.24</v>
          </cell>
        </row>
        <row r="895">
          <cell r="G895">
            <v>6951</v>
          </cell>
          <cell r="O895">
            <v>23.73</v>
          </cell>
        </row>
        <row r="896">
          <cell r="G896">
            <v>6899</v>
          </cell>
          <cell r="O896">
            <v>483.05</v>
          </cell>
        </row>
        <row r="897">
          <cell r="G897">
            <v>6892</v>
          </cell>
          <cell r="O897">
            <v>6101.68</v>
          </cell>
        </row>
        <row r="898">
          <cell r="G898">
            <v>6885</v>
          </cell>
          <cell r="O898">
            <v>830.08</v>
          </cell>
        </row>
        <row r="899">
          <cell r="G899">
            <v>6883</v>
          </cell>
          <cell r="O899">
            <v>17.5</v>
          </cell>
        </row>
        <row r="900">
          <cell r="G900">
            <v>6882</v>
          </cell>
          <cell r="O900">
            <v>6335.57</v>
          </cell>
        </row>
        <row r="901">
          <cell r="G901">
            <v>6881</v>
          </cell>
          <cell r="O901">
            <v>152.54</v>
          </cell>
        </row>
        <row r="902">
          <cell r="G902">
            <v>6878</v>
          </cell>
          <cell r="O902">
            <v>571.41999999999996</v>
          </cell>
        </row>
        <row r="903">
          <cell r="G903">
            <v>6876</v>
          </cell>
          <cell r="O903">
            <v>16558.82</v>
          </cell>
        </row>
        <row r="904">
          <cell r="G904">
            <v>6871</v>
          </cell>
          <cell r="O904">
            <v>2622.04</v>
          </cell>
        </row>
        <row r="905">
          <cell r="G905">
            <v>6870</v>
          </cell>
          <cell r="O905">
            <v>2265.27</v>
          </cell>
        </row>
        <row r="906">
          <cell r="G906">
            <v>6868</v>
          </cell>
          <cell r="O906">
            <v>932.2</v>
          </cell>
        </row>
        <row r="907">
          <cell r="G907">
            <v>6866</v>
          </cell>
          <cell r="O907">
            <v>392.79</v>
          </cell>
        </row>
        <row r="908">
          <cell r="G908">
            <v>6838</v>
          </cell>
          <cell r="O908">
            <v>67.8</v>
          </cell>
        </row>
        <row r="909">
          <cell r="G909">
            <v>6659</v>
          </cell>
          <cell r="O909">
            <v>164.41</v>
          </cell>
        </row>
        <row r="910">
          <cell r="G910">
            <v>6650</v>
          </cell>
          <cell r="O910">
            <v>25083.19</v>
          </cell>
        </row>
        <row r="911">
          <cell r="G911">
            <v>6647</v>
          </cell>
          <cell r="O911">
            <v>25.93</v>
          </cell>
        </row>
        <row r="912">
          <cell r="G912">
            <v>6646</v>
          </cell>
          <cell r="O912">
            <v>3616.64</v>
          </cell>
        </row>
        <row r="913">
          <cell r="G913">
            <v>6638</v>
          </cell>
          <cell r="O913">
            <v>10785.38</v>
          </cell>
        </row>
        <row r="914">
          <cell r="G914">
            <v>6637</v>
          </cell>
          <cell r="O914">
            <v>24538.67</v>
          </cell>
        </row>
        <row r="915">
          <cell r="G915">
            <v>6633</v>
          </cell>
          <cell r="O915">
            <v>27.12</v>
          </cell>
        </row>
        <row r="916">
          <cell r="G916">
            <v>6631</v>
          </cell>
          <cell r="O916">
            <v>37.29</v>
          </cell>
        </row>
        <row r="917">
          <cell r="G917">
            <v>6630</v>
          </cell>
          <cell r="O917">
            <v>29.66</v>
          </cell>
        </row>
        <row r="918">
          <cell r="G918">
            <v>6629</v>
          </cell>
          <cell r="O918">
            <v>67.8</v>
          </cell>
        </row>
        <row r="919">
          <cell r="G919">
            <v>6627</v>
          </cell>
          <cell r="O919">
            <v>57.63</v>
          </cell>
        </row>
        <row r="920">
          <cell r="G920">
            <v>6626</v>
          </cell>
          <cell r="O920">
            <v>251.38</v>
          </cell>
        </row>
        <row r="921">
          <cell r="G921">
            <v>6622</v>
          </cell>
          <cell r="O921">
            <v>39.76</v>
          </cell>
        </row>
        <row r="922">
          <cell r="G922">
            <v>6621</v>
          </cell>
          <cell r="O922">
            <v>489.36</v>
          </cell>
        </row>
        <row r="923">
          <cell r="G923">
            <v>6619</v>
          </cell>
          <cell r="O923">
            <v>56.27</v>
          </cell>
        </row>
        <row r="924">
          <cell r="G924">
            <v>6617</v>
          </cell>
          <cell r="O924">
            <v>77.290000000000006</v>
          </cell>
        </row>
        <row r="925">
          <cell r="G925">
            <v>6615</v>
          </cell>
          <cell r="O925">
            <v>1129.94</v>
          </cell>
        </row>
        <row r="926">
          <cell r="G926">
            <v>6613</v>
          </cell>
          <cell r="O926">
            <v>25</v>
          </cell>
        </row>
        <row r="927">
          <cell r="G927">
            <v>6611</v>
          </cell>
          <cell r="O927">
            <v>720.34</v>
          </cell>
        </row>
        <row r="928">
          <cell r="G928">
            <v>6602</v>
          </cell>
          <cell r="O928">
            <v>3754.49</v>
          </cell>
        </row>
        <row r="929">
          <cell r="G929">
            <v>6601</v>
          </cell>
          <cell r="O929">
            <v>2796.04</v>
          </cell>
        </row>
        <row r="930">
          <cell r="G930">
            <v>6599</v>
          </cell>
          <cell r="O930">
            <v>994.83</v>
          </cell>
        </row>
        <row r="931">
          <cell r="G931">
            <v>6598</v>
          </cell>
          <cell r="O931">
            <v>7101.3</v>
          </cell>
        </row>
        <row r="932">
          <cell r="G932">
            <v>6596</v>
          </cell>
          <cell r="O932">
            <v>258.48</v>
          </cell>
        </row>
        <row r="933">
          <cell r="G933">
            <v>6593</v>
          </cell>
          <cell r="O933">
            <v>110.16</v>
          </cell>
        </row>
        <row r="934">
          <cell r="G934">
            <v>6592</v>
          </cell>
          <cell r="O934">
            <v>6.78</v>
          </cell>
        </row>
        <row r="935">
          <cell r="G935">
            <v>6583</v>
          </cell>
          <cell r="O935">
            <v>118.64</v>
          </cell>
        </row>
        <row r="936">
          <cell r="G936">
            <v>6579</v>
          </cell>
          <cell r="O936">
            <v>2234.63</v>
          </cell>
        </row>
        <row r="937">
          <cell r="G937">
            <v>6578</v>
          </cell>
          <cell r="O937">
            <v>67.930000000000007</v>
          </cell>
        </row>
        <row r="938">
          <cell r="G938">
            <v>6577</v>
          </cell>
          <cell r="O938">
            <v>17.8</v>
          </cell>
        </row>
        <row r="939">
          <cell r="G939">
            <v>6572</v>
          </cell>
          <cell r="O939">
            <v>36.68</v>
          </cell>
        </row>
        <row r="940">
          <cell r="G940">
            <v>6571</v>
          </cell>
          <cell r="O940">
            <v>11</v>
          </cell>
        </row>
        <row r="941">
          <cell r="G941">
            <v>6566</v>
          </cell>
          <cell r="O941">
            <v>448.03</v>
          </cell>
        </row>
        <row r="942">
          <cell r="G942">
            <v>6556</v>
          </cell>
          <cell r="O942">
            <v>38.92</v>
          </cell>
        </row>
        <row r="943">
          <cell r="G943">
            <v>6554</v>
          </cell>
          <cell r="O943">
            <v>115.01</v>
          </cell>
        </row>
        <row r="944">
          <cell r="G944">
            <v>6549</v>
          </cell>
          <cell r="O944">
            <v>38.14</v>
          </cell>
        </row>
        <row r="945">
          <cell r="G945">
            <v>6548</v>
          </cell>
          <cell r="O945">
            <v>15.51</v>
          </cell>
        </row>
        <row r="946">
          <cell r="G946">
            <v>6546</v>
          </cell>
          <cell r="O946">
            <v>401.81</v>
          </cell>
        </row>
        <row r="947">
          <cell r="G947">
            <v>6545</v>
          </cell>
          <cell r="O947">
            <v>272.04000000000002</v>
          </cell>
        </row>
        <row r="948">
          <cell r="G948">
            <v>6544</v>
          </cell>
          <cell r="O948">
            <v>280.82</v>
          </cell>
        </row>
        <row r="949">
          <cell r="G949">
            <v>6542</v>
          </cell>
          <cell r="O949">
            <v>14.83</v>
          </cell>
        </row>
        <row r="950">
          <cell r="G950">
            <v>6541</v>
          </cell>
          <cell r="O950">
            <v>18.420000000000002</v>
          </cell>
        </row>
        <row r="951">
          <cell r="G951">
            <v>6540</v>
          </cell>
          <cell r="O951">
            <v>88.98</v>
          </cell>
        </row>
        <row r="952">
          <cell r="G952">
            <v>6537</v>
          </cell>
          <cell r="O952">
            <v>42.37</v>
          </cell>
        </row>
        <row r="953">
          <cell r="G953">
            <v>6536</v>
          </cell>
          <cell r="O953">
            <v>1169.5</v>
          </cell>
        </row>
        <row r="954">
          <cell r="G954">
            <v>6535</v>
          </cell>
          <cell r="O954">
            <v>177.96</v>
          </cell>
        </row>
        <row r="955">
          <cell r="G955">
            <v>6534</v>
          </cell>
          <cell r="O955">
            <v>34.75</v>
          </cell>
        </row>
        <row r="956">
          <cell r="G956">
            <v>6532</v>
          </cell>
          <cell r="O956">
            <v>13.56</v>
          </cell>
        </row>
        <row r="957">
          <cell r="G957">
            <v>6530</v>
          </cell>
          <cell r="O957">
            <v>4.66</v>
          </cell>
        </row>
        <row r="958">
          <cell r="G958">
            <v>6529</v>
          </cell>
          <cell r="O958">
            <v>22.03</v>
          </cell>
        </row>
        <row r="959">
          <cell r="G959">
            <v>6527</v>
          </cell>
          <cell r="O959">
            <v>35.590000000000003</v>
          </cell>
        </row>
        <row r="960">
          <cell r="G960">
            <v>6526</v>
          </cell>
          <cell r="O960">
            <v>29.66</v>
          </cell>
        </row>
        <row r="961">
          <cell r="G961">
            <v>6524</v>
          </cell>
          <cell r="O961">
            <v>47.46</v>
          </cell>
        </row>
        <row r="962">
          <cell r="G962">
            <v>6522</v>
          </cell>
          <cell r="O962">
            <v>263.52</v>
          </cell>
        </row>
        <row r="963">
          <cell r="G963">
            <v>6521</v>
          </cell>
          <cell r="O963">
            <v>108.04</v>
          </cell>
        </row>
        <row r="964">
          <cell r="G964">
            <v>6520</v>
          </cell>
          <cell r="O964">
            <v>193.16</v>
          </cell>
        </row>
        <row r="965">
          <cell r="G965">
            <v>6518</v>
          </cell>
          <cell r="O965">
            <v>192.54</v>
          </cell>
        </row>
        <row r="966">
          <cell r="G966">
            <v>6515</v>
          </cell>
          <cell r="O966">
            <v>652.54</v>
          </cell>
        </row>
        <row r="967">
          <cell r="G967">
            <v>6505</v>
          </cell>
          <cell r="O967">
            <v>20.64</v>
          </cell>
        </row>
        <row r="968">
          <cell r="G968">
            <v>6503</v>
          </cell>
          <cell r="O968">
            <v>50.85</v>
          </cell>
        </row>
        <row r="969">
          <cell r="G969">
            <v>6500</v>
          </cell>
          <cell r="O969">
            <v>5537.9</v>
          </cell>
        </row>
        <row r="970">
          <cell r="G970">
            <v>6483</v>
          </cell>
          <cell r="O970">
            <v>3</v>
          </cell>
        </row>
        <row r="971">
          <cell r="G971">
            <v>6480</v>
          </cell>
          <cell r="O971">
            <v>0.38</v>
          </cell>
        </row>
        <row r="972">
          <cell r="G972">
            <v>6477</v>
          </cell>
          <cell r="O972">
            <v>425.06</v>
          </cell>
        </row>
        <row r="973">
          <cell r="G973">
            <v>6476</v>
          </cell>
          <cell r="O973">
            <v>189.02</v>
          </cell>
        </row>
        <row r="974">
          <cell r="G974">
            <v>6457</v>
          </cell>
          <cell r="O974">
            <v>4573.12</v>
          </cell>
        </row>
        <row r="975">
          <cell r="G975">
            <v>6456</v>
          </cell>
          <cell r="O975">
            <v>2158.19</v>
          </cell>
        </row>
        <row r="976">
          <cell r="G976">
            <v>6455</v>
          </cell>
          <cell r="O976">
            <v>12.71</v>
          </cell>
        </row>
        <row r="977">
          <cell r="G977">
            <v>6454</v>
          </cell>
          <cell r="O977">
            <v>10341.75</v>
          </cell>
        </row>
        <row r="978">
          <cell r="G978">
            <v>6453</v>
          </cell>
          <cell r="O978">
            <v>49.98</v>
          </cell>
        </row>
        <row r="979">
          <cell r="G979">
            <v>6452</v>
          </cell>
          <cell r="O979">
            <v>68.22</v>
          </cell>
        </row>
        <row r="980">
          <cell r="G980">
            <v>6451</v>
          </cell>
          <cell r="O980">
            <v>16.52</v>
          </cell>
        </row>
        <row r="981">
          <cell r="G981">
            <v>6448</v>
          </cell>
          <cell r="O981">
            <v>19.79</v>
          </cell>
        </row>
        <row r="982">
          <cell r="G982">
            <v>6441</v>
          </cell>
          <cell r="O982">
            <v>101.69</v>
          </cell>
        </row>
        <row r="983">
          <cell r="G983">
            <v>6436</v>
          </cell>
          <cell r="O983">
            <v>81.99</v>
          </cell>
        </row>
        <row r="984">
          <cell r="G984">
            <v>6433</v>
          </cell>
          <cell r="O984">
            <v>59.32</v>
          </cell>
        </row>
        <row r="985">
          <cell r="G985">
            <v>6432</v>
          </cell>
          <cell r="O985">
            <v>7.29</v>
          </cell>
        </row>
        <row r="986">
          <cell r="G986">
            <v>6425</v>
          </cell>
          <cell r="O986">
            <v>1211.8599999999999</v>
          </cell>
        </row>
        <row r="987">
          <cell r="G987">
            <v>6424</v>
          </cell>
          <cell r="O987">
            <v>400.62</v>
          </cell>
        </row>
        <row r="988">
          <cell r="G988">
            <v>6422</v>
          </cell>
          <cell r="O988">
            <v>343.99</v>
          </cell>
        </row>
        <row r="989">
          <cell r="G989">
            <v>6421</v>
          </cell>
          <cell r="O989">
            <v>4582.53</v>
          </cell>
        </row>
        <row r="990">
          <cell r="G990">
            <v>6418</v>
          </cell>
          <cell r="O990">
            <v>322.88</v>
          </cell>
        </row>
        <row r="991">
          <cell r="G991">
            <v>6416</v>
          </cell>
          <cell r="O991">
            <v>54.8</v>
          </cell>
        </row>
        <row r="992">
          <cell r="G992">
            <v>6415</v>
          </cell>
          <cell r="O992">
            <v>439.92</v>
          </cell>
        </row>
        <row r="993">
          <cell r="G993">
            <v>6413</v>
          </cell>
          <cell r="O993">
            <v>547.49</v>
          </cell>
        </row>
        <row r="994">
          <cell r="G994">
            <v>6409</v>
          </cell>
          <cell r="O994">
            <v>110.59</v>
          </cell>
        </row>
        <row r="995">
          <cell r="G995">
            <v>6408</v>
          </cell>
          <cell r="O995">
            <v>16.52</v>
          </cell>
        </row>
        <row r="996">
          <cell r="G996">
            <v>6406</v>
          </cell>
          <cell r="O996">
            <v>35.590000000000003</v>
          </cell>
        </row>
        <row r="997">
          <cell r="G997">
            <v>6404</v>
          </cell>
          <cell r="O997">
            <v>74.180000000000007</v>
          </cell>
        </row>
        <row r="998">
          <cell r="G998">
            <v>6402</v>
          </cell>
          <cell r="O998">
            <v>414.65</v>
          </cell>
        </row>
        <row r="999">
          <cell r="G999">
            <v>6400</v>
          </cell>
          <cell r="O999">
            <v>84.75</v>
          </cell>
        </row>
        <row r="1000">
          <cell r="G1000">
            <v>6397</v>
          </cell>
          <cell r="O1000">
            <v>11.86</v>
          </cell>
        </row>
        <row r="1001">
          <cell r="G1001">
            <v>6396</v>
          </cell>
          <cell r="O1001">
            <v>520.33000000000004</v>
          </cell>
        </row>
        <row r="1002">
          <cell r="G1002">
            <v>6395</v>
          </cell>
          <cell r="O1002">
            <v>101.69</v>
          </cell>
        </row>
        <row r="1003">
          <cell r="G1003">
            <v>6374</v>
          </cell>
          <cell r="O1003">
            <v>208.8</v>
          </cell>
        </row>
        <row r="1004">
          <cell r="G1004">
            <v>6367</v>
          </cell>
          <cell r="O1004">
            <v>62.56</v>
          </cell>
        </row>
        <row r="1005">
          <cell r="G1005">
            <v>6361</v>
          </cell>
          <cell r="O1005">
            <v>1001.34</v>
          </cell>
        </row>
        <row r="1006">
          <cell r="G1006">
            <v>6353</v>
          </cell>
          <cell r="O1006">
            <v>651.29</v>
          </cell>
        </row>
        <row r="1007">
          <cell r="G1007">
            <v>6340</v>
          </cell>
          <cell r="O1007">
            <v>564.9</v>
          </cell>
        </row>
        <row r="1008">
          <cell r="G1008">
            <v>6335</v>
          </cell>
          <cell r="O1008">
            <v>345.41</v>
          </cell>
        </row>
        <row r="1009">
          <cell r="G1009">
            <v>6331</v>
          </cell>
          <cell r="O1009">
            <v>572.97</v>
          </cell>
        </row>
        <row r="1010">
          <cell r="G1010">
            <v>6324</v>
          </cell>
          <cell r="O1010">
            <v>55.08</v>
          </cell>
        </row>
        <row r="1011">
          <cell r="G1011">
            <v>6323</v>
          </cell>
          <cell r="O1011">
            <v>25.24</v>
          </cell>
        </row>
        <row r="1012">
          <cell r="G1012">
            <v>6322</v>
          </cell>
          <cell r="O1012">
            <v>74.58</v>
          </cell>
        </row>
        <row r="1013">
          <cell r="G1013">
            <v>6313</v>
          </cell>
          <cell r="O1013">
            <v>483.05</v>
          </cell>
        </row>
        <row r="1014">
          <cell r="G1014">
            <v>6308</v>
          </cell>
          <cell r="O1014">
            <v>156.57</v>
          </cell>
        </row>
        <row r="1015">
          <cell r="G1015">
            <v>6305</v>
          </cell>
          <cell r="O1015">
            <v>6.11</v>
          </cell>
        </row>
        <row r="1016">
          <cell r="G1016">
            <v>6304</v>
          </cell>
          <cell r="O1016">
            <v>2057.38</v>
          </cell>
        </row>
        <row r="1017">
          <cell r="G1017">
            <v>6297</v>
          </cell>
          <cell r="O1017">
            <v>14506.22</v>
          </cell>
        </row>
        <row r="1018">
          <cell r="G1018">
            <v>6296</v>
          </cell>
          <cell r="O1018">
            <v>35.61</v>
          </cell>
        </row>
        <row r="1019">
          <cell r="G1019">
            <v>6294</v>
          </cell>
          <cell r="O1019">
            <v>239.31</v>
          </cell>
        </row>
        <row r="1020">
          <cell r="G1020">
            <v>6293</v>
          </cell>
          <cell r="O1020">
            <v>567893.88</v>
          </cell>
        </row>
        <row r="1021">
          <cell r="G1021">
            <v>6287</v>
          </cell>
          <cell r="O1021">
            <v>33.89</v>
          </cell>
        </row>
        <row r="1022">
          <cell r="G1022">
            <v>6286</v>
          </cell>
          <cell r="O1022">
            <v>1271.18</v>
          </cell>
        </row>
        <row r="1023">
          <cell r="G1023">
            <v>6285</v>
          </cell>
          <cell r="O1023">
            <v>58.47</v>
          </cell>
        </row>
        <row r="1024">
          <cell r="G1024">
            <v>6274</v>
          </cell>
          <cell r="O1024">
            <v>197.04</v>
          </cell>
        </row>
        <row r="1025">
          <cell r="G1025">
            <v>6272</v>
          </cell>
          <cell r="O1025">
            <v>2112.12</v>
          </cell>
        </row>
        <row r="1026">
          <cell r="G1026">
            <v>6269</v>
          </cell>
          <cell r="O1026">
            <v>1148.48</v>
          </cell>
        </row>
        <row r="1027">
          <cell r="G1027">
            <v>6259</v>
          </cell>
          <cell r="O1027">
            <v>25.82</v>
          </cell>
        </row>
        <row r="1028">
          <cell r="G1028">
            <v>6258</v>
          </cell>
          <cell r="O1028">
            <v>165.96</v>
          </cell>
        </row>
        <row r="1029">
          <cell r="G1029">
            <v>6250</v>
          </cell>
          <cell r="O1029">
            <v>23.81</v>
          </cell>
        </row>
        <row r="1030">
          <cell r="G1030">
            <v>6240</v>
          </cell>
          <cell r="O1030">
            <v>15.92</v>
          </cell>
        </row>
        <row r="1031">
          <cell r="G1031">
            <v>6236</v>
          </cell>
          <cell r="O1031">
            <v>37.35</v>
          </cell>
        </row>
        <row r="1032">
          <cell r="G1032">
            <v>6235</v>
          </cell>
          <cell r="O1032">
            <v>843.95</v>
          </cell>
        </row>
        <row r="1033">
          <cell r="G1033">
            <v>6234</v>
          </cell>
          <cell r="O1033">
            <v>93.38</v>
          </cell>
        </row>
        <row r="1034">
          <cell r="G1034">
            <v>6232</v>
          </cell>
          <cell r="O1034">
            <v>235.6</v>
          </cell>
        </row>
        <row r="1035">
          <cell r="G1035">
            <v>6227</v>
          </cell>
          <cell r="O1035">
            <v>255.05</v>
          </cell>
        </row>
        <row r="1036">
          <cell r="G1036">
            <v>6226</v>
          </cell>
          <cell r="O1036">
            <v>217.04</v>
          </cell>
        </row>
        <row r="1037">
          <cell r="G1037">
            <v>6225</v>
          </cell>
          <cell r="O1037">
            <v>7517.95</v>
          </cell>
        </row>
        <row r="1038">
          <cell r="G1038">
            <v>6224</v>
          </cell>
          <cell r="O1038">
            <v>19445.900000000001</v>
          </cell>
        </row>
        <row r="1039">
          <cell r="G1039">
            <v>6223</v>
          </cell>
          <cell r="O1039">
            <v>1305.08</v>
          </cell>
        </row>
        <row r="1040">
          <cell r="G1040">
            <v>6222</v>
          </cell>
          <cell r="O1040">
            <v>579.5</v>
          </cell>
        </row>
        <row r="1041">
          <cell r="G1041">
            <v>6221</v>
          </cell>
          <cell r="O1041">
            <v>1740.77</v>
          </cell>
        </row>
        <row r="1042">
          <cell r="G1042">
            <v>6219</v>
          </cell>
          <cell r="O1042">
            <v>2195.75</v>
          </cell>
        </row>
        <row r="1043">
          <cell r="G1043">
            <v>6210</v>
          </cell>
          <cell r="O1043">
            <v>44.04</v>
          </cell>
        </row>
        <row r="1044">
          <cell r="G1044">
            <v>6209</v>
          </cell>
          <cell r="O1044">
            <v>2616.11</v>
          </cell>
        </row>
        <row r="1045">
          <cell r="G1045">
            <v>6205</v>
          </cell>
          <cell r="O1045">
            <v>10.55</v>
          </cell>
        </row>
        <row r="1046">
          <cell r="G1046">
            <v>6202</v>
          </cell>
          <cell r="O1046">
            <v>17.8</v>
          </cell>
        </row>
        <row r="1047">
          <cell r="G1047">
            <v>6193</v>
          </cell>
          <cell r="O1047">
            <v>264.52999999999997</v>
          </cell>
        </row>
        <row r="1048">
          <cell r="G1048">
            <v>6191</v>
          </cell>
          <cell r="O1048">
            <v>100.8</v>
          </cell>
        </row>
        <row r="1049">
          <cell r="G1049">
            <v>6190</v>
          </cell>
          <cell r="O1049">
            <v>29.77</v>
          </cell>
        </row>
        <row r="1050">
          <cell r="G1050">
            <v>6186</v>
          </cell>
          <cell r="O1050">
            <v>210.45</v>
          </cell>
        </row>
        <row r="1051">
          <cell r="G1051">
            <v>6184</v>
          </cell>
          <cell r="O1051">
            <v>864.41</v>
          </cell>
        </row>
        <row r="1052">
          <cell r="G1052">
            <v>6182</v>
          </cell>
          <cell r="O1052">
            <v>4.97</v>
          </cell>
        </row>
        <row r="1053">
          <cell r="G1053">
            <v>6181</v>
          </cell>
          <cell r="O1053">
            <v>86.3</v>
          </cell>
        </row>
        <row r="1054">
          <cell r="G1054">
            <v>6180</v>
          </cell>
          <cell r="O1054">
            <v>87.33</v>
          </cell>
        </row>
        <row r="1055">
          <cell r="G1055">
            <v>6179</v>
          </cell>
          <cell r="O1055">
            <v>10.17</v>
          </cell>
        </row>
        <row r="1056">
          <cell r="G1056">
            <v>6168</v>
          </cell>
          <cell r="O1056">
            <v>322.12</v>
          </cell>
        </row>
        <row r="1057">
          <cell r="G1057">
            <v>6161</v>
          </cell>
          <cell r="O1057">
            <v>453.73</v>
          </cell>
        </row>
        <row r="1058">
          <cell r="G1058">
            <v>6157</v>
          </cell>
          <cell r="O1058">
            <v>21.19</v>
          </cell>
        </row>
        <row r="1059">
          <cell r="G1059">
            <v>6156</v>
          </cell>
          <cell r="O1059">
            <v>26.27</v>
          </cell>
        </row>
        <row r="1060">
          <cell r="G1060">
            <v>6153</v>
          </cell>
          <cell r="O1060">
            <v>41.95</v>
          </cell>
        </row>
        <row r="1061">
          <cell r="G1061">
            <v>6149</v>
          </cell>
          <cell r="O1061">
            <v>4.78</v>
          </cell>
        </row>
        <row r="1062">
          <cell r="G1062">
            <v>6146</v>
          </cell>
          <cell r="O1062">
            <v>80.81</v>
          </cell>
        </row>
        <row r="1063">
          <cell r="G1063">
            <v>6145</v>
          </cell>
          <cell r="O1063">
            <v>453.45</v>
          </cell>
        </row>
        <row r="1064">
          <cell r="G1064">
            <v>6144</v>
          </cell>
          <cell r="O1064">
            <v>73.67</v>
          </cell>
        </row>
        <row r="1065">
          <cell r="G1065">
            <v>6138</v>
          </cell>
          <cell r="O1065">
            <v>84.86</v>
          </cell>
        </row>
        <row r="1066">
          <cell r="G1066">
            <v>6136</v>
          </cell>
          <cell r="O1066">
            <v>1033.3</v>
          </cell>
        </row>
        <row r="1067">
          <cell r="G1067">
            <v>6132</v>
          </cell>
          <cell r="O1067">
            <v>195.66</v>
          </cell>
        </row>
        <row r="1068">
          <cell r="G1068">
            <v>6124</v>
          </cell>
          <cell r="O1068">
            <v>853.59</v>
          </cell>
        </row>
        <row r="1069">
          <cell r="G1069">
            <v>6120</v>
          </cell>
          <cell r="O1069">
            <v>48.4</v>
          </cell>
        </row>
        <row r="1070">
          <cell r="G1070">
            <v>6119</v>
          </cell>
          <cell r="O1070">
            <v>40.520000000000003</v>
          </cell>
        </row>
        <row r="1071">
          <cell r="G1071">
            <v>6116</v>
          </cell>
          <cell r="O1071">
            <v>847.46</v>
          </cell>
        </row>
        <row r="1072">
          <cell r="G1072">
            <v>6115</v>
          </cell>
          <cell r="O1072">
            <v>381.36</v>
          </cell>
        </row>
        <row r="1073">
          <cell r="G1073">
            <v>6110</v>
          </cell>
          <cell r="O1073">
            <v>13256.31</v>
          </cell>
        </row>
        <row r="1074">
          <cell r="G1074">
            <v>6109</v>
          </cell>
          <cell r="O1074">
            <v>23259.29</v>
          </cell>
        </row>
        <row r="1075">
          <cell r="G1075">
            <v>6106</v>
          </cell>
          <cell r="O1075">
            <v>520.38</v>
          </cell>
        </row>
        <row r="1076">
          <cell r="G1076">
            <v>6104</v>
          </cell>
          <cell r="O1076">
            <v>341.8</v>
          </cell>
        </row>
        <row r="1077">
          <cell r="G1077">
            <v>6103</v>
          </cell>
          <cell r="O1077">
            <v>1309.3399999999999</v>
          </cell>
        </row>
        <row r="1078">
          <cell r="G1078">
            <v>6053</v>
          </cell>
          <cell r="O1078">
            <v>1280</v>
          </cell>
        </row>
        <row r="1079">
          <cell r="G1079">
            <v>6051</v>
          </cell>
          <cell r="O1079">
            <v>241.52</v>
          </cell>
        </row>
        <row r="1080">
          <cell r="G1080">
            <v>6045</v>
          </cell>
          <cell r="O1080">
            <v>77.09</v>
          </cell>
        </row>
        <row r="1081">
          <cell r="G1081">
            <v>6043</v>
          </cell>
          <cell r="O1081">
            <v>233.05</v>
          </cell>
        </row>
        <row r="1082">
          <cell r="G1082">
            <v>6034</v>
          </cell>
          <cell r="O1082">
            <v>24.57</v>
          </cell>
        </row>
        <row r="1083">
          <cell r="G1083">
            <v>6033</v>
          </cell>
          <cell r="O1083">
            <v>77.97</v>
          </cell>
        </row>
        <row r="1084">
          <cell r="G1084">
            <v>6032</v>
          </cell>
          <cell r="O1084">
            <v>286.45</v>
          </cell>
        </row>
        <row r="1085">
          <cell r="G1085">
            <v>6024</v>
          </cell>
          <cell r="O1085">
            <v>981.81</v>
          </cell>
        </row>
        <row r="1086">
          <cell r="G1086">
            <v>6021</v>
          </cell>
          <cell r="O1086">
            <v>65.209999999999994</v>
          </cell>
        </row>
        <row r="1087">
          <cell r="G1087">
            <v>6018</v>
          </cell>
          <cell r="O1087">
            <v>180.08</v>
          </cell>
        </row>
        <row r="1088">
          <cell r="G1088">
            <v>6016</v>
          </cell>
          <cell r="O1088">
            <v>23.21</v>
          </cell>
        </row>
        <row r="1089">
          <cell r="G1089">
            <v>6015</v>
          </cell>
          <cell r="O1089">
            <v>62.12</v>
          </cell>
        </row>
        <row r="1090">
          <cell r="G1090">
            <v>6014</v>
          </cell>
          <cell r="O1090">
            <v>103.37</v>
          </cell>
        </row>
        <row r="1091">
          <cell r="G1091">
            <v>6007</v>
          </cell>
          <cell r="O1091">
            <v>10014.530000000001</v>
          </cell>
        </row>
        <row r="1092">
          <cell r="G1092">
            <v>6006</v>
          </cell>
          <cell r="O1092">
            <v>895.16</v>
          </cell>
        </row>
        <row r="1093">
          <cell r="G1093">
            <v>6003</v>
          </cell>
          <cell r="O1093">
            <v>16.940000000000001</v>
          </cell>
        </row>
        <row r="1094">
          <cell r="G1094">
            <v>6002</v>
          </cell>
          <cell r="O1094">
            <v>1730.5</v>
          </cell>
        </row>
        <row r="1095">
          <cell r="G1095">
            <v>5999</v>
          </cell>
          <cell r="O1095">
            <v>901.58</v>
          </cell>
        </row>
        <row r="1096">
          <cell r="G1096">
            <v>5996</v>
          </cell>
          <cell r="O1096">
            <v>3007.07</v>
          </cell>
        </row>
        <row r="1097">
          <cell r="G1097">
            <v>5995</v>
          </cell>
          <cell r="O1097">
            <v>7791.53</v>
          </cell>
        </row>
        <row r="1098">
          <cell r="G1098">
            <v>5994</v>
          </cell>
          <cell r="O1098">
            <v>74437.95</v>
          </cell>
        </row>
        <row r="1099">
          <cell r="G1099">
            <v>5993</v>
          </cell>
          <cell r="O1099">
            <v>507.37</v>
          </cell>
        </row>
        <row r="1100">
          <cell r="G1100">
            <v>5991</v>
          </cell>
          <cell r="O1100">
            <v>78.36</v>
          </cell>
        </row>
        <row r="1101">
          <cell r="G1101">
            <v>5989</v>
          </cell>
          <cell r="O1101">
            <v>128.13999999999999</v>
          </cell>
        </row>
        <row r="1102">
          <cell r="G1102">
            <v>5987</v>
          </cell>
          <cell r="O1102">
            <v>2649.39</v>
          </cell>
        </row>
        <row r="1103">
          <cell r="G1103">
            <v>5983</v>
          </cell>
          <cell r="O1103">
            <v>18.899999999999999</v>
          </cell>
        </row>
        <row r="1104">
          <cell r="G1104">
            <v>5980</v>
          </cell>
          <cell r="O1104">
            <v>4732.09</v>
          </cell>
        </row>
        <row r="1105">
          <cell r="G1105">
            <v>5979</v>
          </cell>
          <cell r="O1105">
            <v>637.59</v>
          </cell>
        </row>
        <row r="1106">
          <cell r="G1106">
            <v>5974</v>
          </cell>
          <cell r="O1106">
            <v>63.56</v>
          </cell>
        </row>
        <row r="1107">
          <cell r="G1107">
            <v>5973</v>
          </cell>
          <cell r="O1107">
            <v>326.24</v>
          </cell>
        </row>
        <row r="1108">
          <cell r="G1108">
            <v>5970</v>
          </cell>
          <cell r="O1108">
            <v>141.66</v>
          </cell>
        </row>
        <row r="1109">
          <cell r="G1109">
            <v>5962</v>
          </cell>
          <cell r="O1109">
            <v>833.9</v>
          </cell>
        </row>
        <row r="1110">
          <cell r="G1110">
            <v>5961</v>
          </cell>
          <cell r="O1110">
            <v>141.71</v>
          </cell>
        </row>
        <row r="1111">
          <cell r="G1111">
            <v>5958</v>
          </cell>
          <cell r="O1111">
            <v>22601.13</v>
          </cell>
        </row>
        <row r="1112">
          <cell r="G1112">
            <v>5955</v>
          </cell>
          <cell r="O1112">
            <v>10.94</v>
          </cell>
        </row>
        <row r="1113">
          <cell r="G1113">
            <v>5953</v>
          </cell>
          <cell r="O1113">
            <v>34538</v>
          </cell>
        </row>
        <row r="1114">
          <cell r="G1114">
            <v>5952</v>
          </cell>
          <cell r="O1114">
            <v>21922.71</v>
          </cell>
        </row>
        <row r="1115">
          <cell r="G1115">
            <v>5950</v>
          </cell>
          <cell r="O1115">
            <v>248.95</v>
          </cell>
        </row>
        <row r="1116">
          <cell r="G1116">
            <v>5948</v>
          </cell>
          <cell r="O1116">
            <v>2203.39</v>
          </cell>
        </row>
        <row r="1117">
          <cell r="G1117">
            <v>5946</v>
          </cell>
          <cell r="O1117">
            <v>84.97</v>
          </cell>
        </row>
        <row r="1118">
          <cell r="G1118">
            <v>5945</v>
          </cell>
          <cell r="O1118">
            <v>25.62</v>
          </cell>
        </row>
        <row r="1119">
          <cell r="G1119">
            <v>5942</v>
          </cell>
          <cell r="O1119">
            <v>200.75</v>
          </cell>
        </row>
        <row r="1120">
          <cell r="G1120">
            <v>5937</v>
          </cell>
          <cell r="O1120">
            <v>8082.19</v>
          </cell>
        </row>
        <row r="1121">
          <cell r="G1121">
            <v>5929</v>
          </cell>
          <cell r="O1121">
            <v>92.1</v>
          </cell>
        </row>
        <row r="1122">
          <cell r="G1122">
            <v>5927</v>
          </cell>
          <cell r="O1122">
            <v>84.96</v>
          </cell>
        </row>
        <row r="1123">
          <cell r="G1123">
            <v>5926</v>
          </cell>
          <cell r="O1123">
            <v>9503.6299999999992</v>
          </cell>
        </row>
        <row r="1124">
          <cell r="G1124">
            <v>5925</v>
          </cell>
          <cell r="O1124">
            <v>800</v>
          </cell>
        </row>
        <row r="1125">
          <cell r="G1125">
            <v>5923</v>
          </cell>
          <cell r="O1125">
            <v>1735.9</v>
          </cell>
        </row>
        <row r="1126">
          <cell r="G1126">
            <v>5922</v>
          </cell>
          <cell r="O1126">
            <v>35.33</v>
          </cell>
        </row>
        <row r="1127">
          <cell r="G1127">
            <v>5921</v>
          </cell>
          <cell r="O1127">
            <v>661.01</v>
          </cell>
        </row>
        <row r="1128">
          <cell r="G1128">
            <v>5904</v>
          </cell>
          <cell r="O1128">
            <v>169.49</v>
          </cell>
        </row>
        <row r="1129">
          <cell r="G1129">
            <v>5899</v>
          </cell>
          <cell r="O1129">
            <v>710.6</v>
          </cell>
        </row>
        <row r="1130">
          <cell r="G1130">
            <v>5884</v>
          </cell>
          <cell r="O1130">
            <v>8.3699999999999992</v>
          </cell>
        </row>
        <row r="1131">
          <cell r="G1131">
            <v>5883</v>
          </cell>
          <cell r="O1131">
            <v>202.27</v>
          </cell>
        </row>
        <row r="1132">
          <cell r="G1132">
            <v>5882</v>
          </cell>
          <cell r="O1132">
            <v>218.03</v>
          </cell>
        </row>
        <row r="1133">
          <cell r="G1133">
            <v>5881</v>
          </cell>
          <cell r="O1133">
            <v>30.08</v>
          </cell>
        </row>
        <row r="1134">
          <cell r="G1134">
            <v>5880</v>
          </cell>
          <cell r="O1134">
            <v>85.78</v>
          </cell>
        </row>
        <row r="1135">
          <cell r="G1135">
            <v>5875</v>
          </cell>
          <cell r="O1135">
            <v>866.99</v>
          </cell>
        </row>
        <row r="1136">
          <cell r="G1136">
            <v>5872</v>
          </cell>
          <cell r="O1136">
            <v>114.3</v>
          </cell>
        </row>
        <row r="1137">
          <cell r="G1137">
            <v>5870</v>
          </cell>
          <cell r="O1137">
            <v>60.76</v>
          </cell>
        </row>
        <row r="1138">
          <cell r="G1138">
            <v>5869</v>
          </cell>
          <cell r="O1138">
            <v>15.91</v>
          </cell>
        </row>
        <row r="1139">
          <cell r="G1139">
            <v>5865</v>
          </cell>
          <cell r="O1139">
            <v>14488.72</v>
          </cell>
        </row>
        <row r="1140">
          <cell r="G1140">
            <v>5864</v>
          </cell>
          <cell r="O1140">
            <v>716.88</v>
          </cell>
        </row>
        <row r="1141">
          <cell r="G1141">
            <v>5863</v>
          </cell>
          <cell r="O1141">
            <v>125.1</v>
          </cell>
        </row>
        <row r="1142">
          <cell r="G1142">
            <v>5860</v>
          </cell>
          <cell r="O1142">
            <v>219</v>
          </cell>
        </row>
        <row r="1143">
          <cell r="G1143">
            <v>5859</v>
          </cell>
          <cell r="O1143">
            <v>526.73</v>
          </cell>
        </row>
        <row r="1144">
          <cell r="G1144">
            <v>5858</v>
          </cell>
          <cell r="O1144">
            <v>46.96</v>
          </cell>
        </row>
        <row r="1145">
          <cell r="G1145">
            <v>5857</v>
          </cell>
          <cell r="O1145">
            <v>16.09</v>
          </cell>
        </row>
        <row r="1146">
          <cell r="G1146">
            <v>5855</v>
          </cell>
          <cell r="O1146">
            <v>206.62</v>
          </cell>
        </row>
        <row r="1147">
          <cell r="G1147">
            <v>5852</v>
          </cell>
          <cell r="O1147">
            <v>81.34</v>
          </cell>
        </row>
        <row r="1148">
          <cell r="G1148">
            <v>5851</v>
          </cell>
          <cell r="O1148">
            <v>1852.93</v>
          </cell>
        </row>
        <row r="1149">
          <cell r="G1149">
            <v>5850</v>
          </cell>
          <cell r="O1149">
            <v>150.41999999999999</v>
          </cell>
        </row>
        <row r="1150">
          <cell r="G1150">
            <v>5846</v>
          </cell>
          <cell r="O1150">
            <v>55.02</v>
          </cell>
        </row>
        <row r="1151">
          <cell r="G1151">
            <v>5845</v>
          </cell>
          <cell r="O1151">
            <v>5.68</v>
          </cell>
        </row>
        <row r="1152">
          <cell r="G1152">
            <v>5844</v>
          </cell>
          <cell r="O1152">
            <v>131.57</v>
          </cell>
        </row>
        <row r="1153">
          <cell r="G1153">
            <v>5843</v>
          </cell>
          <cell r="O1153">
            <v>61.01</v>
          </cell>
        </row>
        <row r="1154">
          <cell r="G1154">
            <v>5842</v>
          </cell>
          <cell r="O1154">
            <v>547.76</v>
          </cell>
        </row>
        <row r="1155">
          <cell r="G1155">
            <v>5841</v>
          </cell>
          <cell r="O1155">
            <v>74.64</v>
          </cell>
        </row>
        <row r="1156">
          <cell r="G1156">
            <v>5838</v>
          </cell>
          <cell r="O1156">
            <v>30.51</v>
          </cell>
        </row>
        <row r="1157">
          <cell r="G1157">
            <v>5836</v>
          </cell>
          <cell r="O1157">
            <v>1419.91</v>
          </cell>
        </row>
        <row r="1158">
          <cell r="G1158">
            <v>5833</v>
          </cell>
          <cell r="O1158">
            <v>847.46</v>
          </cell>
        </row>
        <row r="1159">
          <cell r="G1159">
            <v>5831</v>
          </cell>
          <cell r="O1159">
            <v>786.36</v>
          </cell>
        </row>
        <row r="1160">
          <cell r="G1160">
            <v>5830</v>
          </cell>
          <cell r="O1160">
            <v>30.51</v>
          </cell>
        </row>
        <row r="1161">
          <cell r="G1161">
            <v>5825</v>
          </cell>
          <cell r="O1161">
            <v>34.14</v>
          </cell>
        </row>
        <row r="1162">
          <cell r="G1162">
            <v>5823</v>
          </cell>
          <cell r="O1162">
            <v>305.08</v>
          </cell>
        </row>
        <row r="1163">
          <cell r="G1163">
            <v>5819</v>
          </cell>
          <cell r="O1163">
            <v>71.41</v>
          </cell>
        </row>
        <row r="1164">
          <cell r="G1164">
            <v>5818</v>
          </cell>
          <cell r="O1164">
            <v>98482.52</v>
          </cell>
        </row>
        <row r="1165">
          <cell r="G1165">
            <v>5816</v>
          </cell>
          <cell r="O1165">
            <v>1879.25</v>
          </cell>
        </row>
        <row r="1166">
          <cell r="G1166">
            <v>5814</v>
          </cell>
          <cell r="O1166">
            <v>969.09</v>
          </cell>
        </row>
        <row r="1167">
          <cell r="G1167">
            <v>5813</v>
          </cell>
          <cell r="O1167">
            <v>98.69</v>
          </cell>
        </row>
        <row r="1168">
          <cell r="G1168">
            <v>5811</v>
          </cell>
          <cell r="O1168">
            <v>8.15</v>
          </cell>
        </row>
        <row r="1169">
          <cell r="G1169">
            <v>5810</v>
          </cell>
          <cell r="O1169">
            <v>288.36</v>
          </cell>
        </row>
        <row r="1170">
          <cell r="G1170">
            <v>5809</v>
          </cell>
          <cell r="O1170">
            <v>0.97</v>
          </cell>
        </row>
        <row r="1171">
          <cell r="G1171">
            <v>5806</v>
          </cell>
          <cell r="O1171">
            <v>584.54</v>
          </cell>
        </row>
        <row r="1172">
          <cell r="G1172">
            <v>5804</v>
          </cell>
          <cell r="O1172">
            <v>128.69</v>
          </cell>
        </row>
        <row r="1173">
          <cell r="G1173">
            <v>5801</v>
          </cell>
          <cell r="O1173">
            <v>179.87</v>
          </cell>
        </row>
        <row r="1174">
          <cell r="G1174">
            <v>5788</v>
          </cell>
          <cell r="O1174">
            <v>477.18</v>
          </cell>
        </row>
        <row r="1175">
          <cell r="G1175">
            <v>5787</v>
          </cell>
          <cell r="O1175">
            <v>20650.34</v>
          </cell>
        </row>
        <row r="1176">
          <cell r="G1176">
            <v>5786</v>
          </cell>
          <cell r="O1176">
            <v>57.62</v>
          </cell>
        </row>
        <row r="1177">
          <cell r="G1177">
            <v>5771</v>
          </cell>
          <cell r="O1177">
            <v>21.22</v>
          </cell>
        </row>
        <row r="1178">
          <cell r="G1178">
            <v>5769</v>
          </cell>
          <cell r="O1178">
            <v>0.05</v>
          </cell>
        </row>
        <row r="1179">
          <cell r="G1179">
            <v>5768</v>
          </cell>
          <cell r="O1179">
            <v>8.24</v>
          </cell>
        </row>
        <row r="1180">
          <cell r="G1180">
            <v>5767</v>
          </cell>
          <cell r="O1180">
            <v>1.02</v>
          </cell>
        </row>
        <row r="1181">
          <cell r="G1181">
            <v>5766</v>
          </cell>
          <cell r="O1181">
            <v>0.53</v>
          </cell>
        </row>
        <row r="1182">
          <cell r="G1182">
            <v>5765</v>
          </cell>
          <cell r="O1182">
            <v>3.27</v>
          </cell>
        </row>
        <row r="1183">
          <cell r="G1183">
            <v>5764</v>
          </cell>
          <cell r="O1183">
            <v>1.71</v>
          </cell>
        </row>
        <row r="1184">
          <cell r="G1184">
            <v>5762</v>
          </cell>
          <cell r="O1184">
            <v>1.26</v>
          </cell>
        </row>
        <row r="1185">
          <cell r="G1185">
            <v>5760</v>
          </cell>
          <cell r="O1185">
            <v>283.89999999999998</v>
          </cell>
        </row>
        <row r="1186">
          <cell r="G1186">
            <v>5759</v>
          </cell>
          <cell r="O1186">
            <v>361.89</v>
          </cell>
        </row>
        <row r="1187">
          <cell r="G1187">
            <v>5757</v>
          </cell>
          <cell r="O1187">
            <v>61.65</v>
          </cell>
        </row>
        <row r="1188">
          <cell r="G1188">
            <v>5751</v>
          </cell>
          <cell r="O1188">
            <v>3.56</v>
          </cell>
        </row>
        <row r="1189">
          <cell r="G1189">
            <v>5749</v>
          </cell>
          <cell r="O1189">
            <v>26.29</v>
          </cell>
        </row>
        <row r="1190">
          <cell r="G1190">
            <v>5743</v>
          </cell>
          <cell r="O1190">
            <v>24.35</v>
          </cell>
        </row>
        <row r="1191">
          <cell r="G1191">
            <v>5742</v>
          </cell>
          <cell r="O1191">
            <v>34.56</v>
          </cell>
        </row>
        <row r="1192">
          <cell r="G1192">
            <v>5740</v>
          </cell>
          <cell r="O1192">
            <v>202.48</v>
          </cell>
        </row>
        <row r="1193">
          <cell r="G1193">
            <v>5733</v>
          </cell>
          <cell r="O1193">
            <v>35.18</v>
          </cell>
        </row>
        <row r="1194">
          <cell r="G1194">
            <v>5726</v>
          </cell>
          <cell r="O1194">
            <v>75.27</v>
          </cell>
        </row>
        <row r="1195">
          <cell r="G1195">
            <v>5725</v>
          </cell>
          <cell r="O1195">
            <v>13.25</v>
          </cell>
        </row>
        <row r="1196">
          <cell r="G1196">
            <v>5724</v>
          </cell>
          <cell r="O1196">
            <v>22.13</v>
          </cell>
        </row>
        <row r="1197">
          <cell r="G1197">
            <v>5716</v>
          </cell>
          <cell r="O1197">
            <v>54</v>
          </cell>
        </row>
        <row r="1198">
          <cell r="G1198">
            <v>5714</v>
          </cell>
          <cell r="O1198">
            <v>36.61</v>
          </cell>
        </row>
        <row r="1199">
          <cell r="G1199">
            <v>5711</v>
          </cell>
          <cell r="O1199">
            <v>6.3</v>
          </cell>
        </row>
        <row r="1200">
          <cell r="G1200">
            <v>5707</v>
          </cell>
          <cell r="O1200">
            <v>88</v>
          </cell>
        </row>
        <row r="1201">
          <cell r="G1201">
            <v>5702</v>
          </cell>
          <cell r="O1201">
            <v>298.3</v>
          </cell>
        </row>
        <row r="1202">
          <cell r="G1202">
            <v>5626</v>
          </cell>
          <cell r="O1202">
            <v>822.89</v>
          </cell>
        </row>
        <row r="1203">
          <cell r="G1203">
            <v>5504</v>
          </cell>
          <cell r="O1203">
            <v>584.37</v>
          </cell>
        </row>
        <row r="1204">
          <cell r="G1204">
            <v>5486</v>
          </cell>
          <cell r="O1204">
            <v>2711.86</v>
          </cell>
        </row>
        <row r="1205">
          <cell r="G1205">
            <v>5480</v>
          </cell>
          <cell r="O1205">
            <v>805.08</v>
          </cell>
        </row>
        <row r="1206">
          <cell r="G1206">
            <v>5474</v>
          </cell>
          <cell r="O1206">
            <v>2066.06</v>
          </cell>
        </row>
        <row r="1207">
          <cell r="G1207">
            <v>5469</v>
          </cell>
          <cell r="O1207">
            <v>138216.1</v>
          </cell>
        </row>
        <row r="1208">
          <cell r="G1208">
            <v>5454</v>
          </cell>
          <cell r="O1208">
            <v>8073</v>
          </cell>
        </row>
        <row r="1209">
          <cell r="G1209">
            <v>5446</v>
          </cell>
          <cell r="O1209">
            <v>224625.42</v>
          </cell>
        </row>
        <row r="1210">
          <cell r="G1210">
            <v>5444</v>
          </cell>
          <cell r="O1210">
            <v>55943.67</v>
          </cell>
        </row>
        <row r="1211">
          <cell r="G1211">
            <v>5443</v>
          </cell>
          <cell r="O1211">
            <v>78615.88</v>
          </cell>
        </row>
        <row r="1212">
          <cell r="G1212">
            <v>5442</v>
          </cell>
          <cell r="O1212">
            <v>6388.15</v>
          </cell>
        </row>
        <row r="1213">
          <cell r="G1213">
            <v>5441</v>
          </cell>
          <cell r="O1213">
            <v>79903.070000000007</v>
          </cell>
        </row>
        <row r="1214">
          <cell r="G1214">
            <v>5431</v>
          </cell>
          <cell r="O1214">
            <v>1512.24</v>
          </cell>
        </row>
        <row r="1215">
          <cell r="G1215">
            <v>5407</v>
          </cell>
          <cell r="O1215">
            <v>2795751.4</v>
          </cell>
        </row>
        <row r="1216">
          <cell r="G1216">
            <v>5400</v>
          </cell>
          <cell r="O1216">
            <v>5001.75</v>
          </cell>
        </row>
        <row r="1217">
          <cell r="G1217">
            <v>5398</v>
          </cell>
          <cell r="O1217">
            <v>1748780.73</v>
          </cell>
        </row>
        <row r="1218">
          <cell r="G1218">
            <v>5385</v>
          </cell>
          <cell r="O1218">
            <v>14136.75</v>
          </cell>
        </row>
        <row r="1219">
          <cell r="G1219">
            <v>5380</v>
          </cell>
          <cell r="O1219">
            <v>0</v>
          </cell>
        </row>
        <row r="1220">
          <cell r="G1220">
            <v>5379</v>
          </cell>
          <cell r="O1220">
            <v>0.16</v>
          </cell>
        </row>
        <row r="1221">
          <cell r="G1221">
            <v>5375</v>
          </cell>
          <cell r="O1221">
            <v>10959.9</v>
          </cell>
        </row>
        <row r="1222">
          <cell r="G1222">
            <v>5374</v>
          </cell>
          <cell r="O1222">
            <v>3246.75</v>
          </cell>
        </row>
        <row r="1223">
          <cell r="G1223">
            <v>5370</v>
          </cell>
          <cell r="O1223">
            <v>13312.96</v>
          </cell>
        </row>
        <row r="1224">
          <cell r="G1224">
            <v>5369</v>
          </cell>
          <cell r="O1224">
            <v>8576.27</v>
          </cell>
        </row>
        <row r="1225">
          <cell r="G1225">
            <v>5367</v>
          </cell>
          <cell r="O1225">
            <v>697834.71</v>
          </cell>
        </row>
        <row r="1226">
          <cell r="G1226">
            <v>5363</v>
          </cell>
          <cell r="O1226">
            <v>44023.74</v>
          </cell>
        </row>
        <row r="1227">
          <cell r="G1227">
            <v>5362</v>
          </cell>
          <cell r="O1227">
            <v>40008.69</v>
          </cell>
        </row>
        <row r="1228">
          <cell r="G1228">
            <v>5361</v>
          </cell>
          <cell r="O1228">
            <v>0</v>
          </cell>
        </row>
        <row r="1229">
          <cell r="G1229">
            <v>5359</v>
          </cell>
          <cell r="O1229">
            <v>70802.63</v>
          </cell>
        </row>
        <row r="1230">
          <cell r="G1230">
            <v>5354</v>
          </cell>
          <cell r="O1230">
            <v>79996.33</v>
          </cell>
        </row>
        <row r="1231">
          <cell r="G1231">
            <v>5339</v>
          </cell>
          <cell r="O1231">
            <v>9126</v>
          </cell>
        </row>
        <row r="1232">
          <cell r="G1232">
            <v>5308</v>
          </cell>
          <cell r="O1232">
            <v>169.5</v>
          </cell>
        </row>
        <row r="1233">
          <cell r="G1233">
            <v>5289</v>
          </cell>
          <cell r="O1233">
            <v>30.63</v>
          </cell>
        </row>
        <row r="1234">
          <cell r="G1234">
            <v>5288</v>
          </cell>
          <cell r="O1234">
            <v>145.28</v>
          </cell>
        </row>
        <row r="1235">
          <cell r="G1235">
            <v>5282</v>
          </cell>
          <cell r="O1235">
            <v>21.03</v>
          </cell>
        </row>
        <row r="1236">
          <cell r="G1236">
            <v>5278</v>
          </cell>
          <cell r="O1236">
            <v>338.98</v>
          </cell>
        </row>
        <row r="1237">
          <cell r="G1237">
            <v>5271</v>
          </cell>
          <cell r="O1237">
            <v>147.31</v>
          </cell>
        </row>
        <row r="1238">
          <cell r="G1238">
            <v>5270</v>
          </cell>
          <cell r="O1238">
            <v>23.88</v>
          </cell>
        </row>
        <row r="1239">
          <cell r="G1239">
            <v>5262</v>
          </cell>
          <cell r="O1239">
            <v>1.97</v>
          </cell>
        </row>
        <row r="1240">
          <cell r="G1240">
            <v>5261</v>
          </cell>
          <cell r="O1240">
            <v>23.52</v>
          </cell>
        </row>
        <row r="1241">
          <cell r="G1241">
            <v>5260</v>
          </cell>
          <cell r="O1241">
            <v>50.84</v>
          </cell>
        </row>
        <row r="1242">
          <cell r="G1242">
            <v>5257</v>
          </cell>
          <cell r="O1242">
            <v>20.43</v>
          </cell>
        </row>
        <row r="1243">
          <cell r="G1243">
            <v>5248</v>
          </cell>
          <cell r="O1243">
            <v>415.43</v>
          </cell>
        </row>
        <row r="1244">
          <cell r="G1244">
            <v>5247</v>
          </cell>
          <cell r="O1244">
            <v>63.56</v>
          </cell>
        </row>
        <row r="1245">
          <cell r="G1245">
            <v>5245</v>
          </cell>
          <cell r="O1245">
            <v>25.42</v>
          </cell>
        </row>
        <row r="1246">
          <cell r="G1246">
            <v>5241</v>
          </cell>
          <cell r="O1246">
            <v>87.8</v>
          </cell>
        </row>
        <row r="1247">
          <cell r="G1247">
            <v>5238</v>
          </cell>
          <cell r="O1247">
            <v>7.88</v>
          </cell>
        </row>
        <row r="1248">
          <cell r="G1248">
            <v>5237</v>
          </cell>
          <cell r="O1248">
            <v>28.73</v>
          </cell>
        </row>
        <row r="1249">
          <cell r="G1249">
            <v>5236</v>
          </cell>
          <cell r="O1249">
            <v>100.6</v>
          </cell>
        </row>
        <row r="1250">
          <cell r="G1250">
            <v>5226</v>
          </cell>
          <cell r="O1250">
            <v>12.46</v>
          </cell>
        </row>
        <row r="1251">
          <cell r="G1251">
            <v>5215</v>
          </cell>
          <cell r="O1251">
            <v>118.65</v>
          </cell>
        </row>
        <row r="1252">
          <cell r="G1252">
            <v>5211</v>
          </cell>
          <cell r="O1252">
            <v>268.93</v>
          </cell>
        </row>
        <row r="1253">
          <cell r="G1253">
            <v>5209</v>
          </cell>
          <cell r="O1253">
            <v>526.27</v>
          </cell>
        </row>
        <row r="1254">
          <cell r="G1254">
            <v>5208</v>
          </cell>
          <cell r="O1254">
            <v>562.5</v>
          </cell>
        </row>
        <row r="1255">
          <cell r="G1255">
            <v>5201</v>
          </cell>
          <cell r="O1255">
            <v>358.09</v>
          </cell>
        </row>
        <row r="1256">
          <cell r="G1256">
            <v>5194</v>
          </cell>
          <cell r="O1256">
            <v>625.76</v>
          </cell>
        </row>
        <row r="1257">
          <cell r="G1257">
            <v>5185</v>
          </cell>
          <cell r="O1257">
            <v>7.67</v>
          </cell>
        </row>
        <row r="1258">
          <cell r="G1258">
            <v>5182</v>
          </cell>
          <cell r="O1258">
            <v>698.76</v>
          </cell>
        </row>
        <row r="1259">
          <cell r="G1259">
            <v>5181</v>
          </cell>
          <cell r="O1259">
            <v>1130.8</v>
          </cell>
        </row>
        <row r="1260">
          <cell r="G1260">
            <v>5174</v>
          </cell>
          <cell r="O1260">
            <v>288.89</v>
          </cell>
        </row>
        <row r="1261">
          <cell r="G1261">
            <v>5172</v>
          </cell>
          <cell r="O1261">
            <v>7.63</v>
          </cell>
        </row>
        <row r="1262">
          <cell r="G1262">
            <v>5167</v>
          </cell>
          <cell r="O1262">
            <v>5.4</v>
          </cell>
        </row>
        <row r="1263">
          <cell r="G1263">
            <v>5147</v>
          </cell>
          <cell r="O1263">
            <v>122.88</v>
          </cell>
        </row>
        <row r="1264">
          <cell r="G1264">
            <v>5144</v>
          </cell>
          <cell r="O1264">
            <v>70.290000000000006</v>
          </cell>
        </row>
        <row r="1265">
          <cell r="G1265">
            <v>5143</v>
          </cell>
          <cell r="O1265">
            <v>9983.24</v>
          </cell>
        </row>
        <row r="1266">
          <cell r="G1266">
            <v>5139</v>
          </cell>
          <cell r="O1266">
            <v>4568.8500000000004</v>
          </cell>
        </row>
        <row r="1267">
          <cell r="G1267">
            <v>5137</v>
          </cell>
          <cell r="O1267">
            <v>22065.03</v>
          </cell>
        </row>
        <row r="1268">
          <cell r="G1268">
            <v>5134</v>
          </cell>
          <cell r="O1268">
            <v>151.09</v>
          </cell>
        </row>
        <row r="1269">
          <cell r="G1269">
            <v>5129</v>
          </cell>
          <cell r="O1269">
            <v>604.38</v>
          </cell>
        </row>
        <row r="1270">
          <cell r="G1270">
            <v>5128</v>
          </cell>
          <cell r="O1270">
            <v>508.36</v>
          </cell>
        </row>
        <row r="1271">
          <cell r="G1271">
            <v>5125</v>
          </cell>
          <cell r="O1271">
            <v>139.51</v>
          </cell>
        </row>
        <row r="1272">
          <cell r="G1272">
            <v>5114</v>
          </cell>
          <cell r="O1272">
            <v>90372.7</v>
          </cell>
        </row>
        <row r="1273">
          <cell r="G1273">
            <v>5109</v>
          </cell>
          <cell r="O1273">
            <v>592.73</v>
          </cell>
        </row>
        <row r="1274">
          <cell r="G1274">
            <v>5106</v>
          </cell>
          <cell r="O1274">
            <v>1038.1400000000001</v>
          </cell>
        </row>
        <row r="1275">
          <cell r="G1275">
            <v>5105</v>
          </cell>
          <cell r="O1275">
            <v>3813.55</v>
          </cell>
        </row>
        <row r="1276">
          <cell r="G1276">
            <v>5104</v>
          </cell>
          <cell r="O1276">
            <v>17.47</v>
          </cell>
        </row>
        <row r="1277">
          <cell r="G1277">
            <v>5102</v>
          </cell>
          <cell r="O1277">
            <v>2240.09</v>
          </cell>
        </row>
        <row r="1278">
          <cell r="G1278">
            <v>5101</v>
          </cell>
          <cell r="O1278">
            <v>957.98</v>
          </cell>
        </row>
        <row r="1279">
          <cell r="G1279">
            <v>5077</v>
          </cell>
          <cell r="O1279">
            <v>70.34</v>
          </cell>
        </row>
        <row r="1280">
          <cell r="G1280">
            <v>5073</v>
          </cell>
          <cell r="O1280">
            <v>4235.87</v>
          </cell>
        </row>
        <row r="1281">
          <cell r="G1281">
            <v>5072</v>
          </cell>
          <cell r="O1281">
            <v>735.83</v>
          </cell>
        </row>
        <row r="1282">
          <cell r="G1282">
            <v>5071</v>
          </cell>
          <cell r="O1282">
            <v>4660.67</v>
          </cell>
        </row>
        <row r="1283">
          <cell r="G1283">
            <v>5069</v>
          </cell>
          <cell r="O1283">
            <v>60</v>
          </cell>
        </row>
        <row r="1284">
          <cell r="G1284">
            <v>5065</v>
          </cell>
          <cell r="O1284">
            <v>330.51</v>
          </cell>
        </row>
        <row r="1285">
          <cell r="G1285">
            <v>5064</v>
          </cell>
          <cell r="O1285">
            <v>728.43</v>
          </cell>
        </row>
        <row r="1286">
          <cell r="G1286">
            <v>5063</v>
          </cell>
          <cell r="O1286">
            <v>985.37</v>
          </cell>
        </row>
        <row r="1287">
          <cell r="G1287">
            <v>5059</v>
          </cell>
          <cell r="O1287">
            <v>5322.04</v>
          </cell>
        </row>
        <row r="1288">
          <cell r="G1288">
            <v>5058</v>
          </cell>
          <cell r="O1288">
            <v>8711.86</v>
          </cell>
        </row>
        <row r="1289">
          <cell r="G1289">
            <v>5051</v>
          </cell>
          <cell r="O1289">
            <v>286.02</v>
          </cell>
        </row>
        <row r="1290">
          <cell r="G1290">
            <v>5041</v>
          </cell>
          <cell r="O1290">
            <v>3550.17</v>
          </cell>
        </row>
        <row r="1291">
          <cell r="G1291">
            <v>5035</v>
          </cell>
          <cell r="O1291">
            <v>343.22</v>
          </cell>
        </row>
        <row r="1292">
          <cell r="G1292">
            <v>5034</v>
          </cell>
          <cell r="O1292">
            <v>1026.8699999999999</v>
          </cell>
        </row>
        <row r="1293">
          <cell r="G1293">
            <v>5021</v>
          </cell>
          <cell r="O1293">
            <v>67.12</v>
          </cell>
        </row>
        <row r="1294">
          <cell r="G1294">
            <v>5020</v>
          </cell>
          <cell r="O1294">
            <v>20.34</v>
          </cell>
        </row>
        <row r="1295">
          <cell r="G1295">
            <v>5015</v>
          </cell>
          <cell r="O1295">
            <v>1.19</v>
          </cell>
        </row>
        <row r="1296">
          <cell r="G1296">
            <v>5014</v>
          </cell>
          <cell r="O1296">
            <v>0.76</v>
          </cell>
        </row>
        <row r="1297">
          <cell r="G1297">
            <v>5013</v>
          </cell>
          <cell r="O1297">
            <v>5.2</v>
          </cell>
        </row>
        <row r="1298">
          <cell r="G1298">
            <v>4773</v>
          </cell>
          <cell r="O1298">
            <v>1779.66</v>
          </cell>
        </row>
        <row r="1299">
          <cell r="G1299">
            <v>4747</v>
          </cell>
          <cell r="O1299">
            <v>108.47</v>
          </cell>
        </row>
        <row r="1300">
          <cell r="G1300">
            <v>4708</v>
          </cell>
          <cell r="O1300">
            <v>27.12</v>
          </cell>
        </row>
        <row r="1301">
          <cell r="G1301">
            <v>4685</v>
          </cell>
          <cell r="O1301">
            <v>5587.06</v>
          </cell>
        </row>
        <row r="1302">
          <cell r="G1302">
            <v>4657</v>
          </cell>
          <cell r="O1302">
            <v>32363.18</v>
          </cell>
        </row>
        <row r="1303">
          <cell r="G1303">
            <v>4624</v>
          </cell>
          <cell r="O1303">
            <v>7585.31</v>
          </cell>
        </row>
        <row r="1304">
          <cell r="G1304">
            <v>4600</v>
          </cell>
          <cell r="O1304">
            <v>8279.59</v>
          </cell>
        </row>
        <row r="1305">
          <cell r="G1305">
            <v>4593</v>
          </cell>
          <cell r="O1305">
            <v>371.82</v>
          </cell>
        </row>
        <row r="1306">
          <cell r="G1306">
            <v>4592</v>
          </cell>
          <cell r="O1306">
            <v>963.99</v>
          </cell>
        </row>
        <row r="1307">
          <cell r="G1307">
            <v>4585</v>
          </cell>
          <cell r="O1307">
            <v>5.08</v>
          </cell>
        </row>
        <row r="1308">
          <cell r="G1308">
            <v>4583</v>
          </cell>
          <cell r="O1308">
            <v>1550.85</v>
          </cell>
        </row>
        <row r="1309">
          <cell r="G1309">
            <v>4582</v>
          </cell>
          <cell r="O1309">
            <v>228.81</v>
          </cell>
        </row>
        <row r="1310">
          <cell r="G1310">
            <v>4581</v>
          </cell>
          <cell r="O1310">
            <v>3960.41</v>
          </cell>
        </row>
        <row r="1311">
          <cell r="G1311">
            <v>4579</v>
          </cell>
          <cell r="O1311">
            <v>445.76</v>
          </cell>
        </row>
        <row r="1312">
          <cell r="G1312">
            <v>4570</v>
          </cell>
          <cell r="O1312">
            <v>17.8</v>
          </cell>
        </row>
        <row r="1313">
          <cell r="G1313">
            <v>4568</v>
          </cell>
          <cell r="O1313">
            <v>6</v>
          </cell>
        </row>
        <row r="1314">
          <cell r="G1314">
            <v>4566</v>
          </cell>
          <cell r="O1314">
            <v>8515.84</v>
          </cell>
        </row>
        <row r="1315">
          <cell r="G1315">
            <v>4564</v>
          </cell>
          <cell r="O1315">
            <v>591.59</v>
          </cell>
        </row>
        <row r="1316">
          <cell r="G1316">
            <v>4561</v>
          </cell>
          <cell r="O1316">
            <v>1139.77</v>
          </cell>
        </row>
        <row r="1317">
          <cell r="G1317">
            <v>4560</v>
          </cell>
          <cell r="O1317">
            <v>902.79</v>
          </cell>
        </row>
        <row r="1318">
          <cell r="G1318">
            <v>4557</v>
          </cell>
          <cell r="O1318">
            <v>224.99</v>
          </cell>
        </row>
        <row r="1319">
          <cell r="G1319">
            <v>4556</v>
          </cell>
          <cell r="O1319">
            <v>1228.81</v>
          </cell>
        </row>
        <row r="1320">
          <cell r="G1320">
            <v>4555</v>
          </cell>
          <cell r="O1320">
            <v>5142.74</v>
          </cell>
        </row>
        <row r="1321">
          <cell r="G1321">
            <v>4554</v>
          </cell>
          <cell r="O1321">
            <v>434.4</v>
          </cell>
        </row>
        <row r="1322">
          <cell r="G1322">
            <v>4549</v>
          </cell>
          <cell r="O1322">
            <v>941.42</v>
          </cell>
        </row>
        <row r="1323">
          <cell r="G1323">
            <v>4547</v>
          </cell>
          <cell r="O1323">
            <v>33.9</v>
          </cell>
        </row>
        <row r="1324">
          <cell r="G1324">
            <v>4539</v>
          </cell>
          <cell r="O1324">
            <v>234.95</v>
          </cell>
        </row>
        <row r="1325">
          <cell r="G1325">
            <v>4529</v>
          </cell>
          <cell r="O1325">
            <v>6174.36</v>
          </cell>
        </row>
        <row r="1326">
          <cell r="G1326">
            <v>4524</v>
          </cell>
          <cell r="O1326">
            <v>71046.039999999994</v>
          </cell>
        </row>
        <row r="1327">
          <cell r="G1327">
            <v>4523</v>
          </cell>
          <cell r="O1327">
            <v>1381.35</v>
          </cell>
        </row>
        <row r="1328">
          <cell r="G1328">
            <v>4517</v>
          </cell>
          <cell r="O1328">
            <v>167.35</v>
          </cell>
        </row>
        <row r="1329">
          <cell r="G1329">
            <v>4516</v>
          </cell>
          <cell r="O1329">
            <v>144.07</v>
          </cell>
        </row>
        <row r="1330">
          <cell r="G1330">
            <v>4514</v>
          </cell>
          <cell r="O1330">
            <v>39.24</v>
          </cell>
        </row>
        <row r="1331">
          <cell r="G1331">
            <v>4513</v>
          </cell>
          <cell r="O1331">
            <v>610.16999999999996</v>
          </cell>
        </row>
        <row r="1332">
          <cell r="G1332">
            <v>4512</v>
          </cell>
          <cell r="O1332">
            <v>11.71</v>
          </cell>
        </row>
        <row r="1333">
          <cell r="G1333">
            <v>4511</v>
          </cell>
          <cell r="O1333">
            <v>4063.56</v>
          </cell>
        </row>
        <row r="1334">
          <cell r="G1334">
            <v>4510</v>
          </cell>
          <cell r="O1334">
            <v>1092.6500000000001</v>
          </cell>
        </row>
        <row r="1335">
          <cell r="G1335">
            <v>4505</v>
          </cell>
          <cell r="O1335">
            <v>54.11</v>
          </cell>
        </row>
        <row r="1336">
          <cell r="G1336">
            <v>4502</v>
          </cell>
          <cell r="O1336">
            <v>2641.47</v>
          </cell>
        </row>
        <row r="1337">
          <cell r="G1337">
            <v>4501</v>
          </cell>
          <cell r="O1337">
            <v>8965.91</v>
          </cell>
        </row>
        <row r="1338">
          <cell r="G1338">
            <v>4496</v>
          </cell>
          <cell r="O1338">
            <v>242.45</v>
          </cell>
        </row>
        <row r="1339">
          <cell r="G1339">
            <v>4484</v>
          </cell>
          <cell r="O1339">
            <v>245.44</v>
          </cell>
        </row>
        <row r="1340">
          <cell r="G1340">
            <v>4483</v>
          </cell>
          <cell r="O1340">
            <v>319.14999999999998</v>
          </cell>
        </row>
        <row r="1341">
          <cell r="G1341">
            <v>4475</v>
          </cell>
          <cell r="O1341">
            <v>29.24</v>
          </cell>
        </row>
        <row r="1342">
          <cell r="G1342">
            <v>4466</v>
          </cell>
          <cell r="O1342">
            <v>100.23</v>
          </cell>
        </row>
        <row r="1343">
          <cell r="G1343">
            <v>4465</v>
          </cell>
          <cell r="O1343">
            <v>1.27</v>
          </cell>
        </row>
        <row r="1344">
          <cell r="G1344">
            <v>4462</v>
          </cell>
          <cell r="O1344">
            <v>31.33</v>
          </cell>
        </row>
        <row r="1345">
          <cell r="G1345">
            <v>4461</v>
          </cell>
          <cell r="O1345">
            <v>6301.57</v>
          </cell>
        </row>
        <row r="1346">
          <cell r="G1346">
            <v>4439</v>
          </cell>
          <cell r="O1346">
            <v>9140.2900000000009</v>
          </cell>
        </row>
        <row r="1347">
          <cell r="G1347">
            <v>4436</v>
          </cell>
          <cell r="O1347">
            <v>281.33</v>
          </cell>
        </row>
        <row r="1348">
          <cell r="G1348">
            <v>4424</v>
          </cell>
          <cell r="O1348">
            <v>700</v>
          </cell>
        </row>
        <row r="1349">
          <cell r="G1349">
            <v>4419</v>
          </cell>
          <cell r="O1349">
            <v>85.58</v>
          </cell>
        </row>
        <row r="1350">
          <cell r="G1350">
            <v>4418</v>
          </cell>
          <cell r="O1350">
            <v>0.14000000000000001</v>
          </cell>
        </row>
        <row r="1351">
          <cell r="G1351">
            <v>4414</v>
          </cell>
          <cell r="O1351">
            <v>35.520000000000003</v>
          </cell>
        </row>
        <row r="1352">
          <cell r="G1352">
            <v>4413</v>
          </cell>
          <cell r="O1352">
            <v>4873.12</v>
          </cell>
        </row>
        <row r="1353">
          <cell r="G1353">
            <v>4412</v>
          </cell>
          <cell r="O1353">
            <v>1.69</v>
          </cell>
        </row>
        <row r="1354">
          <cell r="G1354">
            <v>4409</v>
          </cell>
          <cell r="O1354">
            <v>652.54</v>
          </cell>
        </row>
        <row r="1355">
          <cell r="G1355">
            <v>4402</v>
          </cell>
          <cell r="O1355">
            <v>770.65</v>
          </cell>
        </row>
        <row r="1356">
          <cell r="G1356">
            <v>4398</v>
          </cell>
          <cell r="O1356">
            <v>67.8</v>
          </cell>
        </row>
        <row r="1357">
          <cell r="G1357">
            <v>4397</v>
          </cell>
          <cell r="O1357">
            <v>242.8</v>
          </cell>
        </row>
        <row r="1358">
          <cell r="G1358">
            <v>4395</v>
          </cell>
          <cell r="O1358">
            <v>560.26</v>
          </cell>
        </row>
        <row r="1359">
          <cell r="G1359">
            <v>4391</v>
          </cell>
          <cell r="O1359">
            <v>2075.27</v>
          </cell>
        </row>
        <row r="1360">
          <cell r="G1360">
            <v>4387</v>
          </cell>
          <cell r="O1360">
            <v>0</v>
          </cell>
        </row>
        <row r="1361">
          <cell r="G1361">
            <v>4383</v>
          </cell>
          <cell r="O1361">
            <v>167.4</v>
          </cell>
        </row>
        <row r="1362">
          <cell r="G1362">
            <v>4373</v>
          </cell>
          <cell r="O1362">
            <v>8.4700000000000006</v>
          </cell>
        </row>
        <row r="1363">
          <cell r="G1363">
            <v>4364</v>
          </cell>
          <cell r="O1363">
            <v>50492.22</v>
          </cell>
        </row>
        <row r="1364">
          <cell r="G1364">
            <v>4358</v>
          </cell>
          <cell r="O1364">
            <v>163.04</v>
          </cell>
        </row>
        <row r="1365">
          <cell r="G1365">
            <v>4354</v>
          </cell>
          <cell r="O1365">
            <v>4.66</v>
          </cell>
        </row>
        <row r="1366">
          <cell r="G1366">
            <v>4353</v>
          </cell>
          <cell r="O1366">
            <v>32.03</v>
          </cell>
        </row>
        <row r="1367">
          <cell r="G1367">
            <v>4350</v>
          </cell>
          <cell r="O1367">
            <v>129.35</v>
          </cell>
        </row>
        <row r="1368">
          <cell r="G1368">
            <v>4344</v>
          </cell>
          <cell r="O1368">
            <v>61.3</v>
          </cell>
        </row>
        <row r="1369">
          <cell r="G1369">
            <v>4343</v>
          </cell>
          <cell r="O1369">
            <v>252.64</v>
          </cell>
        </row>
        <row r="1370">
          <cell r="G1370">
            <v>4342</v>
          </cell>
          <cell r="O1370">
            <v>603.6</v>
          </cell>
        </row>
        <row r="1371">
          <cell r="G1371">
            <v>4329</v>
          </cell>
          <cell r="O1371">
            <v>2824.73</v>
          </cell>
        </row>
        <row r="1372">
          <cell r="G1372">
            <v>4326</v>
          </cell>
          <cell r="O1372">
            <v>14.69</v>
          </cell>
        </row>
        <row r="1373">
          <cell r="G1373">
            <v>4325</v>
          </cell>
          <cell r="O1373">
            <v>42.26</v>
          </cell>
        </row>
        <row r="1374">
          <cell r="G1374">
            <v>4320</v>
          </cell>
          <cell r="O1374">
            <v>3500</v>
          </cell>
        </row>
        <row r="1375">
          <cell r="G1375">
            <v>4318</v>
          </cell>
          <cell r="O1375">
            <v>280.39</v>
          </cell>
        </row>
        <row r="1376">
          <cell r="G1376">
            <v>4314</v>
          </cell>
          <cell r="O1376">
            <v>27696.799999999999</v>
          </cell>
        </row>
        <row r="1377">
          <cell r="G1377">
            <v>4303</v>
          </cell>
          <cell r="O1377">
            <v>203.53</v>
          </cell>
        </row>
        <row r="1378">
          <cell r="G1378">
            <v>4302</v>
          </cell>
          <cell r="O1378">
            <v>7687.31</v>
          </cell>
        </row>
        <row r="1379">
          <cell r="G1379">
            <v>4301</v>
          </cell>
          <cell r="O1379">
            <v>2740.25</v>
          </cell>
        </row>
        <row r="1380">
          <cell r="G1380">
            <v>4282</v>
          </cell>
          <cell r="O1380">
            <v>325.41000000000003</v>
          </cell>
        </row>
        <row r="1381">
          <cell r="G1381">
            <v>4258</v>
          </cell>
          <cell r="O1381">
            <v>8409.6299999999992</v>
          </cell>
        </row>
        <row r="1382">
          <cell r="G1382">
            <v>4242</v>
          </cell>
          <cell r="O1382">
            <v>3877.04</v>
          </cell>
        </row>
        <row r="1383">
          <cell r="G1383">
            <v>4237</v>
          </cell>
          <cell r="O1383">
            <v>223786.63</v>
          </cell>
        </row>
        <row r="1384">
          <cell r="G1384">
            <v>4212</v>
          </cell>
          <cell r="O1384">
            <v>4912.74</v>
          </cell>
        </row>
        <row r="1385">
          <cell r="G1385">
            <v>4211</v>
          </cell>
          <cell r="O1385">
            <v>4691.22</v>
          </cell>
        </row>
        <row r="1386">
          <cell r="G1386">
            <v>4209</v>
          </cell>
          <cell r="O1386">
            <v>1920.39</v>
          </cell>
        </row>
        <row r="1387">
          <cell r="G1387">
            <v>4206</v>
          </cell>
          <cell r="O1387">
            <v>18127.12</v>
          </cell>
        </row>
        <row r="1388">
          <cell r="G1388">
            <v>4204</v>
          </cell>
          <cell r="O1388">
            <v>313.56</v>
          </cell>
        </row>
        <row r="1389">
          <cell r="G1389">
            <v>4096</v>
          </cell>
          <cell r="O1389">
            <v>4.4000000000000004</v>
          </cell>
        </row>
        <row r="1390">
          <cell r="G1390">
            <v>4095</v>
          </cell>
          <cell r="O1390">
            <v>372.03</v>
          </cell>
        </row>
        <row r="1391">
          <cell r="G1391">
            <v>4091</v>
          </cell>
          <cell r="O1391">
            <v>4758.97</v>
          </cell>
        </row>
        <row r="1392">
          <cell r="G1392">
            <v>4090</v>
          </cell>
          <cell r="O1392">
            <v>5185.2</v>
          </cell>
        </row>
        <row r="1393">
          <cell r="G1393">
            <v>4088</v>
          </cell>
          <cell r="O1393">
            <v>370.44</v>
          </cell>
        </row>
        <row r="1394">
          <cell r="G1394">
            <v>4083</v>
          </cell>
          <cell r="O1394">
            <v>4.2300000000000004</v>
          </cell>
        </row>
        <row r="1395">
          <cell r="G1395">
            <v>4082</v>
          </cell>
          <cell r="O1395">
            <v>82.2</v>
          </cell>
        </row>
        <row r="1396">
          <cell r="G1396">
            <v>4081</v>
          </cell>
          <cell r="O1396">
            <v>122.46</v>
          </cell>
        </row>
        <row r="1397">
          <cell r="G1397">
            <v>4078</v>
          </cell>
          <cell r="O1397">
            <v>0</v>
          </cell>
        </row>
        <row r="1398">
          <cell r="G1398">
            <v>4075</v>
          </cell>
          <cell r="O1398">
            <v>9.58</v>
          </cell>
        </row>
        <row r="1399">
          <cell r="G1399">
            <v>4073</v>
          </cell>
          <cell r="O1399">
            <v>7.48</v>
          </cell>
        </row>
        <row r="1400">
          <cell r="G1400">
            <v>4062</v>
          </cell>
          <cell r="O1400">
            <v>152.54</v>
          </cell>
        </row>
        <row r="1401">
          <cell r="G1401">
            <v>4055</v>
          </cell>
          <cell r="O1401">
            <v>554.29999999999995</v>
          </cell>
        </row>
        <row r="1402">
          <cell r="G1402">
            <v>4054</v>
          </cell>
          <cell r="O1402">
            <v>6385.62</v>
          </cell>
        </row>
        <row r="1403">
          <cell r="G1403">
            <v>4052</v>
          </cell>
          <cell r="O1403">
            <v>76.16</v>
          </cell>
        </row>
        <row r="1404">
          <cell r="G1404">
            <v>4040</v>
          </cell>
          <cell r="O1404">
            <v>0.02</v>
          </cell>
        </row>
        <row r="1405">
          <cell r="G1405">
            <v>4032</v>
          </cell>
          <cell r="O1405">
            <v>1738.6</v>
          </cell>
        </row>
        <row r="1406">
          <cell r="G1406">
            <v>4004</v>
          </cell>
          <cell r="O1406">
            <v>1999.83</v>
          </cell>
        </row>
        <row r="1407">
          <cell r="G1407">
            <v>3892</v>
          </cell>
          <cell r="O1407">
            <v>54.91</v>
          </cell>
        </row>
        <row r="1408">
          <cell r="G1408">
            <v>3891</v>
          </cell>
          <cell r="O1408">
            <v>28.81</v>
          </cell>
        </row>
        <row r="1409">
          <cell r="G1409">
            <v>3885</v>
          </cell>
          <cell r="O1409">
            <v>577.39</v>
          </cell>
        </row>
        <row r="1410">
          <cell r="G1410">
            <v>3884</v>
          </cell>
          <cell r="O1410">
            <v>614.41</v>
          </cell>
        </row>
        <row r="1411">
          <cell r="G1411">
            <v>3883</v>
          </cell>
          <cell r="O1411">
            <v>444.91</v>
          </cell>
        </row>
        <row r="1412">
          <cell r="G1412">
            <v>3882</v>
          </cell>
          <cell r="O1412">
            <v>540.25</v>
          </cell>
        </row>
        <row r="1413">
          <cell r="G1413">
            <v>3881</v>
          </cell>
          <cell r="O1413">
            <v>59.32</v>
          </cell>
        </row>
        <row r="1414">
          <cell r="G1414">
            <v>3856</v>
          </cell>
          <cell r="O1414">
            <v>965.8</v>
          </cell>
        </row>
        <row r="1415">
          <cell r="G1415">
            <v>3855</v>
          </cell>
          <cell r="O1415">
            <v>1574.33</v>
          </cell>
        </row>
        <row r="1416">
          <cell r="G1416">
            <v>3854</v>
          </cell>
          <cell r="O1416">
            <v>90.83</v>
          </cell>
        </row>
        <row r="1417">
          <cell r="G1417">
            <v>3849</v>
          </cell>
          <cell r="O1417">
            <v>8.4700000000000006</v>
          </cell>
        </row>
        <row r="1418">
          <cell r="G1418">
            <v>3847</v>
          </cell>
          <cell r="O1418">
            <v>502.53</v>
          </cell>
        </row>
        <row r="1419">
          <cell r="G1419">
            <v>3844</v>
          </cell>
          <cell r="O1419">
            <v>40.68</v>
          </cell>
        </row>
        <row r="1420">
          <cell r="G1420">
            <v>3842</v>
          </cell>
          <cell r="O1420">
            <v>2519</v>
          </cell>
        </row>
        <row r="1421">
          <cell r="G1421">
            <v>3838</v>
          </cell>
          <cell r="O1421">
            <v>2160.9899999999998</v>
          </cell>
        </row>
        <row r="1422">
          <cell r="G1422">
            <v>3833</v>
          </cell>
          <cell r="O1422">
            <v>4066.29</v>
          </cell>
        </row>
        <row r="1423">
          <cell r="G1423">
            <v>3832</v>
          </cell>
          <cell r="O1423">
            <v>26.69</v>
          </cell>
        </row>
        <row r="1424">
          <cell r="G1424">
            <v>3831</v>
          </cell>
          <cell r="O1424">
            <v>24</v>
          </cell>
        </row>
        <row r="1425">
          <cell r="G1425">
            <v>3827</v>
          </cell>
          <cell r="O1425">
            <v>115.36</v>
          </cell>
        </row>
        <row r="1426">
          <cell r="G1426">
            <v>3813</v>
          </cell>
          <cell r="O1426">
            <v>413.49</v>
          </cell>
        </row>
        <row r="1427">
          <cell r="G1427">
            <v>3801</v>
          </cell>
          <cell r="O1427">
            <v>66.849999999999994</v>
          </cell>
        </row>
        <row r="1428">
          <cell r="G1428">
            <v>3798</v>
          </cell>
          <cell r="O1428">
            <v>3164.02</v>
          </cell>
        </row>
        <row r="1429">
          <cell r="G1429">
            <v>3797</v>
          </cell>
          <cell r="O1429">
            <v>193.59</v>
          </cell>
        </row>
        <row r="1430">
          <cell r="G1430">
            <v>3795</v>
          </cell>
          <cell r="O1430">
            <v>42.27</v>
          </cell>
        </row>
        <row r="1431">
          <cell r="G1431">
            <v>3787</v>
          </cell>
          <cell r="O1431">
            <v>575.76</v>
          </cell>
        </row>
        <row r="1432">
          <cell r="G1432">
            <v>3783</v>
          </cell>
          <cell r="O1432">
            <v>48</v>
          </cell>
        </row>
        <row r="1433">
          <cell r="G1433">
            <v>3782</v>
          </cell>
          <cell r="O1433">
            <v>1166.3599999999999</v>
          </cell>
        </row>
        <row r="1434">
          <cell r="G1434">
            <v>3781</v>
          </cell>
          <cell r="O1434">
            <v>25209.22</v>
          </cell>
        </row>
        <row r="1435">
          <cell r="G1435">
            <v>3779</v>
          </cell>
          <cell r="O1435">
            <v>386.2</v>
          </cell>
        </row>
        <row r="1436">
          <cell r="G1436">
            <v>3778</v>
          </cell>
          <cell r="O1436">
            <v>1352.54</v>
          </cell>
        </row>
        <row r="1437">
          <cell r="G1437">
            <v>3776</v>
          </cell>
          <cell r="O1437">
            <v>0</v>
          </cell>
        </row>
        <row r="1438">
          <cell r="G1438">
            <v>3775</v>
          </cell>
          <cell r="O1438">
            <v>7.37</v>
          </cell>
        </row>
        <row r="1439">
          <cell r="G1439">
            <v>3768</v>
          </cell>
          <cell r="O1439">
            <v>643.77</v>
          </cell>
        </row>
        <row r="1440">
          <cell r="G1440">
            <v>3766</v>
          </cell>
          <cell r="O1440">
            <v>277.19</v>
          </cell>
        </row>
        <row r="1441">
          <cell r="G1441">
            <v>3765</v>
          </cell>
          <cell r="O1441">
            <v>246.31</v>
          </cell>
        </row>
        <row r="1442">
          <cell r="G1442">
            <v>3762</v>
          </cell>
          <cell r="O1442">
            <v>4</v>
          </cell>
        </row>
        <row r="1443">
          <cell r="G1443">
            <v>3754</v>
          </cell>
          <cell r="O1443">
            <v>242.41</v>
          </cell>
        </row>
        <row r="1444">
          <cell r="G1444">
            <v>3752</v>
          </cell>
          <cell r="O1444">
            <v>232.61</v>
          </cell>
        </row>
        <row r="1445">
          <cell r="G1445">
            <v>3751</v>
          </cell>
          <cell r="O1445">
            <v>401.9</v>
          </cell>
        </row>
        <row r="1446">
          <cell r="G1446">
            <v>3749</v>
          </cell>
          <cell r="O1446">
            <v>45.64</v>
          </cell>
        </row>
        <row r="1447">
          <cell r="G1447">
            <v>3747</v>
          </cell>
          <cell r="O1447">
            <v>262.76</v>
          </cell>
        </row>
        <row r="1448">
          <cell r="G1448">
            <v>3716</v>
          </cell>
          <cell r="O1448">
            <v>67.790000000000006</v>
          </cell>
        </row>
        <row r="1449">
          <cell r="G1449">
            <v>3702</v>
          </cell>
          <cell r="O1449">
            <v>26357.64</v>
          </cell>
        </row>
        <row r="1450">
          <cell r="G1450">
            <v>3681</v>
          </cell>
          <cell r="O1450">
            <v>770.33</v>
          </cell>
        </row>
        <row r="1451">
          <cell r="G1451">
            <v>3678</v>
          </cell>
          <cell r="O1451">
            <v>110520.29</v>
          </cell>
        </row>
        <row r="1452">
          <cell r="G1452">
            <v>3676</v>
          </cell>
          <cell r="O1452">
            <v>0</v>
          </cell>
        </row>
        <row r="1453">
          <cell r="G1453">
            <v>3675</v>
          </cell>
          <cell r="O1453">
            <v>5749.27</v>
          </cell>
        </row>
        <row r="1454">
          <cell r="G1454">
            <v>3672</v>
          </cell>
          <cell r="O1454">
            <v>237.3</v>
          </cell>
        </row>
        <row r="1455">
          <cell r="G1455">
            <v>3666</v>
          </cell>
          <cell r="O1455">
            <v>3.43</v>
          </cell>
        </row>
        <row r="1456">
          <cell r="G1456">
            <v>3663</v>
          </cell>
          <cell r="O1456">
            <v>267.41000000000003</v>
          </cell>
        </row>
        <row r="1457">
          <cell r="G1457">
            <v>3660</v>
          </cell>
          <cell r="O1457">
            <v>47.46</v>
          </cell>
        </row>
        <row r="1458">
          <cell r="G1458">
            <v>3659</v>
          </cell>
          <cell r="O1458">
            <v>61.85</v>
          </cell>
        </row>
        <row r="1459">
          <cell r="G1459">
            <v>3654</v>
          </cell>
          <cell r="O1459">
            <v>450.85</v>
          </cell>
        </row>
        <row r="1460">
          <cell r="G1460">
            <v>3646</v>
          </cell>
          <cell r="O1460">
            <v>71.75</v>
          </cell>
        </row>
        <row r="1461">
          <cell r="G1461">
            <v>3624</v>
          </cell>
          <cell r="O1461">
            <v>31.78</v>
          </cell>
        </row>
        <row r="1462">
          <cell r="G1462">
            <v>3621</v>
          </cell>
          <cell r="O1462">
            <v>1320</v>
          </cell>
        </row>
        <row r="1463">
          <cell r="G1463">
            <v>3616</v>
          </cell>
          <cell r="O1463">
            <v>3.81</v>
          </cell>
        </row>
        <row r="1464">
          <cell r="G1464">
            <v>3605</v>
          </cell>
          <cell r="O1464">
            <v>34.69</v>
          </cell>
        </row>
        <row r="1465">
          <cell r="G1465">
            <v>3604</v>
          </cell>
          <cell r="O1465">
            <v>84.75</v>
          </cell>
        </row>
        <row r="1466">
          <cell r="G1466">
            <v>3603</v>
          </cell>
          <cell r="O1466">
            <v>152.54</v>
          </cell>
        </row>
        <row r="1467">
          <cell r="G1467">
            <v>3599</v>
          </cell>
          <cell r="O1467">
            <v>805.57</v>
          </cell>
        </row>
        <row r="1468">
          <cell r="G1468">
            <v>3595</v>
          </cell>
          <cell r="O1468">
            <v>67.11</v>
          </cell>
        </row>
        <row r="1469">
          <cell r="G1469">
            <v>3592</v>
          </cell>
          <cell r="O1469">
            <v>635.59</v>
          </cell>
        </row>
        <row r="1470">
          <cell r="G1470">
            <v>3588</v>
          </cell>
          <cell r="O1470">
            <v>513.20000000000005</v>
          </cell>
        </row>
        <row r="1471">
          <cell r="G1471">
            <v>3585</v>
          </cell>
          <cell r="O1471">
            <v>849.5</v>
          </cell>
        </row>
        <row r="1472">
          <cell r="G1472">
            <v>3584</v>
          </cell>
          <cell r="O1472">
            <v>1533.02</v>
          </cell>
        </row>
        <row r="1473">
          <cell r="G1473">
            <v>3583</v>
          </cell>
          <cell r="O1473">
            <v>237.39</v>
          </cell>
        </row>
        <row r="1474">
          <cell r="G1474">
            <v>3582</v>
          </cell>
          <cell r="O1474">
            <v>161.74</v>
          </cell>
        </row>
        <row r="1475">
          <cell r="G1475">
            <v>3573</v>
          </cell>
          <cell r="O1475">
            <v>16790.509999999998</v>
          </cell>
        </row>
        <row r="1476">
          <cell r="G1476">
            <v>3572</v>
          </cell>
          <cell r="O1476">
            <v>10668.16</v>
          </cell>
        </row>
        <row r="1477">
          <cell r="G1477">
            <v>3571</v>
          </cell>
          <cell r="O1477">
            <v>14101.17</v>
          </cell>
        </row>
        <row r="1478">
          <cell r="G1478">
            <v>3570</v>
          </cell>
          <cell r="O1478">
            <v>15670.76</v>
          </cell>
        </row>
        <row r="1479">
          <cell r="G1479">
            <v>3569</v>
          </cell>
          <cell r="O1479">
            <v>12.71</v>
          </cell>
        </row>
        <row r="1480">
          <cell r="G1480">
            <v>3566</v>
          </cell>
          <cell r="O1480">
            <v>177.97</v>
          </cell>
        </row>
        <row r="1481">
          <cell r="G1481">
            <v>3563</v>
          </cell>
          <cell r="O1481">
            <v>686.9</v>
          </cell>
        </row>
        <row r="1482">
          <cell r="G1482">
            <v>3558</v>
          </cell>
          <cell r="O1482">
            <v>50.84</v>
          </cell>
        </row>
        <row r="1483">
          <cell r="G1483">
            <v>3552</v>
          </cell>
          <cell r="O1483">
            <v>2159.3200000000002</v>
          </cell>
        </row>
        <row r="1484">
          <cell r="G1484">
            <v>3545</v>
          </cell>
          <cell r="O1484">
            <v>993.21</v>
          </cell>
        </row>
        <row r="1485">
          <cell r="G1485">
            <v>3537</v>
          </cell>
          <cell r="O1485">
            <v>238.99</v>
          </cell>
        </row>
        <row r="1486">
          <cell r="G1486">
            <v>3536</v>
          </cell>
          <cell r="O1486">
            <v>4480.1899999999996</v>
          </cell>
        </row>
        <row r="1487">
          <cell r="G1487">
            <v>3535</v>
          </cell>
          <cell r="O1487">
            <v>234.74</v>
          </cell>
        </row>
        <row r="1488">
          <cell r="G1488">
            <v>3514</v>
          </cell>
          <cell r="O1488">
            <v>82.11</v>
          </cell>
        </row>
        <row r="1489">
          <cell r="G1489">
            <v>3507</v>
          </cell>
          <cell r="O1489">
            <v>555.92999999999995</v>
          </cell>
        </row>
        <row r="1490">
          <cell r="G1490">
            <v>3506</v>
          </cell>
          <cell r="O1490">
            <v>389.82</v>
          </cell>
        </row>
        <row r="1491">
          <cell r="G1491">
            <v>3505</v>
          </cell>
          <cell r="O1491">
            <v>2097.7199999999998</v>
          </cell>
        </row>
        <row r="1492">
          <cell r="G1492">
            <v>3504</v>
          </cell>
          <cell r="O1492">
            <v>34.32</v>
          </cell>
        </row>
        <row r="1493">
          <cell r="G1493">
            <v>3501</v>
          </cell>
          <cell r="O1493">
            <v>1230.04</v>
          </cell>
        </row>
        <row r="1494">
          <cell r="G1494">
            <v>3493</v>
          </cell>
          <cell r="O1494">
            <v>108.31</v>
          </cell>
        </row>
        <row r="1495">
          <cell r="G1495">
            <v>3484</v>
          </cell>
          <cell r="O1495">
            <v>899.51</v>
          </cell>
        </row>
        <row r="1496">
          <cell r="G1496">
            <v>3474</v>
          </cell>
          <cell r="O1496">
            <v>36.299999999999997</v>
          </cell>
        </row>
        <row r="1497">
          <cell r="G1497">
            <v>3473</v>
          </cell>
          <cell r="O1497">
            <v>49.5</v>
          </cell>
        </row>
        <row r="1498">
          <cell r="G1498">
            <v>3464</v>
          </cell>
          <cell r="O1498">
            <v>182.2</v>
          </cell>
        </row>
        <row r="1499">
          <cell r="G1499">
            <v>3462</v>
          </cell>
          <cell r="O1499">
            <v>67.8</v>
          </cell>
        </row>
        <row r="1500">
          <cell r="G1500">
            <v>3456</v>
          </cell>
          <cell r="O1500">
            <v>1637.64</v>
          </cell>
        </row>
        <row r="1501">
          <cell r="G1501">
            <v>3454</v>
          </cell>
          <cell r="O1501">
            <v>7.12</v>
          </cell>
        </row>
        <row r="1502">
          <cell r="G1502">
            <v>3453</v>
          </cell>
          <cell r="O1502">
            <v>678.76</v>
          </cell>
        </row>
        <row r="1503">
          <cell r="G1503">
            <v>3449</v>
          </cell>
          <cell r="O1503">
            <v>671.19</v>
          </cell>
        </row>
        <row r="1504">
          <cell r="G1504">
            <v>3448</v>
          </cell>
          <cell r="O1504">
            <v>2620.52</v>
          </cell>
        </row>
        <row r="1505">
          <cell r="G1505">
            <v>3440</v>
          </cell>
          <cell r="O1505">
            <v>746.25</v>
          </cell>
        </row>
        <row r="1506">
          <cell r="G1506">
            <v>3439</v>
          </cell>
          <cell r="O1506">
            <v>4.9000000000000004</v>
          </cell>
        </row>
        <row r="1507">
          <cell r="G1507">
            <v>3438</v>
          </cell>
          <cell r="O1507">
            <v>211.87</v>
          </cell>
        </row>
        <row r="1508">
          <cell r="G1508">
            <v>3405</v>
          </cell>
          <cell r="O1508">
            <v>41.3</v>
          </cell>
        </row>
        <row r="1509">
          <cell r="G1509">
            <v>3401</v>
          </cell>
          <cell r="O1509">
            <v>360.29</v>
          </cell>
        </row>
        <row r="1510">
          <cell r="G1510">
            <v>3393</v>
          </cell>
          <cell r="O1510">
            <v>76.27</v>
          </cell>
        </row>
        <row r="1511">
          <cell r="G1511">
            <v>3390</v>
          </cell>
          <cell r="O1511">
            <v>23844.61</v>
          </cell>
        </row>
        <row r="1512">
          <cell r="G1512">
            <v>3370</v>
          </cell>
          <cell r="O1512">
            <v>3.64</v>
          </cell>
        </row>
        <row r="1513">
          <cell r="G1513">
            <v>3359</v>
          </cell>
          <cell r="O1513">
            <v>165.12</v>
          </cell>
        </row>
        <row r="1514">
          <cell r="G1514">
            <v>3342</v>
          </cell>
          <cell r="O1514">
            <v>45.76</v>
          </cell>
        </row>
        <row r="1515">
          <cell r="G1515">
            <v>3317</v>
          </cell>
          <cell r="O1515">
            <v>131.11000000000001</v>
          </cell>
        </row>
        <row r="1516">
          <cell r="G1516">
            <v>3316</v>
          </cell>
          <cell r="O1516">
            <v>639.17999999999995</v>
          </cell>
        </row>
        <row r="1517">
          <cell r="G1517">
            <v>3312</v>
          </cell>
          <cell r="O1517">
            <v>1020657.62</v>
          </cell>
        </row>
        <row r="1518">
          <cell r="G1518">
            <v>3310</v>
          </cell>
          <cell r="O1518">
            <v>82.27</v>
          </cell>
        </row>
        <row r="1519">
          <cell r="G1519">
            <v>3301</v>
          </cell>
          <cell r="O1519">
            <v>876.37</v>
          </cell>
        </row>
        <row r="1520">
          <cell r="G1520">
            <v>3300</v>
          </cell>
          <cell r="O1520">
            <v>416.06</v>
          </cell>
        </row>
        <row r="1521">
          <cell r="G1521">
            <v>3299</v>
          </cell>
          <cell r="O1521">
            <v>1.53</v>
          </cell>
        </row>
        <row r="1522">
          <cell r="G1522">
            <v>3298</v>
          </cell>
          <cell r="O1522">
            <v>560.26</v>
          </cell>
        </row>
        <row r="1523">
          <cell r="G1523">
            <v>3297</v>
          </cell>
          <cell r="O1523">
            <v>5.85</v>
          </cell>
        </row>
        <row r="1524">
          <cell r="G1524">
            <v>3294</v>
          </cell>
          <cell r="O1524">
            <v>19007.55</v>
          </cell>
        </row>
        <row r="1525">
          <cell r="G1525">
            <v>3270</v>
          </cell>
          <cell r="O1525">
            <v>338.14</v>
          </cell>
        </row>
        <row r="1526">
          <cell r="G1526">
            <v>3269</v>
          </cell>
          <cell r="O1526">
            <v>73.180000000000007</v>
          </cell>
        </row>
        <row r="1527">
          <cell r="G1527">
            <v>3267</v>
          </cell>
          <cell r="O1527">
            <v>3188.75</v>
          </cell>
        </row>
        <row r="1528">
          <cell r="G1528">
            <v>3266</v>
          </cell>
          <cell r="O1528">
            <v>109.53</v>
          </cell>
        </row>
        <row r="1529">
          <cell r="G1529">
            <v>3264</v>
          </cell>
          <cell r="O1529">
            <v>346.39</v>
          </cell>
        </row>
        <row r="1530">
          <cell r="G1530">
            <v>3263</v>
          </cell>
          <cell r="O1530">
            <v>99.19</v>
          </cell>
        </row>
        <row r="1531">
          <cell r="G1531">
            <v>3258</v>
          </cell>
          <cell r="O1531">
            <v>4009.71</v>
          </cell>
        </row>
        <row r="1532">
          <cell r="G1532">
            <v>3257</v>
          </cell>
          <cell r="O1532">
            <v>322.02999999999997</v>
          </cell>
        </row>
        <row r="1533">
          <cell r="G1533">
            <v>3240</v>
          </cell>
          <cell r="O1533">
            <v>64</v>
          </cell>
        </row>
        <row r="1534">
          <cell r="G1534">
            <v>3230</v>
          </cell>
          <cell r="O1534">
            <v>10.55</v>
          </cell>
        </row>
        <row r="1535">
          <cell r="G1535">
            <v>3229</v>
          </cell>
          <cell r="O1535">
            <v>50.87</v>
          </cell>
        </row>
        <row r="1536">
          <cell r="G1536">
            <v>3226</v>
          </cell>
          <cell r="O1536">
            <v>947.47</v>
          </cell>
        </row>
        <row r="1537">
          <cell r="G1537">
            <v>3225</v>
          </cell>
          <cell r="O1537">
            <v>693.36</v>
          </cell>
        </row>
        <row r="1538">
          <cell r="G1538">
            <v>3210</v>
          </cell>
          <cell r="O1538">
            <v>193.23</v>
          </cell>
        </row>
        <row r="1539">
          <cell r="G1539">
            <v>3204</v>
          </cell>
          <cell r="O1539">
            <v>720.34</v>
          </cell>
        </row>
        <row r="1540">
          <cell r="G1540">
            <v>3203</v>
          </cell>
          <cell r="O1540">
            <v>7280.32</v>
          </cell>
        </row>
        <row r="1541">
          <cell r="G1541">
            <v>3202</v>
          </cell>
          <cell r="O1541">
            <v>2651.77</v>
          </cell>
        </row>
        <row r="1542">
          <cell r="G1542">
            <v>3201</v>
          </cell>
          <cell r="O1542">
            <v>30.5</v>
          </cell>
        </row>
        <row r="1543">
          <cell r="G1543">
            <v>3200</v>
          </cell>
          <cell r="O1543">
            <v>282.45</v>
          </cell>
        </row>
        <row r="1544">
          <cell r="G1544">
            <v>3184</v>
          </cell>
          <cell r="O1544">
            <v>187.89</v>
          </cell>
        </row>
        <row r="1545">
          <cell r="G1545">
            <v>3183</v>
          </cell>
          <cell r="O1545">
            <v>16</v>
          </cell>
        </row>
        <row r="1546">
          <cell r="G1546">
            <v>3181</v>
          </cell>
          <cell r="O1546">
            <v>744.14</v>
          </cell>
        </row>
        <row r="1547">
          <cell r="G1547">
            <v>3180</v>
          </cell>
          <cell r="O1547">
            <v>291.60000000000002</v>
          </cell>
        </row>
        <row r="1548">
          <cell r="G1548">
            <v>3177</v>
          </cell>
          <cell r="O1548">
            <v>84.92</v>
          </cell>
        </row>
        <row r="1549">
          <cell r="G1549">
            <v>3175</v>
          </cell>
          <cell r="O1549">
            <v>74.58</v>
          </cell>
        </row>
        <row r="1550">
          <cell r="G1550">
            <v>3174</v>
          </cell>
          <cell r="O1550">
            <v>6828.12</v>
          </cell>
        </row>
        <row r="1551">
          <cell r="G1551">
            <v>3172</v>
          </cell>
          <cell r="O1551">
            <v>2009.03</v>
          </cell>
        </row>
        <row r="1552">
          <cell r="G1552">
            <v>3170</v>
          </cell>
          <cell r="O1552">
            <v>1090.17</v>
          </cell>
        </row>
        <row r="1553">
          <cell r="G1553">
            <v>3169</v>
          </cell>
          <cell r="O1553">
            <v>93.56</v>
          </cell>
        </row>
        <row r="1554">
          <cell r="G1554">
            <v>3168</v>
          </cell>
          <cell r="O1554">
            <v>542.04</v>
          </cell>
        </row>
        <row r="1555">
          <cell r="G1555">
            <v>3167</v>
          </cell>
          <cell r="O1555">
            <v>358.71</v>
          </cell>
        </row>
        <row r="1556">
          <cell r="G1556">
            <v>3165</v>
          </cell>
          <cell r="O1556">
            <v>180.38</v>
          </cell>
        </row>
        <row r="1557">
          <cell r="G1557">
            <v>3163</v>
          </cell>
          <cell r="O1557">
            <v>310.20999999999998</v>
          </cell>
        </row>
        <row r="1558">
          <cell r="G1558">
            <v>3161</v>
          </cell>
          <cell r="O1558">
            <v>6333.83</v>
          </cell>
        </row>
        <row r="1559">
          <cell r="G1559">
            <v>3158</v>
          </cell>
          <cell r="O1559">
            <v>772.08</v>
          </cell>
        </row>
        <row r="1560">
          <cell r="G1560">
            <v>3155</v>
          </cell>
          <cell r="O1560">
            <v>7.5</v>
          </cell>
        </row>
        <row r="1561">
          <cell r="G1561">
            <v>3150</v>
          </cell>
          <cell r="O1561">
            <v>2262.71</v>
          </cell>
        </row>
        <row r="1562">
          <cell r="G1562">
            <v>3149</v>
          </cell>
          <cell r="O1562">
            <v>695.5</v>
          </cell>
        </row>
        <row r="1563">
          <cell r="G1563">
            <v>3147</v>
          </cell>
          <cell r="O1563">
            <v>4508.46</v>
          </cell>
        </row>
        <row r="1564">
          <cell r="G1564">
            <v>3143</v>
          </cell>
          <cell r="O1564">
            <v>123.48</v>
          </cell>
        </row>
        <row r="1565">
          <cell r="G1565">
            <v>3141</v>
          </cell>
          <cell r="O1565">
            <v>821.77</v>
          </cell>
        </row>
        <row r="1566">
          <cell r="G1566">
            <v>3135</v>
          </cell>
          <cell r="O1566">
            <v>530.20000000000005</v>
          </cell>
        </row>
        <row r="1567">
          <cell r="G1567">
            <v>3134</v>
          </cell>
          <cell r="O1567">
            <v>1057.9000000000001</v>
          </cell>
        </row>
        <row r="1568">
          <cell r="G1568">
            <v>3133</v>
          </cell>
          <cell r="O1568">
            <v>54.77</v>
          </cell>
        </row>
        <row r="1569">
          <cell r="G1569">
            <v>3131</v>
          </cell>
          <cell r="O1569">
            <v>40.729999999999997</v>
          </cell>
        </row>
        <row r="1570">
          <cell r="G1570">
            <v>3130</v>
          </cell>
          <cell r="O1570">
            <v>211.86</v>
          </cell>
        </row>
        <row r="1571">
          <cell r="G1571">
            <v>3128</v>
          </cell>
          <cell r="O1571">
            <v>67.790000000000006</v>
          </cell>
        </row>
        <row r="1572">
          <cell r="G1572">
            <v>3127</v>
          </cell>
          <cell r="O1572">
            <v>120.05</v>
          </cell>
        </row>
        <row r="1573">
          <cell r="G1573">
            <v>3124</v>
          </cell>
          <cell r="O1573">
            <v>36.11</v>
          </cell>
        </row>
        <row r="1574">
          <cell r="G1574">
            <v>3123</v>
          </cell>
          <cell r="O1574">
            <v>694.96</v>
          </cell>
        </row>
        <row r="1575">
          <cell r="G1575">
            <v>3122</v>
          </cell>
          <cell r="O1575">
            <v>427.73</v>
          </cell>
        </row>
        <row r="1576">
          <cell r="G1576">
            <v>3121</v>
          </cell>
          <cell r="O1576">
            <v>200.02</v>
          </cell>
        </row>
        <row r="1577">
          <cell r="G1577">
            <v>3120</v>
          </cell>
          <cell r="O1577">
            <v>239.29</v>
          </cell>
        </row>
        <row r="1578">
          <cell r="G1578">
            <v>3119</v>
          </cell>
          <cell r="O1578">
            <v>111.5</v>
          </cell>
        </row>
        <row r="1579">
          <cell r="G1579">
            <v>3118</v>
          </cell>
          <cell r="O1579">
            <v>100.09</v>
          </cell>
        </row>
        <row r="1580">
          <cell r="G1580">
            <v>3117</v>
          </cell>
          <cell r="O1580">
            <v>4675.1499999999996</v>
          </cell>
        </row>
        <row r="1581">
          <cell r="G1581">
            <v>3115</v>
          </cell>
          <cell r="O1581">
            <v>0</v>
          </cell>
        </row>
        <row r="1582">
          <cell r="G1582">
            <v>3109</v>
          </cell>
          <cell r="O1582">
            <v>6218.99</v>
          </cell>
        </row>
        <row r="1583">
          <cell r="G1583">
            <v>3092</v>
          </cell>
          <cell r="O1583">
            <v>3380.43</v>
          </cell>
        </row>
        <row r="1584">
          <cell r="G1584">
            <v>3088</v>
          </cell>
          <cell r="O1584">
            <v>533.9</v>
          </cell>
        </row>
        <row r="1585">
          <cell r="G1585">
            <v>3084</v>
          </cell>
          <cell r="O1585">
            <v>12.71</v>
          </cell>
        </row>
        <row r="1586">
          <cell r="G1586">
            <v>3083</v>
          </cell>
          <cell r="O1586">
            <v>251.33</v>
          </cell>
        </row>
        <row r="1587">
          <cell r="G1587">
            <v>3082</v>
          </cell>
          <cell r="O1587">
            <v>1697.55</v>
          </cell>
        </row>
        <row r="1588">
          <cell r="G1588">
            <v>3081</v>
          </cell>
          <cell r="O1588">
            <v>1495.91</v>
          </cell>
        </row>
        <row r="1589">
          <cell r="G1589">
            <v>3080</v>
          </cell>
          <cell r="O1589">
            <v>581.38</v>
          </cell>
        </row>
        <row r="1590">
          <cell r="G1590">
            <v>3079</v>
          </cell>
          <cell r="O1590">
            <v>0</v>
          </cell>
        </row>
        <row r="1591">
          <cell r="G1591">
            <v>3078</v>
          </cell>
          <cell r="O1591">
            <v>410.06</v>
          </cell>
        </row>
        <row r="1592">
          <cell r="G1592">
            <v>3077</v>
          </cell>
          <cell r="O1592">
            <v>74.14</v>
          </cell>
        </row>
        <row r="1593">
          <cell r="G1593">
            <v>3075</v>
          </cell>
          <cell r="O1593">
            <v>74.239999999999995</v>
          </cell>
        </row>
        <row r="1594">
          <cell r="G1594">
            <v>3073</v>
          </cell>
          <cell r="O1594">
            <v>320.77999999999997</v>
          </cell>
        </row>
        <row r="1595">
          <cell r="G1595">
            <v>3071</v>
          </cell>
          <cell r="O1595">
            <v>2658.17</v>
          </cell>
        </row>
        <row r="1596">
          <cell r="G1596">
            <v>3070</v>
          </cell>
          <cell r="O1596">
            <v>255.62</v>
          </cell>
        </row>
        <row r="1597">
          <cell r="G1597">
            <v>3066</v>
          </cell>
          <cell r="O1597">
            <v>558.85</v>
          </cell>
        </row>
        <row r="1598">
          <cell r="G1598">
            <v>3065</v>
          </cell>
          <cell r="O1598">
            <v>200.42</v>
          </cell>
        </row>
        <row r="1599">
          <cell r="G1599">
            <v>3060</v>
          </cell>
          <cell r="O1599">
            <v>9334.43</v>
          </cell>
        </row>
        <row r="1600">
          <cell r="G1600">
            <v>3057</v>
          </cell>
          <cell r="O1600">
            <v>3803</v>
          </cell>
        </row>
        <row r="1601">
          <cell r="G1601">
            <v>3054</v>
          </cell>
          <cell r="O1601">
            <v>424.08</v>
          </cell>
        </row>
        <row r="1602">
          <cell r="G1602">
            <v>3052</v>
          </cell>
          <cell r="O1602">
            <v>203.38</v>
          </cell>
        </row>
        <row r="1603">
          <cell r="G1603">
            <v>3051</v>
          </cell>
          <cell r="O1603">
            <v>1285.03</v>
          </cell>
        </row>
        <row r="1604">
          <cell r="G1604">
            <v>3050</v>
          </cell>
          <cell r="O1604">
            <v>467.38</v>
          </cell>
        </row>
        <row r="1605">
          <cell r="G1605">
            <v>3048</v>
          </cell>
          <cell r="O1605">
            <v>41.07</v>
          </cell>
        </row>
        <row r="1606">
          <cell r="G1606">
            <v>3047</v>
          </cell>
          <cell r="O1606">
            <v>19.84</v>
          </cell>
        </row>
        <row r="1607">
          <cell r="G1607">
            <v>3046</v>
          </cell>
          <cell r="O1607">
            <v>1212.4000000000001</v>
          </cell>
        </row>
        <row r="1608">
          <cell r="G1608">
            <v>3044</v>
          </cell>
          <cell r="O1608">
            <v>363.18</v>
          </cell>
        </row>
        <row r="1609">
          <cell r="G1609">
            <v>3042</v>
          </cell>
          <cell r="O1609">
            <v>14.62</v>
          </cell>
        </row>
        <row r="1610">
          <cell r="G1610">
            <v>3041</v>
          </cell>
          <cell r="O1610">
            <v>179.67</v>
          </cell>
        </row>
        <row r="1611">
          <cell r="G1611">
            <v>3033</v>
          </cell>
          <cell r="O1611">
            <v>77.290000000000006</v>
          </cell>
        </row>
        <row r="1612">
          <cell r="G1612">
            <v>3031</v>
          </cell>
          <cell r="O1612">
            <v>54.75</v>
          </cell>
        </row>
        <row r="1613">
          <cell r="G1613">
            <v>3028</v>
          </cell>
          <cell r="O1613">
            <v>22.95</v>
          </cell>
        </row>
        <row r="1614">
          <cell r="G1614">
            <v>3023</v>
          </cell>
          <cell r="O1614">
            <v>32.32</v>
          </cell>
        </row>
        <row r="1615">
          <cell r="G1615">
            <v>3021</v>
          </cell>
          <cell r="O1615">
            <v>388.18</v>
          </cell>
        </row>
        <row r="1616">
          <cell r="G1616">
            <v>3011</v>
          </cell>
          <cell r="O1616">
            <v>4386.53</v>
          </cell>
        </row>
        <row r="1617">
          <cell r="G1617">
            <v>3010</v>
          </cell>
          <cell r="O1617">
            <v>168.8</v>
          </cell>
        </row>
        <row r="1618">
          <cell r="G1618">
            <v>2298</v>
          </cell>
          <cell r="O1618">
            <v>620</v>
          </cell>
        </row>
        <row r="1619">
          <cell r="G1619">
            <v>2065</v>
          </cell>
          <cell r="O1619">
            <v>225</v>
          </cell>
        </row>
        <row r="1620">
          <cell r="G1620">
            <v>2055</v>
          </cell>
          <cell r="O1620">
            <v>2286</v>
          </cell>
        </row>
        <row r="1621">
          <cell r="G1621">
            <v>1964</v>
          </cell>
          <cell r="O1621">
            <v>25</v>
          </cell>
        </row>
        <row r="1622">
          <cell r="G1622">
            <v>1820</v>
          </cell>
          <cell r="O1622">
            <v>5084.76</v>
          </cell>
        </row>
        <row r="1623">
          <cell r="G1623">
            <v>1765</v>
          </cell>
          <cell r="O1623">
            <v>1.02</v>
          </cell>
        </row>
        <row r="1624">
          <cell r="G1624">
            <v>1737</v>
          </cell>
          <cell r="O1624">
            <v>75.05</v>
          </cell>
        </row>
        <row r="1625">
          <cell r="G1625">
            <v>1735</v>
          </cell>
          <cell r="O1625">
            <v>52.96</v>
          </cell>
        </row>
        <row r="1626">
          <cell r="G1626">
            <v>1706</v>
          </cell>
          <cell r="O1626">
            <v>149.80000000000001</v>
          </cell>
        </row>
        <row r="1627">
          <cell r="G1627">
            <v>1687</v>
          </cell>
          <cell r="O1627">
            <v>1604.58</v>
          </cell>
        </row>
        <row r="1628">
          <cell r="G1628">
            <v>1661</v>
          </cell>
          <cell r="O1628">
            <v>750</v>
          </cell>
        </row>
        <row r="1629">
          <cell r="G1629">
            <v>1658</v>
          </cell>
          <cell r="O1629">
            <v>350</v>
          </cell>
        </row>
        <row r="1630">
          <cell r="G1630">
            <v>1520</v>
          </cell>
          <cell r="O1630">
            <v>6043.72</v>
          </cell>
        </row>
        <row r="1631">
          <cell r="G1631">
            <v>1490</v>
          </cell>
          <cell r="O1631">
            <v>1460.6</v>
          </cell>
        </row>
        <row r="1632">
          <cell r="G1632">
            <v>1408</v>
          </cell>
          <cell r="O1632">
            <v>1186.46</v>
          </cell>
        </row>
        <row r="1633">
          <cell r="G1633">
            <v>1315</v>
          </cell>
          <cell r="O1633">
            <v>9809.32</v>
          </cell>
        </row>
        <row r="1634">
          <cell r="G1634">
            <v>1198</v>
          </cell>
          <cell r="O1634">
            <v>1186.44</v>
          </cell>
        </row>
        <row r="1635">
          <cell r="G1635">
            <v>1197</v>
          </cell>
          <cell r="O1635">
            <v>593.22</v>
          </cell>
        </row>
        <row r="1636">
          <cell r="G1636">
            <v>1055</v>
          </cell>
          <cell r="O1636">
            <v>350</v>
          </cell>
        </row>
        <row r="1637">
          <cell r="G1637">
            <v>1005</v>
          </cell>
          <cell r="O1637">
            <v>3525.55</v>
          </cell>
        </row>
        <row r="1638">
          <cell r="G1638">
            <v>1004</v>
          </cell>
          <cell r="O1638">
            <v>164.29</v>
          </cell>
        </row>
        <row r="1639">
          <cell r="G1639">
            <v>678</v>
          </cell>
          <cell r="O1639">
            <v>0.31</v>
          </cell>
        </row>
        <row r="1640">
          <cell r="G1640">
            <v>647</v>
          </cell>
          <cell r="O1640">
            <v>3939.71</v>
          </cell>
        </row>
        <row r="1641">
          <cell r="G1641">
            <v>591</v>
          </cell>
          <cell r="O1641">
            <v>18</v>
          </cell>
        </row>
        <row r="1642">
          <cell r="G1642">
            <v>261</v>
          </cell>
          <cell r="O1642">
            <v>8.1</v>
          </cell>
        </row>
        <row r="1643">
          <cell r="G1643">
            <v>244</v>
          </cell>
          <cell r="O1643">
            <v>130</v>
          </cell>
        </row>
        <row r="1644">
          <cell r="G1644">
            <v>21</v>
          </cell>
          <cell r="O1644">
            <v>190</v>
          </cell>
        </row>
        <row r="1645">
          <cell r="G1645">
            <v>13</v>
          </cell>
          <cell r="O1645">
            <v>199.05</v>
          </cell>
        </row>
        <row r="1646">
          <cell r="G1646">
            <v>12</v>
          </cell>
          <cell r="O1646">
            <v>25643.07</v>
          </cell>
        </row>
        <row r="1647">
          <cell r="G1647">
            <v>10</v>
          </cell>
          <cell r="O1647">
            <v>2735.04</v>
          </cell>
        </row>
        <row r="1648">
          <cell r="G1648">
            <v>9</v>
          </cell>
          <cell r="O1648">
            <v>825.84</v>
          </cell>
        </row>
        <row r="1649">
          <cell r="O1649">
            <v>20160271.100000009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F01A-5B64-4C83-A1AF-A5DF87116A52}">
  <dimension ref="A1:I1654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F30" sqref="F30"/>
    </sheetView>
  </sheetViews>
  <sheetFormatPr defaultColWidth="9.140625" defaultRowHeight="15" x14ac:dyDescent="0.25"/>
  <cols>
    <col min="1" max="1" width="17.42578125" style="1" customWidth="1"/>
    <col min="2" max="2" width="17.140625" style="1" customWidth="1"/>
    <col min="3" max="3" width="47.7109375" style="1" customWidth="1"/>
    <col min="4" max="4" width="18.7109375" style="1" customWidth="1"/>
    <col min="5" max="5" width="17.28515625" style="7" bestFit="1" customWidth="1"/>
    <col min="6" max="6" width="16.28515625" style="7" bestFit="1" customWidth="1"/>
    <col min="7" max="7" width="59.140625" style="1" customWidth="1"/>
    <col min="8" max="8" width="16.140625" style="1" customWidth="1"/>
    <col min="9" max="9" width="18.140625" style="1" customWidth="1"/>
    <col min="10" max="16384" width="9.140625" style="1"/>
  </cols>
  <sheetData>
    <row r="1" spans="1:9" s="2" customFormat="1" ht="85.15" customHeight="1" x14ac:dyDescent="0.25">
      <c r="A1" s="17" t="s">
        <v>0</v>
      </c>
      <c r="B1" s="3" t="s">
        <v>3286</v>
      </c>
      <c r="C1" s="3" t="s">
        <v>1</v>
      </c>
      <c r="D1" s="3" t="s">
        <v>3287</v>
      </c>
      <c r="E1" s="20" t="s">
        <v>12045</v>
      </c>
      <c r="F1" s="8" t="s">
        <v>3282</v>
      </c>
      <c r="G1" s="20" t="s">
        <v>3301</v>
      </c>
      <c r="H1" s="2" t="s">
        <v>12046</v>
      </c>
      <c r="I1" s="2" t="s">
        <v>12047</v>
      </c>
    </row>
    <row r="2" spans="1:9" x14ac:dyDescent="0.25">
      <c r="A2" s="18" t="s">
        <v>8146</v>
      </c>
      <c r="B2" s="4" t="s">
        <v>1624</v>
      </c>
      <c r="C2" s="4" t="s">
        <v>2</v>
      </c>
      <c r="D2" s="4" t="s">
        <v>3290</v>
      </c>
      <c r="E2" s="9">
        <v>825.84</v>
      </c>
      <c r="F2" s="9">
        <v>825.84</v>
      </c>
      <c r="G2" s="1" t="s">
        <v>8147</v>
      </c>
      <c r="H2" s="1">
        <f>SUMIF([1]Sheet1!$G:$G,A2,[1]Sheet1!$O:$O)</f>
        <v>825.84</v>
      </c>
      <c r="I2" s="21">
        <f>F2-H2</f>
        <v>0</v>
      </c>
    </row>
    <row r="3" spans="1:9" x14ac:dyDescent="0.25">
      <c r="A3" s="18" t="s">
        <v>4739</v>
      </c>
      <c r="B3" s="4" t="s">
        <v>1626</v>
      </c>
      <c r="C3" s="4" t="s">
        <v>3</v>
      </c>
      <c r="D3" s="4" t="s">
        <v>3290</v>
      </c>
      <c r="E3" s="9">
        <v>455.84</v>
      </c>
      <c r="F3" s="9">
        <v>2735.04</v>
      </c>
      <c r="G3" s="1" t="s">
        <v>4740</v>
      </c>
      <c r="H3" s="1">
        <f>SUMIF([1]Sheet1!$G:$G,A3,[1]Sheet1!$O:$O)</f>
        <v>2735.04</v>
      </c>
      <c r="I3" s="21">
        <f t="shared" ref="I3:I66" si="0">F3-H3</f>
        <v>0</v>
      </c>
    </row>
    <row r="4" spans="1:9" x14ac:dyDescent="0.25">
      <c r="A4" s="18" t="s">
        <v>7467</v>
      </c>
      <c r="B4" s="4" t="s">
        <v>1627</v>
      </c>
      <c r="C4" s="4" t="s">
        <v>4</v>
      </c>
      <c r="D4" s="4" t="s">
        <v>3289</v>
      </c>
      <c r="E4" s="9">
        <v>38.479996998799521</v>
      </c>
      <c r="F4" s="9">
        <v>25643.07</v>
      </c>
      <c r="G4" s="1" t="s">
        <v>7468</v>
      </c>
      <c r="H4" s="1">
        <f>SUMIF([1]Sheet1!$G:$G,A4,[1]Sheet1!$O:$O)</f>
        <v>25643.07</v>
      </c>
      <c r="I4" s="21">
        <f t="shared" si="0"/>
        <v>0</v>
      </c>
    </row>
    <row r="5" spans="1:9" x14ac:dyDescent="0.25">
      <c r="A5" s="18" t="s">
        <v>7463</v>
      </c>
      <c r="B5" s="4" t="s">
        <v>1628</v>
      </c>
      <c r="C5" s="4" t="s">
        <v>5</v>
      </c>
      <c r="D5" s="4" t="s">
        <v>3289</v>
      </c>
      <c r="E5" s="9">
        <v>79.62</v>
      </c>
      <c r="F5" s="9">
        <v>199.05</v>
      </c>
      <c r="G5" s="1" t="s">
        <v>7464</v>
      </c>
      <c r="H5" s="1">
        <f>SUMIF([1]Sheet1!$G:$G,A5,[1]Sheet1!$O:$O)</f>
        <v>199.05</v>
      </c>
      <c r="I5" s="21">
        <f t="shared" si="0"/>
        <v>0</v>
      </c>
    </row>
    <row r="6" spans="1:9" x14ac:dyDescent="0.25">
      <c r="A6" s="18" t="s">
        <v>10173</v>
      </c>
      <c r="B6" s="4" t="s">
        <v>1629</v>
      </c>
      <c r="C6" s="4" t="s">
        <v>6</v>
      </c>
      <c r="D6" s="4" t="s">
        <v>3290</v>
      </c>
      <c r="E6" s="9">
        <v>190</v>
      </c>
      <c r="F6" s="9">
        <v>190</v>
      </c>
      <c r="G6" s="1" t="s">
        <v>10175</v>
      </c>
      <c r="H6" s="1">
        <f>SUMIF([1]Sheet1!$G:$G,A6,[1]Sheet1!$O:$O)</f>
        <v>190</v>
      </c>
      <c r="I6" s="21">
        <f t="shared" si="0"/>
        <v>0</v>
      </c>
    </row>
    <row r="7" spans="1:9" x14ac:dyDescent="0.25">
      <c r="A7" s="18" t="s">
        <v>5443</v>
      </c>
      <c r="B7" s="4" t="s">
        <v>1630</v>
      </c>
      <c r="C7" s="4" t="s">
        <v>7</v>
      </c>
      <c r="D7" s="4" t="s">
        <v>3290</v>
      </c>
      <c r="E7" s="9">
        <v>32.5</v>
      </c>
      <c r="F7" s="9">
        <v>130</v>
      </c>
      <c r="G7" s="1" t="s">
        <v>5444</v>
      </c>
      <c r="H7" s="1">
        <f>SUMIF([1]Sheet1!$G:$G,A7,[1]Sheet1!$O:$O)</f>
        <v>130</v>
      </c>
      <c r="I7" s="21">
        <f t="shared" si="0"/>
        <v>0</v>
      </c>
    </row>
    <row r="8" spans="1:9" x14ac:dyDescent="0.25">
      <c r="A8" s="18" t="s">
        <v>5349</v>
      </c>
      <c r="B8" s="4" t="s">
        <v>1631</v>
      </c>
      <c r="C8" s="4" t="s">
        <v>8</v>
      </c>
      <c r="D8" s="4" t="s">
        <v>3290</v>
      </c>
      <c r="E8" s="9">
        <v>0.89999999999999991</v>
      </c>
      <c r="F8" s="9">
        <v>8.1</v>
      </c>
      <c r="G8" s="1" t="s">
        <v>5350</v>
      </c>
      <c r="H8" s="1">
        <f>SUMIF([1]Sheet1!$G:$G,A8,[1]Sheet1!$O:$O)</f>
        <v>8.1</v>
      </c>
      <c r="I8" s="21">
        <f t="shared" si="0"/>
        <v>0</v>
      </c>
    </row>
    <row r="9" spans="1:9" x14ac:dyDescent="0.25">
      <c r="A9" s="18" t="s">
        <v>5924</v>
      </c>
      <c r="B9" s="4" t="s">
        <v>1632</v>
      </c>
      <c r="C9" s="4" t="s">
        <v>9</v>
      </c>
      <c r="D9" s="4" t="s">
        <v>3290</v>
      </c>
      <c r="E9" s="9">
        <v>9</v>
      </c>
      <c r="F9" s="9">
        <v>18</v>
      </c>
      <c r="G9" s="1" t="s">
        <v>5925</v>
      </c>
      <c r="H9" s="1">
        <f>SUMIF([1]Sheet1!$G:$G,A9,[1]Sheet1!$O:$O)</f>
        <v>18</v>
      </c>
      <c r="I9" s="21">
        <f t="shared" si="0"/>
        <v>0</v>
      </c>
    </row>
    <row r="10" spans="1:9" x14ac:dyDescent="0.25">
      <c r="A10" s="18" t="s">
        <v>8755</v>
      </c>
      <c r="B10" s="4" t="s">
        <v>3100</v>
      </c>
      <c r="C10" s="4" t="s">
        <v>10</v>
      </c>
      <c r="D10" s="4" t="s">
        <v>3290</v>
      </c>
      <c r="E10" s="9">
        <v>3939.71</v>
      </c>
      <c r="F10" s="9">
        <v>3939.71</v>
      </c>
      <c r="G10" s="1" t="s">
        <v>8756</v>
      </c>
      <c r="H10" s="1">
        <f>SUMIF([1]Sheet1!$G:$G,A10,[1]Sheet1!$O:$O)</f>
        <v>3939.71</v>
      </c>
      <c r="I10" s="21">
        <f t="shared" si="0"/>
        <v>0</v>
      </c>
    </row>
    <row r="11" spans="1:9" x14ac:dyDescent="0.25">
      <c r="A11" s="18" t="s">
        <v>6678</v>
      </c>
      <c r="B11" s="4" t="s">
        <v>1633</v>
      </c>
      <c r="C11" s="4" t="s">
        <v>11</v>
      </c>
      <c r="D11" s="4" t="s">
        <v>3291</v>
      </c>
      <c r="E11" s="9">
        <v>1.5499999999999998</v>
      </c>
      <c r="F11" s="9">
        <v>0.31</v>
      </c>
      <c r="G11" s="1" t="s">
        <v>6679</v>
      </c>
      <c r="H11" s="1">
        <f>SUMIF([1]Sheet1!$G:$G,A11,[1]Sheet1!$O:$O)</f>
        <v>0.31</v>
      </c>
      <c r="I11" s="21">
        <f t="shared" si="0"/>
        <v>0</v>
      </c>
    </row>
    <row r="12" spans="1:9" x14ac:dyDescent="0.25">
      <c r="A12" s="18" t="s">
        <v>10468</v>
      </c>
      <c r="B12" s="4" t="s">
        <v>1634</v>
      </c>
      <c r="C12" s="4" t="s">
        <v>27</v>
      </c>
      <c r="D12" s="4" t="s">
        <v>3290</v>
      </c>
      <c r="E12" s="9">
        <v>54.763333333333328</v>
      </c>
      <c r="F12" s="9">
        <v>164.29</v>
      </c>
      <c r="G12" s="1" t="s">
        <v>10469</v>
      </c>
      <c r="H12" s="1">
        <f>SUMIF([1]Sheet1!$G:$G,A12,[1]Sheet1!$O:$O)</f>
        <v>164.29</v>
      </c>
      <c r="I12" s="21">
        <f t="shared" si="0"/>
        <v>0</v>
      </c>
    </row>
    <row r="13" spans="1:9" x14ac:dyDescent="0.25">
      <c r="A13" s="18" t="s">
        <v>7658</v>
      </c>
      <c r="B13" s="4" t="s">
        <v>1635</v>
      </c>
      <c r="C13" s="4" t="s">
        <v>34</v>
      </c>
      <c r="D13" s="4" t="s">
        <v>3290</v>
      </c>
      <c r="E13" s="9">
        <v>70.51100000000001</v>
      </c>
      <c r="F13" s="9">
        <v>3525.5500000000006</v>
      </c>
      <c r="G13" s="1" t="s">
        <v>7659</v>
      </c>
      <c r="H13" s="1">
        <f>SUMIF([1]Sheet1!$G:$G,A13,[1]Sheet1!$O:$O)</f>
        <v>3525.55</v>
      </c>
      <c r="I13" s="21">
        <f t="shared" si="0"/>
        <v>0</v>
      </c>
    </row>
    <row r="14" spans="1:9" x14ac:dyDescent="0.25">
      <c r="A14" s="18" t="s">
        <v>8389</v>
      </c>
      <c r="B14" s="4" t="s">
        <v>3101</v>
      </c>
      <c r="C14" s="4" t="s">
        <v>165</v>
      </c>
      <c r="D14" s="4" t="s">
        <v>3290</v>
      </c>
      <c r="E14" s="9">
        <v>350</v>
      </c>
      <c r="F14" s="9">
        <v>350</v>
      </c>
      <c r="G14" s="1" t="s">
        <v>8390</v>
      </c>
      <c r="H14" s="1">
        <f>SUMIF([1]Sheet1!$G:$G,A14,[1]Sheet1!$O:$O)</f>
        <v>350</v>
      </c>
      <c r="I14" s="21">
        <f t="shared" si="0"/>
        <v>0</v>
      </c>
    </row>
    <row r="15" spans="1:9" x14ac:dyDescent="0.25">
      <c r="A15" s="18" t="s">
        <v>9220</v>
      </c>
      <c r="B15" s="4" t="s">
        <v>1636</v>
      </c>
      <c r="C15" s="4" t="s">
        <v>174</v>
      </c>
      <c r="D15" s="4" t="s">
        <v>3290</v>
      </c>
      <c r="E15" s="9">
        <v>593.22</v>
      </c>
      <c r="F15" s="9">
        <v>593.22</v>
      </c>
      <c r="G15" s="1" t="s">
        <v>9221</v>
      </c>
      <c r="H15" s="1">
        <f>SUMIF([1]Sheet1!$G:$G,A15,[1]Sheet1!$O:$O)</f>
        <v>593.22</v>
      </c>
      <c r="I15" s="21">
        <f t="shared" si="0"/>
        <v>0</v>
      </c>
    </row>
    <row r="16" spans="1:9" x14ac:dyDescent="0.25">
      <c r="A16" s="18" t="s">
        <v>9215</v>
      </c>
      <c r="B16" s="4" t="s">
        <v>1637</v>
      </c>
      <c r="C16" s="4" t="s">
        <v>175</v>
      </c>
      <c r="D16" s="4" t="s">
        <v>3290</v>
      </c>
      <c r="E16" s="9">
        <v>593.22</v>
      </c>
      <c r="F16" s="9">
        <v>1186.44</v>
      </c>
      <c r="G16" s="1" t="s">
        <v>9216</v>
      </c>
      <c r="H16" s="1">
        <f>SUMIF([1]Sheet1!$G:$G,A16,[1]Sheet1!$O:$O)</f>
        <v>1186.44</v>
      </c>
      <c r="I16" s="21">
        <f t="shared" si="0"/>
        <v>0</v>
      </c>
    </row>
    <row r="17" spans="1:9" x14ac:dyDescent="0.25">
      <c r="A17" s="18" t="s">
        <v>8120</v>
      </c>
      <c r="B17" s="4" t="s">
        <v>1638</v>
      </c>
      <c r="C17" s="4" t="s">
        <v>176</v>
      </c>
      <c r="D17" s="4" t="s">
        <v>3290</v>
      </c>
      <c r="E17" s="9">
        <v>1961.864</v>
      </c>
      <c r="F17" s="9">
        <v>9809.32</v>
      </c>
      <c r="G17" s="1" t="s">
        <v>8121</v>
      </c>
      <c r="H17" s="1">
        <f>SUMIF([1]Sheet1!$G:$G,A17,[1]Sheet1!$O:$O)</f>
        <v>9809.32</v>
      </c>
      <c r="I17" s="21">
        <f t="shared" si="0"/>
        <v>0</v>
      </c>
    </row>
    <row r="18" spans="1:9" x14ac:dyDescent="0.25">
      <c r="A18" s="18" t="s">
        <v>4178</v>
      </c>
      <c r="B18" s="4" t="s">
        <v>1639</v>
      </c>
      <c r="C18" s="4" t="s">
        <v>177</v>
      </c>
      <c r="D18" s="4" t="s">
        <v>3289</v>
      </c>
      <c r="E18" s="9">
        <v>5.9322499999999998</v>
      </c>
      <c r="F18" s="9">
        <v>1186.45</v>
      </c>
      <c r="G18" s="1" t="s">
        <v>4181</v>
      </c>
      <c r="H18" s="1">
        <f>SUMIF([1]Sheet1!$G:$G,A18,[1]Sheet1!$O:$O)</f>
        <v>1186.46</v>
      </c>
      <c r="I18" s="21">
        <f t="shared" si="0"/>
        <v>-9.9999999999909051E-3</v>
      </c>
    </row>
    <row r="19" spans="1:9" x14ac:dyDescent="0.25">
      <c r="A19" s="18" t="s">
        <v>9310</v>
      </c>
      <c r="B19" s="4" t="s">
        <v>1640</v>
      </c>
      <c r="C19" s="4" t="s">
        <v>178</v>
      </c>
      <c r="D19" s="4" t="s">
        <v>3290</v>
      </c>
      <c r="E19" s="9">
        <v>182.57499999999999</v>
      </c>
      <c r="F19" s="9">
        <v>1460.6</v>
      </c>
      <c r="G19" s="1" t="s">
        <v>9313</v>
      </c>
      <c r="H19" s="1">
        <f>SUMIF([1]Sheet1!$G:$G,A19,[1]Sheet1!$O:$O)</f>
        <v>1460.6</v>
      </c>
      <c r="I19" s="21">
        <f t="shared" si="0"/>
        <v>0</v>
      </c>
    </row>
    <row r="20" spans="1:9" x14ac:dyDescent="0.25">
      <c r="A20" s="18" t="s">
        <v>5883</v>
      </c>
      <c r="B20" s="4" t="s">
        <v>1641</v>
      </c>
      <c r="C20" s="4" t="s">
        <v>179</v>
      </c>
      <c r="D20" s="4" t="s">
        <v>3291</v>
      </c>
      <c r="E20" s="9">
        <v>13.368148639681484</v>
      </c>
      <c r="F20" s="9">
        <v>6043.74</v>
      </c>
      <c r="G20" s="1" t="s">
        <v>5884</v>
      </c>
      <c r="H20" s="1">
        <f>SUMIF([1]Sheet1!$G:$G,A20,[1]Sheet1!$O:$O)</f>
        <v>6043.72</v>
      </c>
      <c r="I20" s="21">
        <f t="shared" si="0"/>
        <v>1.9999999999527063E-2</v>
      </c>
    </row>
    <row r="21" spans="1:9" x14ac:dyDescent="0.25">
      <c r="A21" s="18" t="s">
        <v>7996</v>
      </c>
      <c r="B21" s="4" t="s">
        <v>1642</v>
      </c>
      <c r="C21" s="4" t="s">
        <v>180</v>
      </c>
      <c r="D21" s="4" t="s">
        <v>3290</v>
      </c>
      <c r="E21" s="9">
        <v>350</v>
      </c>
      <c r="F21" s="9">
        <v>350</v>
      </c>
      <c r="G21" s="1" t="s">
        <v>7997</v>
      </c>
      <c r="H21" s="1">
        <f>SUMIF([1]Sheet1!$G:$G,A21,[1]Sheet1!$O:$O)</f>
        <v>350</v>
      </c>
      <c r="I21" s="21">
        <f t="shared" si="0"/>
        <v>0</v>
      </c>
    </row>
    <row r="22" spans="1:9" x14ac:dyDescent="0.25">
      <c r="A22" s="18" t="s">
        <v>8378</v>
      </c>
      <c r="B22" s="4" t="s">
        <v>3102</v>
      </c>
      <c r="C22" s="4" t="s">
        <v>181</v>
      </c>
      <c r="D22" s="4" t="s">
        <v>3290</v>
      </c>
      <c r="E22" s="9">
        <v>250</v>
      </c>
      <c r="F22" s="9">
        <v>750</v>
      </c>
      <c r="G22" s="1" t="s">
        <v>8381</v>
      </c>
      <c r="H22" s="1">
        <f>SUMIF([1]Sheet1!$G:$G,A22,[1]Sheet1!$O:$O)</f>
        <v>750</v>
      </c>
      <c r="I22" s="21">
        <f t="shared" si="0"/>
        <v>0</v>
      </c>
    </row>
    <row r="23" spans="1:9" x14ac:dyDescent="0.25">
      <c r="A23" s="18" t="s">
        <v>8061</v>
      </c>
      <c r="B23" s="4" t="s">
        <v>1643</v>
      </c>
      <c r="C23" s="4" t="s">
        <v>182</v>
      </c>
      <c r="D23" s="4" t="s">
        <v>3290</v>
      </c>
      <c r="E23" s="9">
        <v>802.29</v>
      </c>
      <c r="F23" s="9">
        <v>1604.58</v>
      </c>
      <c r="G23" s="1" t="s">
        <v>8062</v>
      </c>
      <c r="H23" s="1">
        <f>SUMIF([1]Sheet1!$G:$G,A23,[1]Sheet1!$O:$O)</f>
        <v>1604.58</v>
      </c>
      <c r="I23" s="21">
        <f t="shared" si="0"/>
        <v>0</v>
      </c>
    </row>
    <row r="24" spans="1:9" x14ac:dyDescent="0.25">
      <c r="A24" s="18" t="s">
        <v>10519</v>
      </c>
      <c r="B24" s="4" t="s">
        <v>1644</v>
      </c>
      <c r="C24" s="4" t="s">
        <v>183</v>
      </c>
      <c r="D24" s="4" t="s">
        <v>3290</v>
      </c>
      <c r="E24" s="9">
        <v>149.80000000000001</v>
      </c>
      <c r="F24" s="9">
        <v>149.80000000000001</v>
      </c>
      <c r="G24" s="1" t="s">
        <v>10520</v>
      </c>
      <c r="H24" s="1">
        <f>SUMIF([1]Sheet1!$G:$G,A24,[1]Sheet1!$O:$O)</f>
        <v>149.80000000000001</v>
      </c>
      <c r="I24" s="21">
        <f t="shared" si="0"/>
        <v>0</v>
      </c>
    </row>
    <row r="25" spans="1:9" x14ac:dyDescent="0.25">
      <c r="A25" s="18" t="s">
        <v>4410</v>
      </c>
      <c r="B25" s="4" t="s">
        <v>1645</v>
      </c>
      <c r="C25" s="4" t="s">
        <v>184</v>
      </c>
      <c r="D25" s="4" t="s">
        <v>3290</v>
      </c>
      <c r="E25" s="9">
        <v>52.96</v>
      </c>
      <c r="F25" s="9">
        <v>52.96</v>
      </c>
      <c r="G25" s="1" t="s">
        <v>4411</v>
      </c>
      <c r="H25" s="1">
        <f>SUMIF([1]Sheet1!$G:$G,A25,[1]Sheet1!$O:$O)</f>
        <v>52.96</v>
      </c>
      <c r="I25" s="21">
        <f t="shared" si="0"/>
        <v>0</v>
      </c>
    </row>
    <row r="26" spans="1:9" x14ac:dyDescent="0.25">
      <c r="A26" s="18" t="s">
        <v>8934</v>
      </c>
      <c r="B26" s="4" t="s">
        <v>1646</v>
      </c>
      <c r="C26" s="4" t="s">
        <v>185</v>
      </c>
      <c r="D26" s="4" t="s">
        <v>3290</v>
      </c>
      <c r="E26" s="9">
        <v>0.64698275862068966</v>
      </c>
      <c r="F26" s="9">
        <v>75.05</v>
      </c>
      <c r="G26" s="1" t="s">
        <v>8935</v>
      </c>
      <c r="H26" s="1">
        <f>SUMIF([1]Sheet1!$G:$G,A26,[1]Sheet1!$O:$O)</f>
        <v>75.05</v>
      </c>
      <c r="I26" s="21">
        <f t="shared" si="0"/>
        <v>0</v>
      </c>
    </row>
    <row r="27" spans="1:9" x14ac:dyDescent="0.25">
      <c r="A27" s="18" t="s">
        <v>9132</v>
      </c>
      <c r="B27" s="4" t="s">
        <v>1647</v>
      </c>
      <c r="C27" s="4" t="s">
        <v>186</v>
      </c>
      <c r="D27" s="4" t="s">
        <v>3290</v>
      </c>
      <c r="E27" s="9">
        <v>0.34</v>
      </c>
      <c r="F27" s="9">
        <v>1.02</v>
      </c>
      <c r="G27" s="1" t="s">
        <v>9135</v>
      </c>
      <c r="H27" s="1">
        <f>SUMIF([1]Sheet1!$G:$G,A27,[1]Sheet1!$O:$O)</f>
        <v>1.02</v>
      </c>
      <c r="I27" s="21">
        <f t="shared" si="0"/>
        <v>0</v>
      </c>
    </row>
    <row r="28" spans="1:9" x14ac:dyDescent="0.25">
      <c r="A28" s="18" t="s">
        <v>7562</v>
      </c>
      <c r="B28" s="4" t="s">
        <v>1648</v>
      </c>
      <c r="C28" s="4" t="s">
        <v>187</v>
      </c>
      <c r="D28" s="4" t="s">
        <v>3290</v>
      </c>
      <c r="E28" s="9">
        <v>423.73</v>
      </c>
      <c r="F28" s="9">
        <v>5084.76</v>
      </c>
      <c r="G28" s="1" t="s">
        <v>7563</v>
      </c>
      <c r="H28" s="1">
        <f>SUMIF([1]Sheet1!$G:$G,A28,[1]Sheet1!$O:$O)</f>
        <v>5084.76</v>
      </c>
      <c r="I28" s="21">
        <f t="shared" si="0"/>
        <v>0</v>
      </c>
    </row>
    <row r="29" spans="1:9" x14ac:dyDescent="0.25">
      <c r="A29" s="18" t="s">
        <v>11213</v>
      </c>
      <c r="B29" s="4" t="s">
        <v>1649</v>
      </c>
      <c r="C29" s="4" t="s">
        <v>188</v>
      </c>
      <c r="D29" s="4" t="s">
        <v>3295</v>
      </c>
      <c r="E29" s="9">
        <v>50</v>
      </c>
      <c r="F29" s="9">
        <v>25</v>
      </c>
      <c r="G29" s="1" t="s">
        <v>11214</v>
      </c>
      <c r="H29" s="1">
        <f>SUMIF([1]Sheet1!$G:$G,A29,[1]Sheet1!$O:$O)</f>
        <v>25</v>
      </c>
      <c r="I29" s="21">
        <f t="shared" si="0"/>
        <v>0</v>
      </c>
    </row>
    <row r="30" spans="1:9" x14ac:dyDescent="0.25">
      <c r="A30" s="18" t="s">
        <v>7521</v>
      </c>
      <c r="B30" s="4" t="s">
        <v>1650</v>
      </c>
      <c r="C30" s="4" t="s">
        <v>189</v>
      </c>
      <c r="D30" s="4" t="s">
        <v>3290</v>
      </c>
      <c r="E30" s="9">
        <v>762</v>
      </c>
      <c r="F30" s="9">
        <v>2286</v>
      </c>
      <c r="G30" s="1" t="s">
        <v>7524</v>
      </c>
      <c r="H30" s="1">
        <f>SUMIF([1]Sheet1!$G:$G,A30,[1]Sheet1!$O:$O)</f>
        <v>2286</v>
      </c>
      <c r="I30" s="21">
        <f t="shared" si="0"/>
        <v>0</v>
      </c>
    </row>
    <row r="31" spans="1:9" x14ac:dyDescent="0.25">
      <c r="A31" s="18" t="s">
        <v>5932</v>
      </c>
      <c r="B31" s="4" t="s">
        <v>1651</v>
      </c>
      <c r="C31" s="4" t="s">
        <v>190</v>
      </c>
      <c r="D31" s="4" t="s">
        <v>3290</v>
      </c>
      <c r="E31" s="9">
        <v>75</v>
      </c>
      <c r="F31" s="9">
        <v>225</v>
      </c>
      <c r="G31" s="1" t="s">
        <v>5933</v>
      </c>
      <c r="H31" s="1">
        <f>SUMIF([1]Sheet1!$G:$G,A31,[1]Sheet1!$O:$O)</f>
        <v>225</v>
      </c>
      <c r="I31" s="21">
        <f t="shared" si="0"/>
        <v>0</v>
      </c>
    </row>
    <row r="32" spans="1:9" x14ac:dyDescent="0.25">
      <c r="A32" s="18" t="s">
        <v>10904</v>
      </c>
      <c r="B32" s="4" t="s">
        <v>1652</v>
      </c>
      <c r="C32" s="4" t="s">
        <v>191</v>
      </c>
      <c r="D32" s="4" t="s">
        <v>3290</v>
      </c>
      <c r="E32" s="9">
        <v>310</v>
      </c>
      <c r="F32" s="9">
        <v>620</v>
      </c>
      <c r="G32" s="1" t="s">
        <v>10907</v>
      </c>
      <c r="H32" s="1">
        <f>SUMIF([1]Sheet1!$G:$G,A32,[1]Sheet1!$O:$O)</f>
        <v>620</v>
      </c>
      <c r="I32" s="21">
        <f t="shared" si="0"/>
        <v>0</v>
      </c>
    </row>
    <row r="33" spans="1:9" x14ac:dyDescent="0.25">
      <c r="A33" s="18" t="s">
        <v>8711</v>
      </c>
      <c r="B33" s="4" t="s">
        <v>1657</v>
      </c>
      <c r="C33" s="4" t="s">
        <v>192</v>
      </c>
      <c r="D33" s="4" t="s">
        <v>3296</v>
      </c>
      <c r="E33" s="9">
        <v>3.4170040485829962</v>
      </c>
      <c r="F33" s="9">
        <v>168.8</v>
      </c>
      <c r="G33" s="1" t="s">
        <v>8712</v>
      </c>
      <c r="H33" s="1">
        <f>SUMIF([1]Sheet1!$G:$G,A33,[1]Sheet1!$O:$O)</f>
        <v>168.8</v>
      </c>
      <c r="I33" s="21">
        <f t="shared" si="0"/>
        <v>0</v>
      </c>
    </row>
    <row r="34" spans="1:9" x14ac:dyDescent="0.25">
      <c r="A34" s="18" t="s">
        <v>3731</v>
      </c>
      <c r="B34" s="4" t="s">
        <v>1658</v>
      </c>
      <c r="C34" s="4" t="s">
        <v>193</v>
      </c>
      <c r="D34" s="4" t="s">
        <v>3290</v>
      </c>
      <c r="E34" s="9">
        <v>274.15812499999998</v>
      </c>
      <c r="F34" s="9">
        <v>4386.53</v>
      </c>
      <c r="G34" s="1" t="s">
        <v>3732</v>
      </c>
      <c r="H34" s="1">
        <f>SUMIF([1]Sheet1!$G:$G,A34,[1]Sheet1!$O:$O)</f>
        <v>4386.53</v>
      </c>
      <c r="I34" s="21">
        <f t="shared" si="0"/>
        <v>0</v>
      </c>
    </row>
    <row r="35" spans="1:9" x14ac:dyDescent="0.25">
      <c r="A35" s="18" t="s">
        <v>10527</v>
      </c>
      <c r="B35" s="4" t="s">
        <v>1659</v>
      </c>
      <c r="C35" s="4" t="s">
        <v>194</v>
      </c>
      <c r="D35" s="4" t="s">
        <v>3290</v>
      </c>
      <c r="E35" s="9">
        <v>97.045000000000002</v>
      </c>
      <c r="F35" s="9">
        <v>388.18</v>
      </c>
      <c r="G35" s="1" t="s">
        <v>10528</v>
      </c>
      <c r="H35" s="1">
        <f>SUMIF([1]Sheet1!$G:$G,A35,[1]Sheet1!$O:$O)</f>
        <v>388.18</v>
      </c>
      <c r="I35" s="21">
        <f t="shared" si="0"/>
        <v>0</v>
      </c>
    </row>
    <row r="36" spans="1:9" x14ac:dyDescent="0.25">
      <c r="A36" s="18" t="s">
        <v>3544</v>
      </c>
      <c r="B36" s="4" t="s">
        <v>1660</v>
      </c>
      <c r="C36" s="4" t="s">
        <v>195</v>
      </c>
      <c r="D36" s="4" t="s">
        <v>3292</v>
      </c>
      <c r="E36" s="9">
        <v>3.5911111111111111</v>
      </c>
      <c r="F36" s="9">
        <v>32.32</v>
      </c>
      <c r="G36" s="1" t="s">
        <v>3545</v>
      </c>
      <c r="H36" s="1">
        <f>SUMIF([1]Sheet1!$G:$G,A36,[1]Sheet1!$O:$O)</f>
        <v>32.32</v>
      </c>
      <c r="I36" s="21">
        <f t="shared" si="0"/>
        <v>0</v>
      </c>
    </row>
    <row r="37" spans="1:9" x14ac:dyDescent="0.25">
      <c r="A37" s="18" t="s">
        <v>5799</v>
      </c>
      <c r="B37" s="4" t="s">
        <v>1661</v>
      </c>
      <c r="C37" s="4" t="s">
        <v>196</v>
      </c>
      <c r="D37" s="4" t="s">
        <v>3290</v>
      </c>
      <c r="E37" s="9">
        <v>1.5253333333333332E-2</v>
      </c>
      <c r="F37" s="9">
        <v>22.88</v>
      </c>
      <c r="G37" s="1" t="s">
        <v>5800</v>
      </c>
      <c r="H37" s="1">
        <f>SUMIF([1]Sheet1!$G:$G,A37,[1]Sheet1!$O:$O)</f>
        <v>22.95</v>
      </c>
      <c r="I37" s="21">
        <f t="shared" si="0"/>
        <v>-7.0000000000000284E-2</v>
      </c>
    </row>
    <row r="38" spans="1:9" x14ac:dyDescent="0.25">
      <c r="A38" s="18" t="s">
        <v>3490</v>
      </c>
      <c r="B38" s="4" t="s">
        <v>1662</v>
      </c>
      <c r="C38" s="4" t="s">
        <v>197</v>
      </c>
      <c r="D38" s="4" t="s">
        <v>3290</v>
      </c>
      <c r="E38" s="9">
        <v>1.6102941176470589</v>
      </c>
      <c r="F38" s="9">
        <v>54.75</v>
      </c>
      <c r="G38" s="1" t="s">
        <v>3493</v>
      </c>
      <c r="H38" s="1">
        <f>SUMIF([1]Sheet1!$G:$G,A38,[1]Sheet1!$O:$O)</f>
        <v>54.75</v>
      </c>
      <c r="I38" s="21">
        <f t="shared" si="0"/>
        <v>0</v>
      </c>
    </row>
    <row r="39" spans="1:9" x14ac:dyDescent="0.25">
      <c r="A39" s="18" t="s">
        <v>5679</v>
      </c>
      <c r="B39" s="4" t="s">
        <v>1663</v>
      </c>
      <c r="C39" s="4" t="s">
        <v>198</v>
      </c>
      <c r="D39" s="4" t="s">
        <v>3290</v>
      </c>
      <c r="E39" s="9">
        <v>4.5464705882352945</v>
      </c>
      <c r="F39" s="9">
        <v>77.290000000000006</v>
      </c>
      <c r="G39" s="1" t="s">
        <v>5682</v>
      </c>
      <c r="H39" s="1">
        <f>SUMIF([1]Sheet1!$G:$G,A39,[1]Sheet1!$O:$O)</f>
        <v>77.290000000000006</v>
      </c>
      <c r="I39" s="21">
        <f t="shared" si="0"/>
        <v>0</v>
      </c>
    </row>
    <row r="40" spans="1:9" x14ac:dyDescent="0.25">
      <c r="A40" s="18" t="s">
        <v>4368</v>
      </c>
      <c r="B40" s="4" t="s">
        <v>1664</v>
      </c>
      <c r="C40" s="4" t="s">
        <v>199</v>
      </c>
      <c r="D40" s="4" t="s">
        <v>3290</v>
      </c>
      <c r="E40" s="9">
        <v>6.416666666666667</v>
      </c>
      <c r="F40" s="9">
        <v>192.5</v>
      </c>
      <c r="G40" s="1" t="s">
        <v>4370</v>
      </c>
      <c r="H40" s="1">
        <f>SUMIF([1]Sheet1!$G:$G,A40,[1]Sheet1!$O:$O)</f>
        <v>179.67</v>
      </c>
      <c r="I40" s="21">
        <f t="shared" si="0"/>
        <v>12.830000000000013</v>
      </c>
    </row>
    <row r="41" spans="1:9" x14ac:dyDescent="0.25">
      <c r="A41" s="18" t="s">
        <v>9829</v>
      </c>
      <c r="B41" s="4" t="s">
        <v>1665</v>
      </c>
      <c r="C41" s="4" t="s">
        <v>200</v>
      </c>
      <c r="D41" s="4" t="s">
        <v>3290</v>
      </c>
      <c r="E41" s="9">
        <v>2.4366666666666665</v>
      </c>
      <c r="F41" s="9">
        <v>14.62</v>
      </c>
      <c r="G41" s="1" t="s">
        <v>9830</v>
      </c>
      <c r="H41" s="1">
        <f>SUMIF([1]Sheet1!$G:$G,A41,[1]Sheet1!$O:$O)</f>
        <v>14.62</v>
      </c>
      <c r="I41" s="21">
        <f t="shared" si="0"/>
        <v>0</v>
      </c>
    </row>
    <row r="42" spans="1:9" x14ac:dyDescent="0.25">
      <c r="A42" s="18" t="s">
        <v>10477</v>
      </c>
      <c r="B42" s="4" t="s">
        <v>1666</v>
      </c>
      <c r="C42" s="4" t="s">
        <v>201</v>
      </c>
      <c r="D42" s="4" t="s">
        <v>3290</v>
      </c>
      <c r="E42" s="9">
        <v>30.265000000000001</v>
      </c>
      <c r="F42" s="9">
        <v>363.18</v>
      </c>
      <c r="G42" s="1" t="s">
        <v>10478</v>
      </c>
      <c r="H42" s="1">
        <f>SUMIF([1]Sheet1!$G:$G,A42,[1]Sheet1!$O:$O)</f>
        <v>363.18</v>
      </c>
      <c r="I42" s="21">
        <f t="shared" si="0"/>
        <v>0</v>
      </c>
    </row>
    <row r="43" spans="1:9" x14ac:dyDescent="0.25">
      <c r="A43" s="18" t="s">
        <v>8274</v>
      </c>
      <c r="B43" s="4" t="s">
        <v>1667</v>
      </c>
      <c r="C43" s="4" t="s">
        <v>202</v>
      </c>
      <c r="D43" s="4" t="s">
        <v>3290</v>
      </c>
      <c r="E43" s="9">
        <v>25.795744680851065</v>
      </c>
      <c r="F43" s="9">
        <v>1212.4000000000001</v>
      </c>
      <c r="G43" s="1" t="s">
        <v>8275</v>
      </c>
      <c r="H43" s="1">
        <f>SUMIF([1]Sheet1!$G:$G,A43,[1]Sheet1!$O:$O)</f>
        <v>1212.4000000000001</v>
      </c>
      <c r="I43" s="21">
        <f t="shared" si="0"/>
        <v>0</v>
      </c>
    </row>
    <row r="44" spans="1:9" x14ac:dyDescent="0.25">
      <c r="A44" s="18" t="s">
        <v>6904</v>
      </c>
      <c r="B44" s="4" t="s">
        <v>1668</v>
      </c>
      <c r="C44" s="4" t="s">
        <v>203</v>
      </c>
      <c r="D44" s="4" t="s">
        <v>3290</v>
      </c>
      <c r="E44" s="9">
        <v>19.84</v>
      </c>
      <c r="F44" s="9">
        <v>19.84</v>
      </c>
      <c r="G44" s="1" t="s">
        <v>6905</v>
      </c>
      <c r="H44" s="1">
        <f>SUMIF([1]Sheet1!$G:$G,A44,[1]Sheet1!$O:$O)</f>
        <v>19.84</v>
      </c>
      <c r="I44" s="21">
        <f t="shared" si="0"/>
        <v>0</v>
      </c>
    </row>
    <row r="45" spans="1:9" x14ac:dyDescent="0.25">
      <c r="A45" s="18" t="s">
        <v>4120</v>
      </c>
      <c r="B45" s="4" t="s">
        <v>1669</v>
      </c>
      <c r="C45" s="4" t="s">
        <v>204</v>
      </c>
      <c r="D45" s="4" t="s">
        <v>3290</v>
      </c>
      <c r="E45" s="9">
        <v>1.1734285714285715</v>
      </c>
      <c r="F45" s="9">
        <v>41.07</v>
      </c>
      <c r="G45" s="1" t="s">
        <v>4121</v>
      </c>
      <c r="H45" s="1">
        <f>SUMIF([1]Sheet1!$G:$G,A45,[1]Sheet1!$O:$O)</f>
        <v>41.07</v>
      </c>
      <c r="I45" s="21">
        <f t="shared" si="0"/>
        <v>0</v>
      </c>
    </row>
    <row r="46" spans="1:9" x14ac:dyDescent="0.25">
      <c r="A46" s="18" t="s">
        <v>11304</v>
      </c>
      <c r="B46" s="4" t="s">
        <v>1670</v>
      </c>
      <c r="C46" s="4" t="s">
        <v>205</v>
      </c>
      <c r="D46" s="4" t="s">
        <v>3290</v>
      </c>
      <c r="E46" s="9">
        <v>116.845</v>
      </c>
      <c r="F46" s="9">
        <v>467.38</v>
      </c>
      <c r="G46" s="1" t="s">
        <v>11305</v>
      </c>
      <c r="H46" s="1">
        <f>SUMIF([1]Sheet1!$G:$G,A46,[1]Sheet1!$O:$O)</f>
        <v>467.38</v>
      </c>
      <c r="I46" s="21">
        <f t="shared" si="0"/>
        <v>0</v>
      </c>
    </row>
    <row r="47" spans="1:9" x14ac:dyDescent="0.25">
      <c r="A47" s="18" t="s">
        <v>10939</v>
      </c>
      <c r="B47" s="4" t="s">
        <v>1671</v>
      </c>
      <c r="C47" s="4" t="s">
        <v>206</v>
      </c>
      <c r="D47" s="4" t="s">
        <v>3290</v>
      </c>
      <c r="E47" s="9">
        <v>80.314374999999998</v>
      </c>
      <c r="F47" s="9">
        <v>1285.03</v>
      </c>
      <c r="G47" s="1" t="s">
        <v>10940</v>
      </c>
      <c r="H47" s="1">
        <f>SUMIF([1]Sheet1!$G:$G,A47,[1]Sheet1!$O:$O)</f>
        <v>1285.03</v>
      </c>
      <c r="I47" s="21">
        <f t="shared" si="0"/>
        <v>0</v>
      </c>
    </row>
    <row r="48" spans="1:9" x14ac:dyDescent="0.25">
      <c r="A48" s="18" t="s">
        <v>10719</v>
      </c>
      <c r="B48" s="4" t="s">
        <v>1672</v>
      </c>
      <c r="C48" s="4" t="s">
        <v>207</v>
      </c>
      <c r="D48" s="4" t="s">
        <v>3290</v>
      </c>
      <c r="E48" s="9">
        <v>67.793333333333337</v>
      </c>
      <c r="F48" s="9">
        <v>203.38</v>
      </c>
      <c r="G48" s="1" t="s">
        <v>10720</v>
      </c>
      <c r="H48" s="1">
        <f>SUMIF([1]Sheet1!$G:$G,A48,[1]Sheet1!$O:$O)</f>
        <v>203.38</v>
      </c>
      <c r="I48" s="21">
        <f t="shared" si="0"/>
        <v>0</v>
      </c>
    </row>
    <row r="49" spans="1:9" x14ac:dyDescent="0.25">
      <c r="A49" s="18" t="s">
        <v>11723</v>
      </c>
      <c r="B49" s="4" t="s">
        <v>1673</v>
      </c>
      <c r="C49" s="4" t="s">
        <v>208</v>
      </c>
      <c r="D49" s="4" t="s">
        <v>3290</v>
      </c>
      <c r="E49" s="9">
        <v>2.0788235294117645</v>
      </c>
      <c r="F49" s="9">
        <v>424.08</v>
      </c>
      <c r="G49" s="1" t="s">
        <v>11724</v>
      </c>
      <c r="H49" s="1">
        <f>SUMIF([1]Sheet1!$G:$G,A49,[1]Sheet1!$O:$O)</f>
        <v>424.08</v>
      </c>
      <c r="I49" s="21">
        <f t="shared" si="0"/>
        <v>0</v>
      </c>
    </row>
    <row r="50" spans="1:9" x14ac:dyDescent="0.25">
      <c r="A50" s="18" t="s">
        <v>7597</v>
      </c>
      <c r="B50" s="4" t="s">
        <v>1674</v>
      </c>
      <c r="C50" s="4" t="s">
        <v>209</v>
      </c>
      <c r="D50" s="4" t="s">
        <v>3289</v>
      </c>
      <c r="E50" s="9">
        <v>10.78103472714387</v>
      </c>
      <c r="F50" s="9">
        <v>3803.01</v>
      </c>
      <c r="G50" s="1" t="s">
        <v>7598</v>
      </c>
      <c r="H50" s="1">
        <f>SUMIF([1]Sheet1!$G:$G,A50,[1]Sheet1!$O:$O)</f>
        <v>3803</v>
      </c>
      <c r="I50" s="21">
        <f t="shared" si="0"/>
        <v>1.0000000000218279E-2</v>
      </c>
    </row>
    <row r="51" spans="1:9" x14ac:dyDescent="0.25">
      <c r="A51" s="18" t="s">
        <v>10034</v>
      </c>
      <c r="B51" s="4" t="s">
        <v>3103</v>
      </c>
      <c r="C51" s="4" t="s">
        <v>210</v>
      </c>
      <c r="D51" s="4" t="s">
        <v>3290</v>
      </c>
      <c r="E51" s="9">
        <v>848.58454545454549</v>
      </c>
      <c r="F51" s="9">
        <v>9334.43</v>
      </c>
      <c r="G51" s="1" t="s">
        <v>10035</v>
      </c>
      <c r="H51" s="1">
        <f>SUMIF([1]Sheet1!$G:$G,A51,[1]Sheet1!$O:$O)</f>
        <v>9334.43</v>
      </c>
      <c r="I51" s="21">
        <f t="shared" si="0"/>
        <v>0</v>
      </c>
    </row>
    <row r="52" spans="1:9" x14ac:dyDescent="0.25">
      <c r="A52" s="18" t="s">
        <v>9993</v>
      </c>
      <c r="B52" s="4" t="s">
        <v>1675</v>
      </c>
      <c r="C52" s="4" t="s">
        <v>211</v>
      </c>
      <c r="D52" s="4" t="s">
        <v>3290</v>
      </c>
      <c r="E52" s="9">
        <v>200.42</v>
      </c>
      <c r="F52" s="9">
        <v>200.42</v>
      </c>
      <c r="G52" s="1" t="s">
        <v>9994</v>
      </c>
      <c r="H52" s="1">
        <f>SUMIF([1]Sheet1!$G:$G,A52,[1]Sheet1!$O:$O)</f>
        <v>200.42</v>
      </c>
      <c r="I52" s="21">
        <f t="shared" si="0"/>
        <v>0</v>
      </c>
    </row>
    <row r="53" spans="1:9" x14ac:dyDescent="0.25">
      <c r="A53" s="18" t="s">
        <v>7364</v>
      </c>
      <c r="B53" s="4" t="s">
        <v>1676</v>
      </c>
      <c r="C53" s="4" t="s">
        <v>212</v>
      </c>
      <c r="D53" s="4" t="s">
        <v>3289</v>
      </c>
      <c r="E53" s="9">
        <v>10.886245779064158</v>
      </c>
      <c r="F53" s="9">
        <v>722.15</v>
      </c>
      <c r="G53" s="1" t="s">
        <v>7365</v>
      </c>
      <c r="H53" s="1">
        <f>SUMIF([1]Sheet1!$G:$G,A53,[1]Sheet1!$O:$O)</f>
        <v>558.85</v>
      </c>
      <c r="I53" s="21">
        <f t="shared" si="0"/>
        <v>163.29999999999995</v>
      </c>
    </row>
    <row r="54" spans="1:9" x14ac:dyDescent="0.25">
      <c r="A54" s="18" t="s">
        <v>6503</v>
      </c>
      <c r="B54" s="4" t="s">
        <v>1677</v>
      </c>
      <c r="C54" s="4" t="s">
        <v>213</v>
      </c>
      <c r="D54" s="4" t="s">
        <v>3289</v>
      </c>
      <c r="E54" s="9">
        <v>6.0145882352941173</v>
      </c>
      <c r="F54" s="9">
        <v>255.61999999999998</v>
      </c>
      <c r="G54" s="1" t="s">
        <v>6504</v>
      </c>
      <c r="H54" s="1">
        <f>SUMIF([1]Sheet1!$G:$G,A54,[1]Sheet1!$O:$O)</f>
        <v>255.62</v>
      </c>
      <c r="I54" s="21">
        <f t="shared" si="0"/>
        <v>0</v>
      </c>
    </row>
    <row r="55" spans="1:9" x14ac:dyDescent="0.25">
      <c r="A55" s="18" t="s">
        <v>7453</v>
      </c>
      <c r="B55" s="4" t="s">
        <v>1678</v>
      </c>
      <c r="C55" s="4" t="s">
        <v>214</v>
      </c>
      <c r="D55" s="4" t="s">
        <v>3289</v>
      </c>
      <c r="E55" s="9">
        <v>8.2016970070965751</v>
      </c>
      <c r="F55" s="9">
        <v>2658.17</v>
      </c>
      <c r="G55" s="1" t="s">
        <v>7456</v>
      </c>
      <c r="H55" s="1">
        <f>SUMIF([1]Sheet1!$G:$G,A55,[1]Sheet1!$O:$O)</f>
        <v>2658.17</v>
      </c>
      <c r="I55" s="21">
        <f t="shared" si="0"/>
        <v>0</v>
      </c>
    </row>
    <row r="56" spans="1:9" x14ac:dyDescent="0.25">
      <c r="A56" s="18" t="s">
        <v>11123</v>
      </c>
      <c r="B56" s="4" t="s">
        <v>1679</v>
      </c>
      <c r="C56" s="4" t="s">
        <v>215</v>
      </c>
      <c r="D56" s="4" t="s">
        <v>3289</v>
      </c>
      <c r="E56" s="9">
        <v>5.8323636363636355</v>
      </c>
      <c r="F56" s="9">
        <v>320.77999999999997</v>
      </c>
      <c r="G56" s="1" t="s">
        <v>11124</v>
      </c>
      <c r="H56" s="1">
        <f>SUMIF([1]Sheet1!$G:$G,A56,[1]Sheet1!$O:$O)</f>
        <v>320.77999999999997</v>
      </c>
      <c r="I56" s="21">
        <f t="shared" si="0"/>
        <v>0</v>
      </c>
    </row>
    <row r="57" spans="1:9" x14ac:dyDescent="0.25">
      <c r="A57" s="18" t="s">
        <v>7082</v>
      </c>
      <c r="B57" s="4" t="s">
        <v>1680</v>
      </c>
      <c r="C57" s="4" t="s">
        <v>216</v>
      </c>
      <c r="D57" s="4" t="s">
        <v>3289</v>
      </c>
      <c r="E57" s="9">
        <v>74.239999999999995</v>
      </c>
      <c r="F57" s="9">
        <v>74.239999999999995</v>
      </c>
      <c r="G57" s="1" t="s">
        <v>7083</v>
      </c>
      <c r="H57" s="1">
        <f>SUMIF([1]Sheet1!$G:$G,A57,[1]Sheet1!$O:$O)</f>
        <v>74.239999999999995</v>
      </c>
      <c r="I57" s="21">
        <f t="shared" si="0"/>
        <v>0</v>
      </c>
    </row>
    <row r="58" spans="1:9" x14ac:dyDescent="0.25">
      <c r="A58" s="18" t="s">
        <v>5155</v>
      </c>
      <c r="B58" s="4" t="s">
        <v>1681</v>
      </c>
      <c r="C58" s="4" t="s">
        <v>217</v>
      </c>
      <c r="D58" s="4" t="s">
        <v>3292</v>
      </c>
      <c r="E58" s="9">
        <v>5.2957142857142854</v>
      </c>
      <c r="F58" s="9">
        <v>74.14</v>
      </c>
      <c r="G58" s="1" t="s">
        <v>5156</v>
      </c>
      <c r="H58" s="1">
        <f>SUMIF([1]Sheet1!$G:$G,A58,[1]Sheet1!$O:$O)</f>
        <v>74.14</v>
      </c>
      <c r="I58" s="21">
        <f t="shared" si="0"/>
        <v>0</v>
      </c>
    </row>
    <row r="59" spans="1:9" x14ac:dyDescent="0.25">
      <c r="A59" s="18" t="s">
        <v>10624</v>
      </c>
      <c r="B59" s="4" t="s">
        <v>1682</v>
      </c>
      <c r="C59" s="4" t="s">
        <v>218</v>
      </c>
      <c r="D59" s="4" t="s">
        <v>3290</v>
      </c>
      <c r="E59" s="9">
        <v>2.0605911330049262</v>
      </c>
      <c r="F59" s="9">
        <v>418.3</v>
      </c>
      <c r="G59" s="1" t="s">
        <v>10625</v>
      </c>
      <c r="H59" s="1">
        <f>SUMIF([1]Sheet1!$G:$G,A59,[1]Sheet1!$O:$O)</f>
        <v>410.06</v>
      </c>
      <c r="I59" s="21">
        <f t="shared" si="0"/>
        <v>8.2400000000000091</v>
      </c>
    </row>
    <row r="60" spans="1:9" x14ac:dyDescent="0.25">
      <c r="A60" s="18" t="s">
        <v>11719</v>
      </c>
      <c r="B60" s="4" t="s">
        <v>1683</v>
      </c>
      <c r="C60" s="4" t="s">
        <v>219</v>
      </c>
      <c r="D60" s="4" t="s">
        <v>3290</v>
      </c>
      <c r="E60" s="9">
        <v>3.1631107738998478</v>
      </c>
      <c r="F60" s="9">
        <v>2084.4899999999998</v>
      </c>
      <c r="G60" s="1" t="s">
        <v>11720</v>
      </c>
      <c r="H60" s="1">
        <f>SUMIF([1]Sheet1!$G:$G,A60,[1]Sheet1!$O:$O)</f>
        <v>0</v>
      </c>
      <c r="I60" s="21">
        <f t="shared" si="0"/>
        <v>2084.4899999999998</v>
      </c>
    </row>
    <row r="61" spans="1:9" x14ac:dyDescent="0.25">
      <c r="A61" s="18" t="s">
        <v>4333</v>
      </c>
      <c r="B61" s="4" t="s">
        <v>1684</v>
      </c>
      <c r="C61" s="4" t="s">
        <v>220</v>
      </c>
      <c r="D61" s="4" t="s">
        <v>3290</v>
      </c>
      <c r="E61" s="9">
        <v>9.5308196721311482</v>
      </c>
      <c r="F61" s="9">
        <v>581.38</v>
      </c>
      <c r="G61" s="1" t="s">
        <v>4334</v>
      </c>
      <c r="H61" s="1">
        <f>SUMIF([1]Sheet1!$G:$G,A61,[1]Sheet1!$O:$O)</f>
        <v>581.38</v>
      </c>
      <c r="I61" s="21">
        <f t="shared" si="0"/>
        <v>0</v>
      </c>
    </row>
    <row r="62" spans="1:9" x14ac:dyDescent="0.25">
      <c r="A62" s="18" t="s">
        <v>8817</v>
      </c>
      <c r="B62" s="4" t="s">
        <v>1685</v>
      </c>
      <c r="C62" s="4" t="s">
        <v>221</v>
      </c>
      <c r="D62" s="4" t="s">
        <v>3290</v>
      </c>
      <c r="E62" s="9">
        <v>57.535000000000004</v>
      </c>
      <c r="F62" s="9">
        <v>1495.91</v>
      </c>
      <c r="G62" s="1" t="s">
        <v>8818</v>
      </c>
      <c r="H62" s="1">
        <f>SUMIF([1]Sheet1!$G:$G,A62,[1]Sheet1!$O:$O)</f>
        <v>1495.91</v>
      </c>
      <c r="I62" s="21">
        <f t="shared" si="0"/>
        <v>0</v>
      </c>
    </row>
    <row r="63" spans="1:9" x14ac:dyDescent="0.25">
      <c r="A63" s="18" t="s">
        <v>9787</v>
      </c>
      <c r="B63" s="4" t="s">
        <v>1686</v>
      </c>
      <c r="C63" s="4" t="s">
        <v>222</v>
      </c>
      <c r="D63" s="4" t="s">
        <v>3290</v>
      </c>
      <c r="E63" s="9">
        <v>3.5145755693581782</v>
      </c>
      <c r="F63" s="9">
        <v>1697.54</v>
      </c>
      <c r="G63" s="1" t="s">
        <v>9788</v>
      </c>
      <c r="H63" s="1">
        <f>SUMIF([1]Sheet1!$G:$G,A63,[1]Sheet1!$O:$O)</f>
        <v>1697.55</v>
      </c>
      <c r="I63" s="21">
        <f t="shared" si="0"/>
        <v>-9.9999999999909051E-3</v>
      </c>
    </row>
    <row r="64" spans="1:9" x14ac:dyDescent="0.25">
      <c r="A64" s="18" t="s">
        <v>6064</v>
      </c>
      <c r="B64" s="4" t="s">
        <v>1687</v>
      </c>
      <c r="C64" s="4" t="s">
        <v>223</v>
      </c>
      <c r="D64" s="4" t="s">
        <v>3290</v>
      </c>
      <c r="E64" s="9">
        <v>19.333076923076923</v>
      </c>
      <c r="F64" s="9">
        <v>251.33</v>
      </c>
      <c r="G64" s="1" t="s">
        <v>6065</v>
      </c>
      <c r="H64" s="1">
        <f>SUMIF([1]Sheet1!$G:$G,A64,[1]Sheet1!$O:$O)</f>
        <v>251.33</v>
      </c>
      <c r="I64" s="21">
        <f t="shared" si="0"/>
        <v>0</v>
      </c>
    </row>
    <row r="65" spans="1:9" x14ac:dyDescent="0.25">
      <c r="A65" s="18" t="s">
        <v>5228</v>
      </c>
      <c r="B65" s="4" t="s">
        <v>1688</v>
      </c>
      <c r="C65" s="4" t="s">
        <v>224</v>
      </c>
      <c r="D65" s="4" t="s">
        <v>3290</v>
      </c>
      <c r="E65" s="9">
        <v>12.71</v>
      </c>
      <c r="F65" s="9">
        <v>12.71</v>
      </c>
      <c r="G65" s="1" t="s">
        <v>5229</v>
      </c>
      <c r="H65" s="1">
        <f>SUMIF([1]Sheet1!$G:$G,A65,[1]Sheet1!$O:$O)</f>
        <v>12.71</v>
      </c>
      <c r="I65" s="21">
        <f t="shared" si="0"/>
        <v>0</v>
      </c>
    </row>
    <row r="66" spans="1:9" x14ac:dyDescent="0.25">
      <c r="A66" s="18" t="s">
        <v>11991</v>
      </c>
      <c r="B66" s="4" t="s">
        <v>1689</v>
      </c>
      <c r="C66" s="4" t="s">
        <v>225</v>
      </c>
      <c r="D66" s="4" t="s">
        <v>3289</v>
      </c>
      <c r="E66" s="9">
        <v>5.3389999999999995</v>
      </c>
      <c r="F66" s="9">
        <v>533.9</v>
      </c>
      <c r="G66" s="1" t="s">
        <v>11992</v>
      </c>
      <c r="H66" s="1">
        <f>SUMIF([1]Sheet1!$G:$G,A66,[1]Sheet1!$O:$O)</f>
        <v>533.9</v>
      </c>
      <c r="I66" s="21">
        <f t="shared" si="0"/>
        <v>0</v>
      </c>
    </row>
    <row r="67" spans="1:9" x14ac:dyDescent="0.25">
      <c r="A67" s="18" t="s">
        <v>4187</v>
      </c>
      <c r="B67" s="4" t="s">
        <v>1690</v>
      </c>
      <c r="C67" s="4" t="s">
        <v>226</v>
      </c>
      <c r="D67" s="4" t="s">
        <v>3295</v>
      </c>
      <c r="E67" s="9">
        <v>8.1713793629684535</v>
      </c>
      <c r="F67" s="9">
        <v>3748.13</v>
      </c>
      <c r="G67" s="1" t="s">
        <v>4189</v>
      </c>
      <c r="H67" s="1">
        <f>SUMIF([1]Sheet1!$G:$G,A67,[1]Sheet1!$O:$O)</f>
        <v>3380.43</v>
      </c>
      <c r="I67" s="21">
        <f t="shared" ref="I67:I130" si="1">F67-H67</f>
        <v>367.70000000000027</v>
      </c>
    </row>
    <row r="68" spans="1:9" x14ac:dyDescent="0.25">
      <c r="A68" s="18" t="s">
        <v>4068</v>
      </c>
      <c r="B68" s="4" t="s">
        <v>1691</v>
      </c>
      <c r="C68" s="4" t="s">
        <v>227</v>
      </c>
      <c r="D68" s="4" t="s">
        <v>3291</v>
      </c>
      <c r="E68" s="9">
        <v>20.226002113993005</v>
      </c>
      <c r="F68" s="9">
        <v>6218.99</v>
      </c>
      <c r="G68" s="1" t="s">
        <v>4071</v>
      </c>
      <c r="H68" s="1">
        <f>SUMIF([1]Sheet1!$G:$G,A68,[1]Sheet1!$O:$O)</f>
        <v>6218.99</v>
      </c>
      <c r="I68" s="21">
        <f t="shared" si="1"/>
        <v>0</v>
      </c>
    </row>
    <row r="69" spans="1:9" x14ac:dyDescent="0.25">
      <c r="A69" s="18" t="s">
        <v>8961</v>
      </c>
      <c r="B69" s="4" t="s">
        <v>1692</v>
      </c>
      <c r="C69" s="4" t="s">
        <v>228</v>
      </c>
      <c r="D69" s="4" t="s">
        <v>3290</v>
      </c>
      <c r="E69" s="9">
        <v>2.524375</v>
      </c>
      <c r="F69" s="9">
        <v>40.39</v>
      </c>
      <c r="G69" s="1" t="s">
        <v>8962</v>
      </c>
      <c r="H69" s="1">
        <f>SUMIF([1]Sheet1!$G:$G,A69,[1]Sheet1!$O:$O)</f>
        <v>0</v>
      </c>
      <c r="I69" s="21">
        <f t="shared" si="1"/>
        <v>40.39</v>
      </c>
    </row>
    <row r="70" spans="1:9" x14ac:dyDescent="0.25">
      <c r="A70" s="18" t="s">
        <v>9892</v>
      </c>
      <c r="B70" s="4" t="s">
        <v>1693</v>
      </c>
      <c r="C70" s="4" t="s">
        <v>229</v>
      </c>
      <c r="D70" s="4" t="s">
        <v>3290</v>
      </c>
      <c r="E70" s="9">
        <v>3.9320168067226895</v>
      </c>
      <c r="F70" s="9">
        <v>4679.1000000000004</v>
      </c>
      <c r="G70" s="1" t="s">
        <v>9893</v>
      </c>
      <c r="H70" s="1">
        <f>SUMIF([1]Sheet1!$G:$G,A70,[1]Sheet1!$O:$O)</f>
        <v>4675.1499999999996</v>
      </c>
      <c r="I70" s="21">
        <f t="shared" si="1"/>
        <v>3.9500000000007276</v>
      </c>
    </row>
    <row r="71" spans="1:9" x14ac:dyDescent="0.25">
      <c r="A71" s="18" t="s">
        <v>9026</v>
      </c>
      <c r="B71" s="4" t="s">
        <v>1694</v>
      </c>
      <c r="C71" s="4" t="s">
        <v>230</v>
      </c>
      <c r="D71" s="4" t="s">
        <v>3290</v>
      </c>
      <c r="E71" s="9">
        <v>0.90167999999999993</v>
      </c>
      <c r="F71" s="9">
        <v>112.71</v>
      </c>
      <c r="G71" s="1" t="s">
        <v>9027</v>
      </c>
      <c r="H71" s="1">
        <f>SUMIF([1]Sheet1!$G:$G,A71,[1]Sheet1!$O:$O)</f>
        <v>100.09</v>
      </c>
      <c r="I71" s="21">
        <f t="shared" si="1"/>
        <v>12.61999999999999</v>
      </c>
    </row>
    <row r="72" spans="1:9" x14ac:dyDescent="0.25">
      <c r="A72" s="18" t="s">
        <v>4225</v>
      </c>
      <c r="B72" s="4" t="s">
        <v>1695</v>
      </c>
      <c r="C72" s="4" t="s">
        <v>231</v>
      </c>
      <c r="D72" s="4" t="s">
        <v>3290</v>
      </c>
      <c r="E72" s="9">
        <v>5.3524000000000003</v>
      </c>
      <c r="F72" s="9">
        <v>267.62</v>
      </c>
      <c r="G72" s="1" t="s">
        <v>4228</v>
      </c>
      <c r="H72" s="1">
        <f>SUMIF([1]Sheet1!$G:$G,A72,[1]Sheet1!$O:$O)</f>
        <v>111.5</v>
      </c>
      <c r="I72" s="21">
        <f t="shared" si="1"/>
        <v>156.12</v>
      </c>
    </row>
    <row r="73" spans="1:9" x14ac:dyDescent="0.25">
      <c r="A73" s="18" t="s">
        <v>8311</v>
      </c>
      <c r="B73" s="4" t="s">
        <v>1696</v>
      </c>
      <c r="C73" s="4" t="s">
        <v>232</v>
      </c>
      <c r="D73" s="4" t="s">
        <v>3290</v>
      </c>
      <c r="E73" s="9">
        <v>5.3175555555555558</v>
      </c>
      <c r="F73" s="9">
        <v>239.29000000000002</v>
      </c>
      <c r="G73" s="1" t="s">
        <v>8312</v>
      </c>
      <c r="H73" s="1">
        <f>SUMIF([1]Sheet1!$G:$G,A73,[1]Sheet1!$O:$O)</f>
        <v>239.29</v>
      </c>
      <c r="I73" s="21">
        <f t="shared" si="1"/>
        <v>0</v>
      </c>
    </row>
    <row r="74" spans="1:9" x14ac:dyDescent="0.25">
      <c r="A74" s="18" t="s">
        <v>11443</v>
      </c>
      <c r="B74" s="4" t="s">
        <v>1697</v>
      </c>
      <c r="C74" s="4" t="s">
        <v>233</v>
      </c>
      <c r="D74" s="4" t="s">
        <v>3290</v>
      </c>
      <c r="E74" s="9">
        <v>11.765882352941176</v>
      </c>
      <c r="F74" s="9">
        <v>200.01999999999998</v>
      </c>
      <c r="G74" s="1" t="s">
        <v>11444</v>
      </c>
      <c r="H74" s="1">
        <f>SUMIF([1]Sheet1!$G:$G,A74,[1]Sheet1!$O:$O)</f>
        <v>200.02</v>
      </c>
      <c r="I74" s="21">
        <f t="shared" si="1"/>
        <v>0</v>
      </c>
    </row>
    <row r="75" spans="1:9" x14ac:dyDescent="0.25">
      <c r="A75" s="18" t="s">
        <v>11384</v>
      </c>
      <c r="B75" s="4" t="s">
        <v>1698</v>
      </c>
      <c r="C75" s="4" t="s">
        <v>234</v>
      </c>
      <c r="D75" s="4" t="s">
        <v>3290</v>
      </c>
      <c r="E75" s="9">
        <v>25.160588235294117</v>
      </c>
      <c r="F75" s="9">
        <v>427.73</v>
      </c>
      <c r="G75" s="1" t="s">
        <v>11385</v>
      </c>
      <c r="H75" s="1">
        <f>SUMIF([1]Sheet1!$G:$G,A75,[1]Sheet1!$O:$O)</f>
        <v>427.73</v>
      </c>
      <c r="I75" s="21">
        <f t="shared" si="1"/>
        <v>0</v>
      </c>
    </row>
    <row r="76" spans="1:9" x14ac:dyDescent="0.25">
      <c r="A76" s="18" t="s">
        <v>9022</v>
      </c>
      <c r="B76" s="4" t="s">
        <v>1699</v>
      </c>
      <c r="C76" s="4" t="s">
        <v>235</v>
      </c>
      <c r="D76" s="4" t="s">
        <v>3290</v>
      </c>
      <c r="E76" s="9">
        <v>5.3049999999999997</v>
      </c>
      <c r="F76" s="9">
        <v>700.26</v>
      </c>
      <c r="G76" s="1" t="s">
        <v>9023</v>
      </c>
      <c r="H76" s="1">
        <f>SUMIF([1]Sheet1!$G:$G,A76,[1]Sheet1!$O:$O)</f>
        <v>694.96</v>
      </c>
      <c r="I76" s="21">
        <f t="shared" si="1"/>
        <v>5.2999999999999545</v>
      </c>
    </row>
    <row r="77" spans="1:9" x14ac:dyDescent="0.25">
      <c r="A77" s="18" t="s">
        <v>11739</v>
      </c>
      <c r="B77" s="4" t="s">
        <v>1700</v>
      </c>
      <c r="C77" s="4" t="s">
        <v>236</v>
      </c>
      <c r="D77" s="4" t="s">
        <v>3290</v>
      </c>
      <c r="E77" s="9">
        <v>7.2219999999999995</v>
      </c>
      <c r="F77" s="9">
        <v>36.11</v>
      </c>
      <c r="G77" s="1" t="s">
        <v>11740</v>
      </c>
      <c r="H77" s="1">
        <f>SUMIF([1]Sheet1!$G:$G,A77,[1]Sheet1!$O:$O)</f>
        <v>36.11</v>
      </c>
      <c r="I77" s="21">
        <f t="shared" si="1"/>
        <v>0</v>
      </c>
    </row>
    <row r="78" spans="1:9" x14ac:dyDescent="0.25">
      <c r="A78" s="18" t="s">
        <v>6066</v>
      </c>
      <c r="B78" s="4" t="s">
        <v>1701</v>
      </c>
      <c r="C78" s="4" t="s">
        <v>237</v>
      </c>
      <c r="D78" s="4" t="s">
        <v>3290</v>
      </c>
      <c r="E78" s="9">
        <v>17.149999999999999</v>
      </c>
      <c r="F78" s="9">
        <v>120.04999999999998</v>
      </c>
      <c r="G78" s="1" t="s">
        <v>6067</v>
      </c>
      <c r="H78" s="1">
        <f>SUMIF([1]Sheet1!$G:$G,A78,[1]Sheet1!$O:$O)</f>
        <v>120.05</v>
      </c>
      <c r="I78" s="21">
        <f t="shared" si="1"/>
        <v>0</v>
      </c>
    </row>
    <row r="79" spans="1:9" x14ac:dyDescent="0.25">
      <c r="A79" s="18" t="s">
        <v>6068</v>
      </c>
      <c r="B79" s="4" t="s">
        <v>1702</v>
      </c>
      <c r="C79" s="4" t="s">
        <v>238</v>
      </c>
      <c r="D79" s="4" t="s">
        <v>3290</v>
      </c>
      <c r="E79" s="9">
        <v>22.596666666666668</v>
      </c>
      <c r="F79" s="9">
        <v>67.790000000000006</v>
      </c>
      <c r="G79" s="1" t="s">
        <v>6069</v>
      </c>
      <c r="H79" s="1">
        <f>SUMIF([1]Sheet1!$G:$G,A79,[1]Sheet1!$O:$O)</f>
        <v>67.790000000000006</v>
      </c>
      <c r="I79" s="21">
        <f t="shared" si="1"/>
        <v>0</v>
      </c>
    </row>
    <row r="80" spans="1:9" x14ac:dyDescent="0.25">
      <c r="A80" s="18" t="s">
        <v>11741</v>
      </c>
      <c r="B80" s="4" t="s">
        <v>1703</v>
      </c>
      <c r="C80" s="4" t="s">
        <v>239</v>
      </c>
      <c r="D80" s="4" t="s">
        <v>3290</v>
      </c>
      <c r="E80" s="9">
        <v>211.86</v>
      </c>
      <c r="F80" s="9">
        <v>211.86</v>
      </c>
      <c r="G80" s="1" t="s">
        <v>11742</v>
      </c>
      <c r="H80" s="1">
        <f>SUMIF([1]Sheet1!$G:$G,A80,[1]Sheet1!$O:$O)</f>
        <v>211.86</v>
      </c>
      <c r="I80" s="21">
        <f t="shared" si="1"/>
        <v>0</v>
      </c>
    </row>
    <row r="81" spans="1:9" x14ac:dyDescent="0.25">
      <c r="A81" s="18" t="s">
        <v>10979</v>
      </c>
      <c r="B81" s="4" t="s">
        <v>1704</v>
      </c>
      <c r="C81" s="4" t="s">
        <v>240</v>
      </c>
      <c r="D81" s="4" t="s">
        <v>3290</v>
      </c>
      <c r="E81" s="9">
        <v>4.5255555555555551</v>
      </c>
      <c r="F81" s="9">
        <v>40.729999999999997</v>
      </c>
      <c r="G81" s="1" t="s">
        <v>10980</v>
      </c>
      <c r="H81" s="1">
        <f>SUMIF([1]Sheet1!$G:$G,A81,[1]Sheet1!$O:$O)</f>
        <v>40.729999999999997</v>
      </c>
      <c r="I81" s="21">
        <f t="shared" si="1"/>
        <v>0</v>
      </c>
    </row>
    <row r="82" spans="1:9" x14ac:dyDescent="0.25">
      <c r="A82" s="18" t="s">
        <v>11285</v>
      </c>
      <c r="B82" s="4" t="s">
        <v>1705</v>
      </c>
      <c r="C82" s="4" t="s">
        <v>241</v>
      </c>
      <c r="D82" s="4" t="s">
        <v>3290</v>
      </c>
      <c r="E82" s="9">
        <v>6.0855555555555556</v>
      </c>
      <c r="F82" s="9">
        <v>54.77</v>
      </c>
      <c r="G82" s="1" t="s">
        <v>11287</v>
      </c>
      <c r="H82" s="1">
        <f>SUMIF([1]Sheet1!$G:$G,A82,[1]Sheet1!$O:$O)</f>
        <v>54.77</v>
      </c>
      <c r="I82" s="21">
        <f t="shared" si="1"/>
        <v>0</v>
      </c>
    </row>
    <row r="83" spans="1:9" x14ac:dyDescent="0.25">
      <c r="A83" s="18" t="s">
        <v>5887</v>
      </c>
      <c r="B83" s="4" t="s">
        <v>1706</v>
      </c>
      <c r="C83" s="4" t="s">
        <v>242</v>
      </c>
      <c r="D83" s="4" t="s">
        <v>3290</v>
      </c>
      <c r="E83" s="9">
        <v>25.802439024390246</v>
      </c>
      <c r="F83" s="9">
        <v>1057.9000000000001</v>
      </c>
      <c r="G83" s="1" t="s">
        <v>5888</v>
      </c>
      <c r="H83" s="1">
        <f>SUMIF([1]Sheet1!$G:$G,A83,[1]Sheet1!$O:$O)</f>
        <v>1057.9000000000001</v>
      </c>
      <c r="I83" s="21">
        <f t="shared" si="1"/>
        <v>0</v>
      </c>
    </row>
    <row r="84" spans="1:9" x14ac:dyDescent="0.25">
      <c r="A84" s="18" t="s">
        <v>9259</v>
      </c>
      <c r="B84" s="4" t="s">
        <v>1707</v>
      </c>
      <c r="C84" s="4" t="s">
        <v>243</v>
      </c>
      <c r="D84" s="4" t="s">
        <v>3290</v>
      </c>
      <c r="E84" s="9">
        <v>2.0873622047244096</v>
      </c>
      <c r="F84" s="9">
        <v>530.19000000000005</v>
      </c>
      <c r="G84" s="1" t="s">
        <v>9260</v>
      </c>
      <c r="H84" s="1">
        <f>SUMIF([1]Sheet1!$G:$G,A84,[1]Sheet1!$O:$O)</f>
        <v>530.20000000000005</v>
      </c>
      <c r="I84" s="21">
        <f t="shared" si="1"/>
        <v>-9.9999999999909051E-3</v>
      </c>
    </row>
    <row r="85" spans="1:9" x14ac:dyDescent="0.25">
      <c r="A85" s="18" t="s">
        <v>4297</v>
      </c>
      <c r="B85" s="4" t="s">
        <v>1708</v>
      </c>
      <c r="C85" s="4" t="s">
        <v>244</v>
      </c>
      <c r="D85" s="4" t="s">
        <v>3291</v>
      </c>
      <c r="E85" s="9">
        <v>1.5217592592592593</v>
      </c>
      <c r="F85" s="9">
        <v>821.75</v>
      </c>
      <c r="G85" s="1" t="s">
        <v>4300</v>
      </c>
      <c r="H85" s="1">
        <f>SUMIF([1]Sheet1!$G:$G,A85,[1]Sheet1!$O:$O)</f>
        <v>821.77</v>
      </c>
      <c r="I85" s="21">
        <f t="shared" si="1"/>
        <v>-1.999999999998181E-2</v>
      </c>
    </row>
    <row r="86" spans="1:9" x14ac:dyDescent="0.25">
      <c r="A86" s="18" t="s">
        <v>11046</v>
      </c>
      <c r="B86" s="4" t="s">
        <v>1709</v>
      </c>
      <c r="C86" s="4" t="s">
        <v>245</v>
      </c>
      <c r="D86" s="4" t="s">
        <v>3290</v>
      </c>
      <c r="E86" s="9">
        <v>1.2862500000000001</v>
      </c>
      <c r="F86" s="9">
        <v>123.48000000000002</v>
      </c>
      <c r="G86" s="1" t="s">
        <v>11049</v>
      </c>
      <c r="H86" s="1">
        <f>SUMIF([1]Sheet1!$G:$G,A86,[1]Sheet1!$O:$O)</f>
        <v>123.48</v>
      </c>
      <c r="I86" s="21">
        <f t="shared" si="1"/>
        <v>0</v>
      </c>
    </row>
    <row r="87" spans="1:9" x14ac:dyDescent="0.25">
      <c r="A87" s="18" t="s">
        <v>9995</v>
      </c>
      <c r="B87" s="4" t="s">
        <v>1710</v>
      </c>
      <c r="C87" s="4" t="s">
        <v>246</v>
      </c>
      <c r="D87" s="4" t="s">
        <v>3290</v>
      </c>
      <c r="E87" s="9">
        <v>644.06571428571431</v>
      </c>
      <c r="F87" s="9">
        <v>4508.46</v>
      </c>
      <c r="G87" s="1" t="s">
        <v>9996</v>
      </c>
      <c r="H87" s="1">
        <f>SUMIF([1]Sheet1!$G:$G,A87,[1]Sheet1!$O:$O)</f>
        <v>4508.46</v>
      </c>
      <c r="I87" s="21">
        <f t="shared" si="1"/>
        <v>0</v>
      </c>
    </row>
    <row r="88" spans="1:9" x14ac:dyDescent="0.25">
      <c r="A88" s="18" t="s">
        <v>7762</v>
      </c>
      <c r="B88" s="4" t="s">
        <v>1711</v>
      </c>
      <c r="C88" s="4" t="s">
        <v>247</v>
      </c>
      <c r="D88" s="4" t="s">
        <v>3290</v>
      </c>
      <c r="E88" s="9">
        <v>16.963414634146343</v>
      </c>
      <c r="F88" s="9">
        <v>695.5</v>
      </c>
      <c r="G88" s="1" t="s">
        <v>7763</v>
      </c>
      <c r="H88" s="1">
        <f>SUMIF([1]Sheet1!$G:$G,A88,[1]Sheet1!$O:$O)</f>
        <v>695.5</v>
      </c>
      <c r="I88" s="21">
        <f t="shared" si="1"/>
        <v>0</v>
      </c>
    </row>
    <row r="89" spans="1:9" x14ac:dyDescent="0.25">
      <c r="A89" s="18" t="s">
        <v>9987</v>
      </c>
      <c r="B89" s="4" t="s">
        <v>1712</v>
      </c>
      <c r="C89" s="4" t="s">
        <v>248</v>
      </c>
      <c r="D89" s="4" t="s">
        <v>3290</v>
      </c>
      <c r="E89" s="9">
        <v>282.83875</v>
      </c>
      <c r="F89" s="9">
        <v>2262.71</v>
      </c>
      <c r="G89" s="1" t="s">
        <v>9988</v>
      </c>
      <c r="H89" s="1">
        <f>SUMIF([1]Sheet1!$G:$G,A89,[1]Sheet1!$O:$O)</f>
        <v>2262.71</v>
      </c>
      <c r="I89" s="21">
        <f t="shared" si="1"/>
        <v>0</v>
      </c>
    </row>
    <row r="90" spans="1:9" x14ac:dyDescent="0.25">
      <c r="A90" s="18" t="s">
        <v>5825</v>
      </c>
      <c r="B90" s="4" t="s">
        <v>1713</v>
      </c>
      <c r="C90" s="4" t="s">
        <v>249</v>
      </c>
      <c r="D90" s="4" t="s">
        <v>3290</v>
      </c>
      <c r="E90" s="9">
        <v>2.5</v>
      </c>
      <c r="F90" s="9">
        <v>7.5</v>
      </c>
      <c r="G90" s="1" t="s">
        <v>5826</v>
      </c>
      <c r="H90" s="1">
        <f>SUMIF([1]Sheet1!$G:$G,A90,[1]Sheet1!$O:$O)</f>
        <v>7.5</v>
      </c>
      <c r="I90" s="21">
        <f t="shared" si="1"/>
        <v>0</v>
      </c>
    </row>
    <row r="91" spans="1:9" x14ac:dyDescent="0.25">
      <c r="A91" s="18" t="s">
        <v>6135</v>
      </c>
      <c r="B91" s="4" t="s">
        <v>1714</v>
      </c>
      <c r="C91" s="4" t="s">
        <v>250</v>
      </c>
      <c r="D91" s="4" t="s">
        <v>3290</v>
      </c>
      <c r="E91" s="9">
        <v>42.893333333333338</v>
      </c>
      <c r="F91" s="9">
        <v>772.08</v>
      </c>
      <c r="G91" s="1" t="s">
        <v>6136</v>
      </c>
      <c r="H91" s="1">
        <f>SUMIF([1]Sheet1!$G:$G,A91,[1]Sheet1!$O:$O)</f>
        <v>772.08</v>
      </c>
      <c r="I91" s="21">
        <f t="shared" si="1"/>
        <v>0</v>
      </c>
    </row>
    <row r="92" spans="1:9" x14ac:dyDescent="0.25">
      <c r="A92" s="18" t="s">
        <v>11982</v>
      </c>
      <c r="B92" s="4" t="s">
        <v>1715</v>
      </c>
      <c r="C92" s="4" t="s">
        <v>251</v>
      </c>
      <c r="D92" s="4" t="s">
        <v>3290</v>
      </c>
      <c r="E92" s="9">
        <v>41.945882352941176</v>
      </c>
      <c r="F92" s="9">
        <v>6417.72</v>
      </c>
      <c r="G92" s="1" t="s">
        <v>11983</v>
      </c>
      <c r="H92" s="1">
        <f>SUMIF([1]Sheet1!$G:$G,A92,[1]Sheet1!$O:$O)</f>
        <v>6333.83</v>
      </c>
      <c r="I92" s="21">
        <f t="shared" si="1"/>
        <v>83.890000000000327</v>
      </c>
    </row>
    <row r="93" spans="1:9" x14ac:dyDescent="0.25">
      <c r="A93" s="18" t="s">
        <v>8808</v>
      </c>
      <c r="B93" s="4" t="s">
        <v>1716</v>
      </c>
      <c r="C93" s="4" t="s">
        <v>252</v>
      </c>
      <c r="D93" s="4" t="s">
        <v>3290</v>
      </c>
      <c r="E93" s="9">
        <v>11.931153846153846</v>
      </c>
      <c r="F93" s="9">
        <v>310.20999999999998</v>
      </c>
      <c r="G93" s="1" t="s">
        <v>8809</v>
      </c>
      <c r="H93" s="1">
        <f>SUMIF([1]Sheet1!$G:$G,A93,[1]Sheet1!$O:$O)</f>
        <v>310.20999999999998</v>
      </c>
      <c r="I93" s="21">
        <f t="shared" si="1"/>
        <v>0</v>
      </c>
    </row>
    <row r="94" spans="1:9" x14ac:dyDescent="0.25">
      <c r="A94" s="18" t="s">
        <v>10505</v>
      </c>
      <c r="B94" s="4" t="s">
        <v>1717</v>
      </c>
      <c r="C94" s="4" t="s">
        <v>253</v>
      </c>
      <c r="D94" s="4" t="s">
        <v>3290</v>
      </c>
      <c r="E94" s="9">
        <v>45.094999999999999</v>
      </c>
      <c r="F94" s="9">
        <v>180.38</v>
      </c>
      <c r="G94" s="1" t="s">
        <v>10506</v>
      </c>
      <c r="H94" s="1">
        <f>SUMIF([1]Sheet1!$G:$G,A94,[1]Sheet1!$O:$O)</f>
        <v>180.38</v>
      </c>
      <c r="I94" s="21">
        <f t="shared" si="1"/>
        <v>0</v>
      </c>
    </row>
    <row r="95" spans="1:9" x14ac:dyDescent="0.25">
      <c r="A95" s="18" t="s">
        <v>11150</v>
      </c>
      <c r="B95" s="4" t="s">
        <v>1718</v>
      </c>
      <c r="C95" s="4" t="s">
        <v>254</v>
      </c>
      <c r="D95" s="4" t="s">
        <v>3289</v>
      </c>
      <c r="E95" s="9">
        <v>35.870999999999995</v>
      </c>
      <c r="F95" s="9">
        <v>358.70999999999992</v>
      </c>
      <c r="G95" s="1" t="s">
        <v>11151</v>
      </c>
      <c r="H95" s="1">
        <f>SUMIF([1]Sheet1!$G:$G,A95,[1]Sheet1!$O:$O)</f>
        <v>358.71</v>
      </c>
      <c r="I95" s="21">
        <f t="shared" si="1"/>
        <v>0</v>
      </c>
    </row>
    <row r="96" spans="1:9" x14ac:dyDescent="0.25">
      <c r="A96" s="18" t="s">
        <v>10378</v>
      </c>
      <c r="B96" s="4" t="s">
        <v>1719</v>
      </c>
      <c r="C96" s="4" t="s">
        <v>255</v>
      </c>
      <c r="D96" s="4" t="s">
        <v>3290</v>
      </c>
      <c r="E96" s="9">
        <v>0.34966451612903227</v>
      </c>
      <c r="F96" s="9">
        <v>541.98</v>
      </c>
      <c r="G96" s="1" t="s">
        <v>10379</v>
      </c>
      <c r="H96" s="1">
        <f>SUMIF([1]Sheet1!$G:$G,A96,[1]Sheet1!$O:$O)</f>
        <v>542.04</v>
      </c>
      <c r="I96" s="21">
        <f t="shared" si="1"/>
        <v>-5.999999999994543E-2</v>
      </c>
    </row>
    <row r="97" spans="1:9" x14ac:dyDescent="0.25">
      <c r="A97" s="18" t="s">
        <v>8252</v>
      </c>
      <c r="B97" s="4" t="s">
        <v>1720</v>
      </c>
      <c r="C97" s="4" t="s">
        <v>256</v>
      </c>
      <c r="D97" s="4" t="s">
        <v>3290</v>
      </c>
      <c r="E97" s="9">
        <v>15.593333333333334</v>
      </c>
      <c r="F97" s="9">
        <v>93.56</v>
      </c>
      <c r="G97" s="1" t="s">
        <v>8253</v>
      </c>
      <c r="H97" s="1">
        <f>SUMIF([1]Sheet1!$G:$G,A97,[1]Sheet1!$O:$O)</f>
        <v>93.56</v>
      </c>
      <c r="I97" s="21">
        <f t="shared" si="1"/>
        <v>0</v>
      </c>
    </row>
    <row r="98" spans="1:9" x14ac:dyDescent="0.25">
      <c r="A98" s="18" t="s">
        <v>6612</v>
      </c>
      <c r="B98" s="4" t="s">
        <v>1721</v>
      </c>
      <c r="C98" s="4" t="s">
        <v>257</v>
      </c>
      <c r="D98" s="4" t="s">
        <v>3290</v>
      </c>
      <c r="E98" s="9">
        <v>4.3782283464566927</v>
      </c>
      <c r="F98" s="9">
        <v>1112.07</v>
      </c>
      <c r="G98" s="1" t="s">
        <v>6615</v>
      </c>
      <c r="H98" s="1">
        <f>SUMIF([1]Sheet1!$G:$G,A98,[1]Sheet1!$O:$O)</f>
        <v>1090.17</v>
      </c>
      <c r="I98" s="21">
        <f t="shared" si="1"/>
        <v>21.899999999999864</v>
      </c>
    </row>
    <row r="99" spans="1:9" x14ac:dyDescent="0.25">
      <c r="A99" s="18" t="s">
        <v>7209</v>
      </c>
      <c r="B99" s="4" t="s">
        <v>1722</v>
      </c>
      <c r="C99" s="4" t="s">
        <v>258</v>
      </c>
      <c r="D99" s="4" t="s">
        <v>3289</v>
      </c>
      <c r="E99" s="9">
        <v>38.267238095238092</v>
      </c>
      <c r="F99" s="9">
        <v>2009.0299999999997</v>
      </c>
      <c r="G99" s="1" t="s">
        <v>7210</v>
      </c>
      <c r="H99" s="1">
        <f>SUMIF([1]Sheet1!$G:$G,A99,[1]Sheet1!$O:$O)</f>
        <v>2009.03</v>
      </c>
      <c r="I99" s="21">
        <f t="shared" si="1"/>
        <v>0</v>
      </c>
    </row>
    <row r="100" spans="1:9" x14ac:dyDescent="0.25">
      <c r="A100" s="18" t="s">
        <v>4208</v>
      </c>
      <c r="B100" s="4" t="s">
        <v>1723</v>
      </c>
      <c r="C100" s="4" t="s">
        <v>259</v>
      </c>
      <c r="D100" s="4" t="s">
        <v>3290</v>
      </c>
      <c r="E100" s="9">
        <v>179.68736842105264</v>
      </c>
      <c r="F100" s="9">
        <v>6828.12</v>
      </c>
      <c r="G100" s="1" t="s">
        <v>4209</v>
      </c>
      <c r="H100" s="1">
        <f>SUMIF([1]Sheet1!$G:$G,A100,[1]Sheet1!$O:$O)</f>
        <v>6828.12</v>
      </c>
      <c r="I100" s="21">
        <f t="shared" si="1"/>
        <v>0</v>
      </c>
    </row>
    <row r="101" spans="1:9" x14ac:dyDescent="0.25">
      <c r="A101" s="18" t="s">
        <v>6823</v>
      </c>
      <c r="B101" s="4" t="s">
        <v>1724</v>
      </c>
      <c r="C101" s="4" t="s">
        <v>260</v>
      </c>
      <c r="D101" s="4" t="s">
        <v>3290</v>
      </c>
      <c r="E101" s="9">
        <v>9.3224999999999998</v>
      </c>
      <c r="F101" s="9">
        <v>74.58</v>
      </c>
      <c r="G101" s="1" t="s">
        <v>6824</v>
      </c>
      <c r="H101" s="1">
        <f>SUMIF([1]Sheet1!$G:$G,A101,[1]Sheet1!$O:$O)</f>
        <v>74.58</v>
      </c>
      <c r="I101" s="21">
        <f t="shared" si="1"/>
        <v>0</v>
      </c>
    </row>
    <row r="102" spans="1:9" x14ac:dyDescent="0.25">
      <c r="A102" s="18" t="s">
        <v>6131</v>
      </c>
      <c r="B102" s="4" t="s">
        <v>1725</v>
      </c>
      <c r="C102" s="4" t="s">
        <v>261</v>
      </c>
      <c r="D102" s="4" t="s">
        <v>3290</v>
      </c>
      <c r="E102" s="9">
        <v>4.4694736842105263</v>
      </c>
      <c r="F102" s="9">
        <v>84.92</v>
      </c>
      <c r="G102" s="1" t="s">
        <v>6132</v>
      </c>
      <c r="H102" s="1">
        <f>SUMIF([1]Sheet1!$G:$G,A102,[1]Sheet1!$O:$O)</f>
        <v>84.92</v>
      </c>
      <c r="I102" s="21">
        <f t="shared" si="1"/>
        <v>0</v>
      </c>
    </row>
    <row r="103" spans="1:9" x14ac:dyDescent="0.25">
      <c r="A103" s="18" t="s">
        <v>6821</v>
      </c>
      <c r="B103" s="4" t="s">
        <v>1726</v>
      </c>
      <c r="C103" s="4" t="s">
        <v>262</v>
      </c>
      <c r="D103" s="4" t="s">
        <v>3290</v>
      </c>
      <c r="E103" s="9">
        <v>13.254545454545456</v>
      </c>
      <c r="F103" s="9">
        <v>291.60000000000002</v>
      </c>
      <c r="G103" s="1" t="s">
        <v>6822</v>
      </c>
      <c r="H103" s="1">
        <f>SUMIF([1]Sheet1!$G:$G,A103,[1]Sheet1!$O:$O)</f>
        <v>291.60000000000002</v>
      </c>
      <c r="I103" s="21">
        <f t="shared" si="1"/>
        <v>0</v>
      </c>
    </row>
    <row r="104" spans="1:9" x14ac:dyDescent="0.25">
      <c r="A104" s="18" t="s">
        <v>9607</v>
      </c>
      <c r="B104" s="4" t="s">
        <v>1727</v>
      </c>
      <c r="C104" s="4" t="s">
        <v>263</v>
      </c>
      <c r="D104" s="4" t="s">
        <v>3290</v>
      </c>
      <c r="E104" s="9">
        <v>1.105654069767442</v>
      </c>
      <c r="F104" s="9">
        <v>760.69</v>
      </c>
      <c r="G104" s="1" t="s">
        <v>9610</v>
      </c>
      <c r="H104" s="1">
        <f>SUMIF([1]Sheet1!$G:$G,A104,[1]Sheet1!$O:$O)</f>
        <v>744.14</v>
      </c>
      <c r="I104" s="21">
        <f t="shared" si="1"/>
        <v>16.550000000000068</v>
      </c>
    </row>
    <row r="105" spans="1:9" x14ac:dyDescent="0.25">
      <c r="A105" s="18" t="s">
        <v>8241</v>
      </c>
      <c r="B105" s="4" t="s">
        <v>1728</v>
      </c>
      <c r="C105" s="4" t="s">
        <v>264</v>
      </c>
      <c r="D105" s="4" t="s">
        <v>3290</v>
      </c>
      <c r="E105" s="9">
        <v>0.84210526315789469</v>
      </c>
      <c r="F105" s="9">
        <v>16</v>
      </c>
      <c r="G105" s="1" t="s">
        <v>8242</v>
      </c>
      <c r="H105" s="1">
        <f>SUMIF([1]Sheet1!$G:$G,A105,[1]Sheet1!$O:$O)</f>
        <v>16</v>
      </c>
      <c r="I105" s="21">
        <f t="shared" si="1"/>
        <v>0</v>
      </c>
    </row>
    <row r="106" spans="1:9" x14ac:dyDescent="0.25">
      <c r="A106" s="18" t="s">
        <v>5819</v>
      </c>
      <c r="B106" s="4" t="s">
        <v>1729</v>
      </c>
      <c r="C106" s="4" t="s">
        <v>265</v>
      </c>
      <c r="D106" s="4" t="s">
        <v>3290</v>
      </c>
      <c r="E106" s="9">
        <v>3.1845762711864403</v>
      </c>
      <c r="F106" s="9">
        <v>187.89</v>
      </c>
      <c r="G106" s="1" t="s">
        <v>5820</v>
      </c>
      <c r="H106" s="1">
        <f>SUMIF([1]Sheet1!$G:$G,A106,[1]Sheet1!$O:$O)</f>
        <v>187.89</v>
      </c>
      <c r="I106" s="21">
        <f t="shared" si="1"/>
        <v>0</v>
      </c>
    </row>
    <row r="107" spans="1:9" x14ac:dyDescent="0.25">
      <c r="A107" s="18" t="s">
        <v>6133</v>
      </c>
      <c r="B107" s="4" t="s">
        <v>1730</v>
      </c>
      <c r="C107" s="4" t="s">
        <v>266</v>
      </c>
      <c r="D107" s="4" t="s">
        <v>3291</v>
      </c>
      <c r="E107" s="9">
        <v>4.184444444444444</v>
      </c>
      <c r="F107" s="9">
        <v>282.45</v>
      </c>
      <c r="G107" s="1" t="s">
        <v>6134</v>
      </c>
      <c r="H107" s="1">
        <f>SUMIF([1]Sheet1!$G:$G,A107,[1]Sheet1!$O:$O)</f>
        <v>282.45</v>
      </c>
      <c r="I107" s="21">
        <f t="shared" si="1"/>
        <v>0</v>
      </c>
    </row>
    <row r="108" spans="1:9" x14ac:dyDescent="0.25">
      <c r="A108" s="18" t="s">
        <v>11721</v>
      </c>
      <c r="B108" s="4" t="s">
        <v>1731</v>
      </c>
      <c r="C108" s="4" t="s">
        <v>267</v>
      </c>
      <c r="D108" s="4" t="s">
        <v>3290</v>
      </c>
      <c r="E108" s="9">
        <v>3.3892307692307693</v>
      </c>
      <c r="F108" s="9">
        <v>44.06</v>
      </c>
      <c r="G108" s="1" t="s">
        <v>11722</v>
      </c>
      <c r="H108" s="1">
        <f>SUMIF([1]Sheet1!$G:$G,A108,[1]Sheet1!$O:$O)</f>
        <v>30.5</v>
      </c>
      <c r="I108" s="21">
        <f t="shared" si="1"/>
        <v>13.560000000000002</v>
      </c>
    </row>
    <row r="109" spans="1:9" x14ac:dyDescent="0.25">
      <c r="A109" s="18" t="s">
        <v>11727</v>
      </c>
      <c r="B109" s="4" t="s">
        <v>1732</v>
      </c>
      <c r="C109" s="4" t="s">
        <v>268</v>
      </c>
      <c r="D109" s="4" t="s">
        <v>3290</v>
      </c>
      <c r="E109" s="9">
        <v>19.077500000000001</v>
      </c>
      <c r="F109" s="9">
        <v>2670.85</v>
      </c>
      <c r="G109" s="1" t="s">
        <v>11728</v>
      </c>
      <c r="H109" s="1">
        <f>SUMIF([1]Sheet1!$G:$G,A109,[1]Sheet1!$O:$O)</f>
        <v>2651.77</v>
      </c>
      <c r="I109" s="21">
        <f t="shared" si="1"/>
        <v>19.079999999999927</v>
      </c>
    </row>
    <row r="110" spans="1:9" x14ac:dyDescent="0.25">
      <c r="A110" s="18" t="s">
        <v>6321</v>
      </c>
      <c r="B110" s="4" t="s">
        <v>1733</v>
      </c>
      <c r="C110" s="4" t="s">
        <v>269</v>
      </c>
      <c r="D110" s="4" t="s">
        <v>3290</v>
      </c>
      <c r="E110" s="9">
        <v>142.75137254901961</v>
      </c>
      <c r="F110" s="9">
        <v>7280.32</v>
      </c>
      <c r="G110" s="1" t="s">
        <v>6322</v>
      </c>
      <c r="H110" s="1">
        <f>SUMIF([1]Sheet1!$G:$G,A110,[1]Sheet1!$O:$O)</f>
        <v>7280.32</v>
      </c>
      <c r="I110" s="21">
        <f t="shared" si="1"/>
        <v>0</v>
      </c>
    </row>
    <row r="111" spans="1:9" x14ac:dyDescent="0.25">
      <c r="A111" s="18" t="s">
        <v>10390</v>
      </c>
      <c r="B111" s="4" t="s">
        <v>1734</v>
      </c>
      <c r="C111" s="4" t="s">
        <v>270</v>
      </c>
      <c r="D111" s="4" t="s">
        <v>3289</v>
      </c>
      <c r="E111" s="9">
        <v>4.2372941176470587</v>
      </c>
      <c r="F111" s="9">
        <v>720.33999999999992</v>
      </c>
      <c r="G111" s="1" t="s">
        <v>10391</v>
      </c>
      <c r="H111" s="1">
        <f>SUMIF([1]Sheet1!$G:$G,A111,[1]Sheet1!$O:$O)</f>
        <v>720.34</v>
      </c>
      <c r="I111" s="21">
        <f t="shared" si="1"/>
        <v>0</v>
      </c>
    </row>
    <row r="112" spans="1:9" x14ac:dyDescent="0.25">
      <c r="A112" s="18" t="s">
        <v>11313</v>
      </c>
      <c r="B112" s="4" t="s">
        <v>1735</v>
      </c>
      <c r="C112" s="4" t="s">
        <v>271</v>
      </c>
      <c r="D112" s="4" t="s">
        <v>3291</v>
      </c>
      <c r="E112" s="9">
        <v>0.371640625</v>
      </c>
      <c r="F112" s="9">
        <v>237.85</v>
      </c>
      <c r="G112" s="1" t="s">
        <v>11315</v>
      </c>
      <c r="H112" s="1">
        <f>SUMIF([1]Sheet1!$G:$G,A112,[1]Sheet1!$O:$O)</f>
        <v>193.23</v>
      </c>
      <c r="I112" s="21">
        <f t="shared" si="1"/>
        <v>44.620000000000005</v>
      </c>
    </row>
    <row r="113" spans="1:9" x14ac:dyDescent="0.25">
      <c r="A113" s="18" t="s">
        <v>5941</v>
      </c>
      <c r="B113" s="4" t="s">
        <v>1736</v>
      </c>
      <c r="C113" s="4" t="s">
        <v>272</v>
      </c>
      <c r="D113" s="4" t="s">
        <v>3290</v>
      </c>
      <c r="E113" s="9">
        <v>30.146086956521739</v>
      </c>
      <c r="F113" s="9">
        <v>693.36</v>
      </c>
      <c r="G113" s="1" t="s">
        <v>5942</v>
      </c>
      <c r="H113" s="1">
        <f>SUMIF([1]Sheet1!$G:$G,A113,[1]Sheet1!$O:$O)</f>
        <v>693.36</v>
      </c>
      <c r="I113" s="21">
        <f t="shared" si="1"/>
        <v>0</v>
      </c>
    </row>
    <row r="114" spans="1:9" x14ac:dyDescent="0.25">
      <c r="A114" s="18" t="s">
        <v>4041</v>
      </c>
      <c r="B114" s="4" t="s">
        <v>1737</v>
      </c>
      <c r="C114" s="4" t="s">
        <v>273</v>
      </c>
      <c r="D114" s="4" t="s">
        <v>3290</v>
      </c>
      <c r="E114" s="9">
        <v>72.882307692307691</v>
      </c>
      <c r="F114" s="9">
        <v>947.47</v>
      </c>
      <c r="G114" s="1" t="s">
        <v>4044</v>
      </c>
      <c r="H114" s="1">
        <f>SUMIF([1]Sheet1!$G:$G,A114,[1]Sheet1!$O:$O)</f>
        <v>947.47</v>
      </c>
      <c r="I114" s="21">
        <f t="shared" si="1"/>
        <v>0</v>
      </c>
    </row>
    <row r="115" spans="1:9" x14ac:dyDescent="0.25">
      <c r="A115" s="18" t="s">
        <v>6674</v>
      </c>
      <c r="B115" s="4" t="s">
        <v>1738</v>
      </c>
      <c r="C115" s="4" t="s">
        <v>274</v>
      </c>
      <c r="D115" s="4" t="s">
        <v>3291</v>
      </c>
      <c r="E115" s="9">
        <v>1.6047318611987382</v>
      </c>
      <c r="F115" s="9">
        <v>50.87</v>
      </c>
      <c r="G115" s="1" t="s">
        <v>6675</v>
      </c>
      <c r="H115" s="1">
        <f>SUMIF([1]Sheet1!$G:$G,A115,[1]Sheet1!$O:$O)</f>
        <v>50.87</v>
      </c>
      <c r="I115" s="21">
        <f t="shared" si="1"/>
        <v>0</v>
      </c>
    </row>
    <row r="116" spans="1:9" x14ac:dyDescent="0.25">
      <c r="A116" s="18" t="s">
        <v>11176</v>
      </c>
      <c r="B116" s="4" t="s">
        <v>1739</v>
      </c>
      <c r="C116" s="4" t="s">
        <v>275</v>
      </c>
      <c r="D116" s="4" t="s">
        <v>3290</v>
      </c>
      <c r="E116" s="9">
        <v>10.55</v>
      </c>
      <c r="F116" s="9">
        <v>10.55</v>
      </c>
      <c r="G116" s="1" t="s">
        <v>11178</v>
      </c>
      <c r="H116" s="1">
        <f>SUMIF([1]Sheet1!$G:$G,A116,[1]Sheet1!$O:$O)</f>
        <v>10.55</v>
      </c>
      <c r="I116" s="21">
        <f t="shared" si="1"/>
        <v>0</v>
      </c>
    </row>
    <row r="117" spans="1:9" x14ac:dyDescent="0.25">
      <c r="A117" s="18" t="s">
        <v>3774</v>
      </c>
      <c r="B117" s="4" t="s">
        <v>1740</v>
      </c>
      <c r="C117" s="4" t="s">
        <v>276</v>
      </c>
      <c r="D117" s="4" t="s">
        <v>3290</v>
      </c>
      <c r="E117" s="9">
        <v>16</v>
      </c>
      <c r="F117" s="9">
        <v>64</v>
      </c>
      <c r="G117" s="1" t="s">
        <v>3775</v>
      </c>
      <c r="H117" s="1">
        <f>SUMIF([1]Sheet1!$G:$G,A117,[1]Sheet1!$O:$O)</f>
        <v>64</v>
      </c>
      <c r="I117" s="21">
        <f t="shared" si="1"/>
        <v>0</v>
      </c>
    </row>
    <row r="118" spans="1:9" x14ac:dyDescent="0.25">
      <c r="A118" s="18" t="s">
        <v>11347</v>
      </c>
      <c r="B118" s="4" t="s">
        <v>1741</v>
      </c>
      <c r="C118" s="4" t="s">
        <v>277</v>
      </c>
      <c r="D118" s="4" t="s">
        <v>3290</v>
      </c>
      <c r="E118" s="9">
        <v>20.126874999999998</v>
      </c>
      <c r="F118" s="9">
        <v>322.02999999999997</v>
      </c>
      <c r="G118" s="1" t="s">
        <v>11348</v>
      </c>
      <c r="H118" s="1">
        <f>SUMIF([1]Sheet1!$G:$G,A118,[1]Sheet1!$O:$O)</f>
        <v>322.02999999999997</v>
      </c>
      <c r="I118" s="21">
        <f t="shared" si="1"/>
        <v>0</v>
      </c>
    </row>
    <row r="119" spans="1:9" x14ac:dyDescent="0.25">
      <c r="A119" s="18" t="s">
        <v>11297</v>
      </c>
      <c r="B119" s="4" t="s">
        <v>1742</v>
      </c>
      <c r="C119" s="4" t="s">
        <v>278</v>
      </c>
      <c r="D119" s="4" t="s">
        <v>3290</v>
      </c>
      <c r="E119" s="9">
        <v>89.104666666666674</v>
      </c>
      <c r="F119" s="9">
        <v>4009.7100000000005</v>
      </c>
      <c r="G119" s="1" t="s">
        <v>11298</v>
      </c>
      <c r="H119" s="1">
        <f>SUMIF([1]Sheet1!$G:$G,A119,[1]Sheet1!$O:$O)</f>
        <v>4009.71</v>
      </c>
      <c r="I119" s="21">
        <f t="shared" si="1"/>
        <v>0</v>
      </c>
    </row>
    <row r="120" spans="1:9" x14ac:dyDescent="0.25">
      <c r="A120" s="18" t="s">
        <v>10717</v>
      </c>
      <c r="B120" s="4" t="s">
        <v>1743</v>
      </c>
      <c r="C120" s="4" t="s">
        <v>279</v>
      </c>
      <c r="D120" s="4" t="s">
        <v>3290</v>
      </c>
      <c r="E120" s="9">
        <v>12.39875</v>
      </c>
      <c r="F120" s="9">
        <v>99.19</v>
      </c>
      <c r="G120" s="1" t="s">
        <v>10718</v>
      </c>
      <c r="H120" s="1">
        <f>SUMIF([1]Sheet1!$G:$G,A120,[1]Sheet1!$O:$O)</f>
        <v>99.19</v>
      </c>
      <c r="I120" s="21">
        <f t="shared" si="1"/>
        <v>0</v>
      </c>
    </row>
    <row r="121" spans="1:9" x14ac:dyDescent="0.25">
      <c r="A121" s="18" t="s">
        <v>6271</v>
      </c>
      <c r="B121" s="4" t="s">
        <v>1744</v>
      </c>
      <c r="C121" s="4" t="s">
        <v>280</v>
      </c>
      <c r="D121" s="4" t="s">
        <v>3291</v>
      </c>
      <c r="E121" s="9">
        <v>4.2764285714285721</v>
      </c>
      <c r="F121" s="9">
        <v>359.22000000000008</v>
      </c>
      <c r="G121" s="1" t="s">
        <v>6272</v>
      </c>
      <c r="H121" s="1">
        <f>SUMIF([1]Sheet1!$G:$G,A121,[1]Sheet1!$O:$O)</f>
        <v>346.39</v>
      </c>
      <c r="I121" s="21">
        <f t="shared" si="1"/>
        <v>12.830000000000098</v>
      </c>
    </row>
    <row r="122" spans="1:9" x14ac:dyDescent="0.25">
      <c r="A122" s="18" t="s">
        <v>6012</v>
      </c>
      <c r="B122" s="4" t="s">
        <v>1745</v>
      </c>
      <c r="C122" s="4" t="s">
        <v>281</v>
      </c>
      <c r="D122" s="4" t="s">
        <v>3289</v>
      </c>
      <c r="E122" s="9">
        <v>13.69125</v>
      </c>
      <c r="F122" s="9">
        <v>109.53</v>
      </c>
      <c r="G122" s="1" t="s">
        <v>6013</v>
      </c>
      <c r="H122" s="1">
        <f>SUMIF([1]Sheet1!$G:$G,A122,[1]Sheet1!$O:$O)</f>
        <v>109.53</v>
      </c>
      <c r="I122" s="21">
        <f t="shared" si="1"/>
        <v>0</v>
      </c>
    </row>
    <row r="123" spans="1:9" x14ac:dyDescent="0.25">
      <c r="A123" s="18" t="s">
        <v>9582</v>
      </c>
      <c r="B123" s="4" t="s">
        <v>1746</v>
      </c>
      <c r="C123" s="4" t="s">
        <v>282</v>
      </c>
      <c r="D123" s="4" t="s">
        <v>3290</v>
      </c>
      <c r="E123" s="9">
        <v>63.774999999999999</v>
      </c>
      <c r="F123" s="9">
        <v>3188.75</v>
      </c>
      <c r="G123" s="1" t="s">
        <v>9583</v>
      </c>
      <c r="H123" s="1">
        <f>SUMIF([1]Sheet1!$G:$G,A123,[1]Sheet1!$O:$O)</f>
        <v>3188.75</v>
      </c>
      <c r="I123" s="21">
        <f t="shared" si="1"/>
        <v>0</v>
      </c>
    </row>
    <row r="124" spans="1:9" x14ac:dyDescent="0.25">
      <c r="A124" s="18" t="s">
        <v>10553</v>
      </c>
      <c r="B124" s="4" t="s">
        <v>1747</v>
      </c>
      <c r="C124" s="4" t="s">
        <v>283</v>
      </c>
      <c r="D124" s="4" t="s">
        <v>3290</v>
      </c>
      <c r="E124" s="9">
        <v>7.3180000000000005</v>
      </c>
      <c r="F124" s="9">
        <v>73.180000000000007</v>
      </c>
      <c r="G124" s="1" t="s">
        <v>10554</v>
      </c>
      <c r="H124" s="1">
        <f>SUMIF([1]Sheet1!$G:$G,A124,[1]Sheet1!$O:$O)</f>
        <v>73.180000000000007</v>
      </c>
      <c r="I124" s="21">
        <f t="shared" si="1"/>
        <v>0</v>
      </c>
    </row>
    <row r="125" spans="1:9" x14ac:dyDescent="0.25">
      <c r="A125" s="18" t="s">
        <v>3947</v>
      </c>
      <c r="B125" s="4" t="s">
        <v>1748</v>
      </c>
      <c r="C125" s="4" t="s">
        <v>284</v>
      </c>
      <c r="D125" s="4" t="s">
        <v>3290</v>
      </c>
      <c r="E125" s="9">
        <v>338.14</v>
      </c>
      <c r="F125" s="9">
        <v>338.14</v>
      </c>
      <c r="G125" s="1" t="s">
        <v>3948</v>
      </c>
      <c r="H125" s="1">
        <f>SUMIF([1]Sheet1!$G:$G,A125,[1]Sheet1!$O:$O)</f>
        <v>338.14</v>
      </c>
      <c r="I125" s="21">
        <f t="shared" si="1"/>
        <v>0</v>
      </c>
    </row>
    <row r="126" spans="1:9" x14ac:dyDescent="0.25">
      <c r="A126" s="18" t="s">
        <v>4242</v>
      </c>
      <c r="B126" s="4" t="s">
        <v>1749</v>
      </c>
      <c r="C126" s="4" t="s">
        <v>285</v>
      </c>
      <c r="D126" s="4" t="s">
        <v>3290</v>
      </c>
      <c r="E126" s="9">
        <v>112.47074712643678</v>
      </c>
      <c r="F126" s="9">
        <v>19569.91</v>
      </c>
      <c r="G126" s="1" t="s">
        <v>4243</v>
      </c>
      <c r="H126" s="1">
        <f>SUMIF([1]Sheet1!$G:$G,A126,[1]Sheet1!$O:$O)</f>
        <v>19007.55</v>
      </c>
      <c r="I126" s="21">
        <f t="shared" si="1"/>
        <v>562.36000000000058</v>
      </c>
    </row>
    <row r="127" spans="1:9" x14ac:dyDescent="0.25">
      <c r="A127" s="18" t="s">
        <v>6001</v>
      </c>
      <c r="B127" s="4" t="s">
        <v>1750</v>
      </c>
      <c r="C127" s="4" t="s">
        <v>286</v>
      </c>
      <c r="D127" s="4" t="s">
        <v>3289</v>
      </c>
      <c r="E127" s="9">
        <v>11.7</v>
      </c>
      <c r="F127" s="9">
        <v>5.85</v>
      </c>
      <c r="G127" s="1" t="s">
        <v>6002</v>
      </c>
      <c r="H127" s="1">
        <f>SUMIF([1]Sheet1!$G:$G,A127,[1]Sheet1!$O:$O)</f>
        <v>5.85</v>
      </c>
      <c r="I127" s="21">
        <f t="shared" si="1"/>
        <v>0</v>
      </c>
    </row>
    <row r="128" spans="1:9" x14ac:dyDescent="0.25">
      <c r="A128" s="18" t="s">
        <v>10626</v>
      </c>
      <c r="B128" s="4" t="s">
        <v>1751</v>
      </c>
      <c r="C128" s="4" t="s">
        <v>287</v>
      </c>
      <c r="D128" s="4" t="s">
        <v>3290</v>
      </c>
      <c r="E128" s="9">
        <v>2.6678571428571427</v>
      </c>
      <c r="F128" s="9">
        <v>560.25</v>
      </c>
      <c r="G128" s="1" t="s">
        <v>10627</v>
      </c>
      <c r="H128" s="1">
        <f>SUMIF([1]Sheet1!$G:$G,A128,[1]Sheet1!$O:$O)</f>
        <v>560.26</v>
      </c>
      <c r="I128" s="21">
        <f t="shared" si="1"/>
        <v>-9.9999999999909051E-3</v>
      </c>
    </row>
    <row r="129" spans="1:9" x14ac:dyDescent="0.25">
      <c r="A129" s="18" t="s">
        <v>9781</v>
      </c>
      <c r="B129" s="4" t="s">
        <v>1752</v>
      </c>
      <c r="C129" s="4" t="s">
        <v>288</v>
      </c>
      <c r="D129" s="4" t="s">
        <v>3290</v>
      </c>
      <c r="E129" s="9">
        <v>1.53</v>
      </c>
      <c r="F129" s="9">
        <v>1.53</v>
      </c>
      <c r="G129" s="1" t="s">
        <v>9782</v>
      </c>
      <c r="H129" s="1">
        <f>SUMIF([1]Sheet1!$G:$G,A129,[1]Sheet1!$O:$O)</f>
        <v>1.53</v>
      </c>
      <c r="I129" s="21">
        <f t="shared" si="1"/>
        <v>0</v>
      </c>
    </row>
    <row r="130" spans="1:9" x14ac:dyDescent="0.25">
      <c r="A130" s="18" t="s">
        <v>9613</v>
      </c>
      <c r="B130" s="4" t="s">
        <v>1753</v>
      </c>
      <c r="C130" s="4" t="s">
        <v>289</v>
      </c>
      <c r="D130" s="4" t="s">
        <v>3290</v>
      </c>
      <c r="E130" s="9">
        <v>2.3113397129186604</v>
      </c>
      <c r="F130" s="9">
        <v>483.07</v>
      </c>
      <c r="G130" s="1" t="s">
        <v>9614</v>
      </c>
      <c r="H130" s="1">
        <f>SUMIF([1]Sheet1!$G:$G,A130,[1]Sheet1!$O:$O)</f>
        <v>416.06</v>
      </c>
      <c r="I130" s="21">
        <f t="shared" si="1"/>
        <v>67.009999999999991</v>
      </c>
    </row>
    <row r="131" spans="1:9" x14ac:dyDescent="0.25">
      <c r="A131" s="18" t="s">
        <v>4135</v>
      </c>
      <c r="B131" s="4" t="s">
        <v>1754</v>
      </c>
      <c r="C131" s="4" t="s">
        <v>290</v>
      </c>
      <c r="D131" s="4" t="s">
        <v>3289</v>
      </c>
      <c r="E131" s="9">
        <v>1.8928077753779697</v>
      </c>
      <c r="F131" s="9">
        <v>876.37</v>
      </c>
      <c r="G131" s="1" t="s">
        <v>4136</v>
      </c>
      <c r="H131" s="1">
        <f>SUMIF([1]Sheet1!$G:$G,A131,[1]Sheet1!$O:$O)</f>
        <v>876.37</v>
      </c>
      <c r="I131" s="21">
        <f t="shared" ref="I131:I194" si="2">F131-H131</f>
        <v>0</v>
      </c>
    </row>
    <row r="132" spans="1:9" x14ac:dyDescent="0.25">
      <c r="A132" s="18" t="s">
        <v>7793</v>
      </c>
      <c r="B132" s="4" t="s">
        <v>1755</v>
      </c>
      <c r="C132" s="4" t="s">
        <v>291</v>
      </c>
      <c r="D132" s="4" t="s">
        <v>3290</v>
      </c>
      <c r="E132" s="9">
        <v>6.3284615384615384</v>
      </c>
      <c r="F132" s="9">
        <v>82.27</v>
      </c>
      <c r="G132" s="1" t="s">
        <v>7794</v>
      </c>
      <c r="H132" s="1">
        <f>SUMIF([1]Sheet1!$G:$G,A132,[1]Sheet1!$O:$O)</f>
        <v>82.27</v>
      </c>
      <c r="I132" s="21">
        <f t="shared" si="2"/>
        <v>0</v>
      </c>
    </row>
    <row r="133" spans="1:9" x14ac:dyDescent="0.25">
      <c r="A133" s="18" t="s">
        <v>8318</v>
      </c>
      <c r="B133" s="4" t="s">
        <v>1756</v>
      </c>
      <c r="C133" s="4" t="s">
        <v>292</v>
      </c>
      <c r="D133" s="4" t="s">
        <v>3291</v>
      </c>
      <c r="E133" s="9">
        <v>28.578410532309363</v>
      </c>
      <c r="F133" s="9">
        <v>1210113.07</v>
      </c>
      <c r="G133" s="1" t="s">
        <v>8319</v>
      </c>
      <c r="H133" s="1">
        <f>SUMIF([1]Sheet1!$G:$G,A133,[1]Sheet1!$O:$O)</f>
        <v>1020657.62</v>
      </c>
      <c r="I133" s="21">
        <f t="shared" si="2"/>
        <v>189455.45000000007</v>
      </c>
    </row>
    <row r="134" spans="1:9" x14ac:dyDescent="0.25">
      <c r="A134" s="18" t="s">
        <v>10661</v>
      </c>
      <c r="B134" s="4" t="s">
        <v>1757</v>
      </c>
      <c r="C134" s="4" t="s">
        <v>293</v>
      </c>
      <c r="D134" s="4" t="s">
        <v>3295</v>
      </c>
      <c r="E134" s="9">
        <v>32.270409451204117</v>
      </c>
      <c r="F134" s="9">
        <v>639.17999999999995</v>
      </c>
      <c r="G134" s="1" t="s">
        <v>10662</v>
      </c>
      <c r="H134" s="1">
        <f>SUMIF([1]Sheet1!$G:$G,A134,[1]Sheet1!$O:$O)</f>
        <v>639.17999999999995</v>
      </c>
      <c r="I134" s="21">
        <f t="shared" si="2"/>
        <v>0</v>
      </c>
    </row>
    <row r="135" spans="1:9" x14ac:dyDescent="0.25">
      <c r="A135" s="18" t="s">
        <v>4144</v>
      </c>
      <c r="B135" s="4" t="s">
        <v>1758</v>
      </c>
      <c r="C135" s="4" t="s">
        <v>294</v>
      </c>
      <c r="D135" s="4" t="s">
        <v>3289</v>
      </c>
      <c r="E135" s="9">
        <v>2.6274549098196398</v>
      </c>
      <c r="F135" s="9">
        <v>131.11000000000001</v>
      </c>
      <c r="G135" s="1" t="s">
        <v>4145</v>
      </c>
      <c r="H135" s="1">
        <f>SUMIF([1]Sheet1!$G:$G,A135,[1]Sheet1!$O:$O)</f>
        <v>131.11000000000001</v>
      </c>
      <c r="I135" s="21">
        <f t="shared" si="2"/>
        <v>0</v>
      </c>
    </row>
    <row r="136" spans="1:9" x14ac:dyDescent="0.25">
      <c r="A136" s="18" t="s">
        <v>3549</v>
      </c>
      <c r="B136" s="4" t="s">
        <v>1759</v>
      </c>
      <c r="C136" s="4" t="s">
        <v>295</v>
      </c>
      <c r="D136" s="4" t="s">
        <v>3290</v>
      </c>
      <c r="E136" s="9">
        <v>7.626666666666666</v>
      </c>
      <c r="F136" s="9">
        <v>45.76</v>
      </c>
      <c r="G136" s="1" t="s">
        <v>3550</v>
      </c>
      <c r="H136" s="1">
        <f>SUMIF([1]Sheet1!$G:$G,A136,[1]Sheet1!$O:$O)</f>
        <v>45.76</v>
      </c>
      <c r="I136" s="21">
        <f t="shared" si="2"/>
        <v>0</v>
      </c>
    </row>
    <row r="137" spans="1:9" x14ac:dyDescent="0.25">
      <c r="A137" s="18" t="s">
        <v>6825</v>
      </c>
      <c r="B137" s="4" t="s">
        <v>1760</v>
      </c>
      <c r="C137" s="4" t="s">
        <v>296</v>
      </c>
      <c r="D137" s="4" t="s">
        <v>3290</v>
      </c>
      <c r="E137" s="9">
        <v>9.1733333333333338</v>
      </c>
      <c r="F137" s="9">
        <v>165.12</v>
      </c>
      <c r="G137" s="1" t="s">
        <v>6826</v>
      </c>
      <c r="H137" s="1">
        <f>SUMIF([1]Sheet1!$G:$G,A137,[1]Sheet1!$O:$O)</f>
        <v>165.12</v>
      </c>
      <c r="I137" s="21">
        <f t="shared" si="2"/>
        <v>0</v>
      </c>
    </row>
    <row r="138" spans="1:9" x14ac:dyDescent="0.25">
      <c r="A138" s="18" t="s">
        <v>7258</v>
      </c>
      <c r="B138" s="4" t="s">
        <v>1761</v>
      </c>
      <c r="C138" s="4" t="s">
        <v>297</v>
      </c>
      <c r="D138" s="4" t="s">
        <v>3289</v>
      </c>
      <c r="E138" s="9">
        <v>2.4266666666666667</v>
      </c>
      <c r="F138" s="9">
        <v>3.64</v>
      </c>
      <c r="G138" s="1" t="s">
        <v>7259</v>
      </c>
      <c r="H138" s="1">
        <f>SUMIF([1]Sheet1!$G:$G,A138,[1]Sheet1!$O:$O)</f>
        <v>3.64</v>
      </c>
      <c r="I138" s="21">
        <f t="shared" si="2"/>
        <v>0</v>
      </c>
    </row>
    <row r="139" spans="1:9" x14ac:dyDescent="0.25">
      <c r="A139" s="18" t="s">
        <v>10065</v>
      </c>
      <c r="B139" s="4" t="s">
        <v>1762</v>
      </c>
      <c r="C139" s="4" t="s">
        <v>298</v>
      </c>
      <c r="D139" s="4" t="s">
        <v>3290</v>
      </c>
      <c r="E139" s="9">
        <v>366.84015384615384</v>
      </c>
      <c r="F139" s="9">
        <v>23844.61</v>
      </c>
      <c r="G139" s="1" t="s">
        <v>10066</v>
      </c>
      <c r="H139" s="1">
        <f>SUMIF([1]Sheet1!$G:$G,A139,[1]Sheet1!$O:$O)</f>
        <v>23844.61</v>
      </c>
      <c r="I139" s="21">
        <f t="shared" si="2"/>
        <v>0</v>
      </c>
    </row>
    <row r="140" spans="1:9" x14ac:dyDescent="0.25">
      <c r="A140" s="18" t="s">
        <v>10977</v>
      </c>
      <c r="B140" s="4" t="s">
        <v>1763</v>
      </c>
      <c r="C140" s="4" t="s">
        <v>299</v>
      </c>
      <c r="D140" s="4" t="s">
        <v>3296</v>
      </c>
      <c r="E140" s="9">
        <v>25.423333333333332</v>
      </c>
      <c r="F140" s="9">
        <v>76.27</v>
      </c>
      <c r="G140" s="1" t="s">
        <v>10978</v>
      </c>
      <c r="H140" s="1">
        <f>SUMIF([1]Sheet1!$G:$G,A140,[1]Sheet1!$O:$O)</f>
        <v>76.27</v>
      </c>
      <c r="I140" s="21">
        <f t="shared" si="2"/>
        <v>0</v>
      </c>
    </row>
    <row r="141" spans="1:9" x14ac:dyDescent="0.25">
      <c r="A141" s="18" t="s">
        <v>4753</v>
      </c>
      <c r="B141" s="4" t="s">
        <v>1764</v>
      </c>
      <c r="C141" s="4" t="s">
        <v>300</v>
      </c>
      <c r="D141" s="4" t="s">
        <v>3290</v>
      </c>
      <c r="E141" s="9">
        <v>32.753636363636367</v>
      </c>
      <c r="F141" s="9">
        <v>360.29</v>
      </c>
      <c r="G141" s="1" t="s">
        <v>4754</v>
      </c>
      <c r="H141" s="1">
        <f>SUMIF([1]Sheet1!$G:$G,A141,[1]Sheet1!$O:$O)</f>
        <v>360.29</v>
      </c>
      <c r="I141" s="21">
        <f t="shared" si="2"/>
        <v>0</v>
      </c>
    </row>
    <row r="142" spans="1:9" x14ac:dyDescent="0.25">
      <c r="A142" s="18" t="s">
        <v>3805</v>
      </c>
      <c r="B142" s="4" t="s">
        <v>1765</v>
      </c>
      <c r="C142" s="4" t="s">
        <v>301</v>
      </c>
      <c r="D142" s="4" t="s">
        <v>3291</v>
      </c>
      <c r="E142" s="9">
        <v>8.26</v>
      </c>
      <c r="F142" s="9">
        <v>41.3</v>
      </c>
      <c r="G142" s="1" t="s">
        <v>3806</v>
      </c>
      <c r="H142" s="1">
        <f>SUMIF([1]Sheet1!$G:$G,A142,[1]Sheet1!$O:$O)</f>
        <v>41.3</v>
      </c>
      <c r="I142" s="21">
        <f t="shared" si="2"/>
        <v>0</v>
      </c>
    </row>
    <row r="143" spans="1:9" x14ac:dyDescent="0.25">
      <c r="A143" s="18" t="s">
        <v>5937</v>
      </c>
      <c r="B143" s="4" t="s">
        <v>1766</v>
      </c>
      <c r="C143" s="4" t="s">
        <v>302</v>
      </c>
      <c r="D143" s="4" t="s">
        <v>3290</v>
      </c>
      <c r="E143" s="9">
        <v>42.374000000000002</v>
      </c>
      <c r="F143" s="9">
        <v>211.87</v>
      </c>
      <c r="G143" s="1" t="s">
        <v>5938</v>
      </c>
      <c r="H143" s="1">
        <f>SUMIF([1]Sheet1!$G:$G,A143,[1]Sheet1!$O:$O)</f>
        <v>211.87</v>
      </c>
      <c r="I143" s="21">
        <f t="shared" si="2"/>
        <v>0</v>
      </c>
    </row>
    <row r="144" spans="1:9" x14ac:dyDescent="0.25">
      <c r="A144" s="18" t="s">
        <v>11709</v>
      </c>
      <c r="B144" s="4" t="s">
        <v>1767</v>
      </c>
      <c r="C144" s="4" t="s">
        <v>303</v>
      </c>
      <c r="D144" s="4" t="s">
        <v>3290</v>
      </c>
      <c r="E144" s="9">
        <v>6.1250000000000006E-2</v>
      </c>
      <c r="F144" s="9">
        <v>4.9000000000000004</v>
      </c>
      <c r="G144" s="1" t="s">
        <v>11710</v>
      </c>
      <c r="H144" s="1">
        <f>SUMIF([1]Sheet1!$G:$G,A144,[1]Sheet1!$O:$O)</f>
        <v>4.9000000000000004</v>
      </c>
      <c r="I144" s="21">
        <f t="shared" si="2"/>
        <v>0</v>
      </c>
    </row>
    <row r="145" spans="1:9" x14ac:dyDescent="0.25">
      <c r="A145" s="18" t="s">
        <v>11206</v>
      </c>
      <c r="B145" s="4" t="s">
        <v>1768</v>
      </c>
      <c r="C145" s="4" t="s">
        <v>304</v>
      </c>
      <c r="D145" s="4" t="s">
        <v>3290</v>
      </c>
      <c r="E145" s="9">
        <v>1.8157420924574208</v>
      </c>
      <c r="F145" s="9">
        <v>746.27</v>
      </c>
      <c r="G145" s="1" t="s">
        <v>11207</v>
      </c>
      <c r="H145" s="1">
        <f>SUMIF([1]Sheet1!$G:$G,A145,[1]Sheet1!$O:$O)</f>
        <v>746.25</v>
      </c>
      <c r="I145" s="21">
        <f t="shared" si="2"/>
        <v>1.999999999998181E-2</v>
      </c>
    </row>
    <row r="146" spans="1:9" x14ac:dyDescent="0.25">
      <c r="A146" s="18" t="s">
        <v>11202</v>
      </c>
      <c r="B146" s="4" t="s">
        <v>1769</v>
      </c>
      <c r="C146" s="4" t="s">
        <v>305</v>
      </c>
      <c r="D146" s="4" t="s">
        <v>3290</v>
      </c>
      <c r="E146" s="9">
        <v>2.4467507002801119</v>
      </c>
      <c r="F146" s="9">
        <v>2620.4699999999998</v>
      </c>
      <c r="G146" s="1" t="s">
        <v>11203</v>
      </c>
      <c r="H146" s="1">
        <f>SUMIF([1]Sheet1!$G:$G,A146,[1]Sheet1!$O:$O)</f>
        <v>2620.52</v>
      </c>
      <c r="I146" s="21">
        <f t="shared" si="2"/>
        <v>-5.0000000000181899E-2</v>
      </c>
    </row>
    <row r="147" spans="1:9" x14ac:dyDescent="0.25">
      <c r="A147" s="18" t="s">
        <v>11756</v>
      </c>
      <c r="B147" s="4" t="s">
        <v>1770</v>
      </c>
      <c r="C147" s="4" t="s">
        <v>306</v>
      </c>
      <c r="D147" s="4" t="s">
        <v>3290</v>
      </c>
      <c r="E147" s="9">
        <v>335.59500000000003</v>
      </c>
      <c r="F147" s="9">
        <v>671.19</v>
      </c>
      <c r="G147" s="1" t="s">
        <v>11757</v>
      </c>
      <c r="H147" s="1">
        <f>SUMIF([1]Sheet1!$G:$G,A147,[1]Sheet1!$O:$O)</f>
        <v>671.19</v>
      </c>
      <c r="I147" s="21">
        <f t="shared" si="2"/>
        <v>0</v>
      </c>
    </row>
    <row r="148" spans="1:9" x14ac:dyDescent="0.25">
      <c r="A148" s="18" t="s">
        <v>11142</v>
      </c>
      <c r="B148" s="4" t="s">
        <v>1771</v>
      </c>
      <c r="C148" s="4" t="s">
        <v>307</v>
      </c>
      <c r="D148" s="4" t="s">
        <v>3289</v>
      </c>
      <c r="E148" s="9">
        <v>3.2322380952380954</v>
      </c>
      <c r="F148" s="9">
        <v>678.77</v>
      </c>
      <c r="G148" s="1" t="s">
        <v>11143</v>
      </c>
      <c r="H148" s="1">
        <f>SUMIF([1]Sheet1!$G:$G,A148,[1]Sheet1!$O:$O)</f>
        <v>678.76</v>
      </c>
      <c r="I148" s="21">
        <f t="shared" si="2"/>
        <v>9.9999999999909051E-3</v>
      </c>
    </row>
    <row r="149" spans="1:9" x14ac:dyDescent="0.25">
      <c r="A149" s="18" t="s">
        <v>6117</v>
      </c>
      <c r="B149" s="4" t="s">
        <v>1772</v>
      </c>
      <c r="C149" s="4" t="s">
        <v>308</v>
      </c>
      <c r="D149" s="4" t="s">
        <v>3289</v>
      </c>
      <c r="E149" s="9">
        <v>1.1866666666666668</v>
      </c>
      <c r="F149" s="9">
        <v>7.120000000000001</v>
      </c>
      <c r="G149" s="1" t="s">
        <v>6118</v>
      </c>
      <c r="H149" s="1">
        <f>SUMIF([1]Sheet1!$G:$G,A149,[1]Sheet1!$O:$O)</f>
        <v>7.12</v>
      </c>
      <c r="I149" s="21">
        <f t="shared" si="2"/>
        <v>0</v>
      </c>
    </row>
    <row r="150" spans="1:9" x14ac:dyDescent="0.25">
      <c r="A150" s="18" t="s">
        <v>10470</v>
      </c>
      <c r="B150" s="4" t="s">
        <v>1773</v>
      </c>
      <c r="C150" s="4" t="s">
        <v>309</v>
      </c>
      <c r="D150" s="4" t="s">
        <v>3290</v>
      </c>
      <c r="E150" s="9">
        <v>109.176</v>
      </c>
      <c r="F150" s="9">
        <v>1637.64</v>
      </c>
      <c r="G150" s="1" t="s">
        <v>10471</v>
      </c>
      <c r="H150" s="1">
        <f>SUMIF([1]Sheet1!$G:$G,A150,[1]Sheet1!$O:$O)</f>
        <v>1637.64</v>
      </c>
      <c r="I150" s="21">
        <f t="shared" si="2"/>
        <v>0</v>
      </c>
    </row>
    <row r="151" spans="1:9" x14ac:dyDescent="0.25">
      <c r="A151" s="18" t="s">
        <v>3528</v>
      </c>
      <c r="B151" s="4" t="s">
        <v>1774</v>
      </c>
      <c r="C151" s="4" t="s">
        <v>310</v>
      </c>
      <c r="D151" s="4" t="s">
        <v>3290</v>
      </c>
      <c r="E151" s="9">
        <v>67.8</v>
      </c>
      <c r="F151" s="9">
        <v>67.8</v>
      </c>
      <c r="G151" s="1" t="s">
        <v>3529</v>
      </c>
      <c r="H151" s="1">
        <f>SUMIF([1]Sheet1!$G:$G,A151,[1]Sheet1!$O:$O)</f>
        <v>67.8</v>
      </c>
      <c r="I151" s="21">
        <f t="shared" si="2"/>
        <v>0</v>
      </c>
    </row>
    <row r="152" spans="1:9" x14ac:dyDescent="0.25">
      <c r="A152" s="18" t="s">
        <v>3480</v>
      </c>
      <c r="B152" s="4" t="s">
        <v>1775</v>
      </c>
      <c r="C152" s="4" t="s">
        <v>311</v>
      </c>
      <c r="D152" s="4" t="s">
        <v>3290</v>
      </c>
      <c r="E152" s="9">
        <v>182.2</v>
      </c>
      <c r="F152" s="9">
        <v>182.2</v>
      </c>
      <c r="G152" s="1" t="s">
        <v>3481</v>
      </c>
      <c r="H152" s="1">
        <f>SUMIF([1]Sheet1!$G:$G,A152,[1]Sheet1!$O:$O)</f>
        <v>182.2</v>
      </c>
      <c r="I152" s="21">
        <f t="shared" si="2"/>
        <v>0</v>
      </c>
    </row>
    <row r="153" spans="1:9" x14ac:dyDescent="0.25">
      <c r="A153" s="18" t="s">
        <v>10589</v>
      </c>
      <c r="B153" s="4" t="s">
        <v>1776</v>
      </c>
      <c r="C153" s="4" t="s">
        <v>312</v>
      </c>
      <c r="D153" s="4" t="s">
        <v>3292</v>
      </c>
      <c r="E153" s="9">
        <v>15</v>
      </c>
      <c r="F153" s="9">
        <v>49.5</v>
      </c>
      <c r="G153" s="1" t="s">
        <v>10590</v>
      </c>
      <c r="H153" s="1">
        <f>SUMIF([1]Sheet1!$G:$G,A153,[1]Sheet1!$O:$O)</f>
        <v>49.5</v>
      </c>
      <c r="I153" s="21">
        <f t="shared" si="2"/>
        <v>0</v>
      </c>
    </row>
    <row r="154" spans="1:9" x14ac:dyDescent="0.25">
      <c r="A154" s="18" t="s">
        <v>10551</v>
      </c>
      <c r="B154" s="4" t="s">
        <v>1777</v>
      </c>
      <c r="C154" s="4" t="s">
        <v>313</v>
      </c>
      <c r="D154" s="4" t="s">
        <v>3292</v>
      </c>
      <c r="E154" s="9">
        <v>11</v>
      </c>
      <c r="F154" s="9">
        <v>36.299999999999997</v>
      </c>
      <c r="G154" s="1" t="s">
        <v>10552</v>
      </c>
      <c r="H154" s="1">
        <f>SUMIF([1]Sheet1!$G:$G,A154,[1]Sheet1!$O:$O)</f>
        <v>36.299999999999997</v>
      </c>
      <c r="I154" s="21">
        <f t="shared" si="2"/>
        <v>0</v>
      </c>
    </row>
    <row r="155" spans="1:9" x14ac:dyDescent="0.25">
      <c r="A155" s="18" t="s">
        <v>6766</v>
      </c>
      <c r="B155" s="4" t="s">
        <v>1778</v>
      </c>
      <c r="C155" s="4" t="s">
        <v>314</v>
      </c>
      <c r="D155" s="4" t="s">
        <v>3291</v>
      </c>
      <c r="E155" s="9">
        <v>3.0614585120102662</v>
      </c>
      <c r="F155" s="9">
        <v>963.79</v>
      </c>
      <c r="G155" s="1" t="s">
        <v>6767</v>
      </c>
      <c r="H155" s="1">
        <f>SUMIF([1]Sheet1!$G:$G,A155,[1]Sheet1!$O:$O)</f>
        <v>899.51</v>
      </c>
      <c r="I155" s="21">
        <f t="shared" si="2"/>
        <v>64.279999999999973</v>
      </c>
    </row>
    <row r="156" spans="1:9" x14ac:dyDescent="0.25">
      <c r="A156" s="18" t="s">
        <v>8148</v>
      </c>
      <c r="B156" s="4" t="s">
        <v>1779</v>
      </c>
      <c r="C156" s="4" t="s">
        <v>315</v>
      </c>
      <c r="D156" s="4" t="s">
        <v>3290</v>
      </c>
      <c r="E156" s="9">
        <v>15.472857142857142</v>
      </c>
      <c r="F156" s="9">
        <v>108.31</v>
      </c>
      <c r="G156" s="1" t="s">
        <v>8149</v>
      </c>
      <c r="H156" s="1">
        <f>SUMIF([1]Sheet1!$G:$G,A156,[1]Sheet1!$O:$O)</f>
        <v>108.31</v>
      </c>
      <c r="I156" s="21">
        <f t="shared" si="2"/>
        <v>0</v>
      </c>
    </row>
    <row r="157" spans="1:9" x14ac:dyDescent="0.25">
      <c r="A157" s="18" t="s">
        <v>7916</v>
      </c>
      <c r="B157" s="4" t="s">
        <v>1780</v>
      </c>
      <c r="C157" s="4" t="s">
        <v>316</v>
      </c>
      <c r="D157" s="4" t="s">
        <v>3290</v>
      </c>
      <c r="E157" s="9">
        <v>82.00266666666667</v>
      </c>
      <c r="F157" s="9">
        <v>1230.04</v>
      </c>
      <c r="G157" s="1" t="s">
        <v>7917</v>
      </c>
      <c r="H157" s="1">
        <f>SUMIF([1]Sheet1!$G:$G,A157,[1]Sheet1!$O:$O)</f>
        <v>1230.04</v>
      </c>
      <c r="I157" s="21">
        <f t="shared" si="2"/>
        <v>0</v>
      </c>
    </row>
    <row r="158" spans="1:9" x14ac:dyDescent="0.25">
      <c r="A158" s="18" t="s">
        <v>7776</v>
      </c>
      <c r="B158" s="4" t="s">
        <v>1781</v>
      </c>
      <c r="C158" s="4" t="s">
        <v>317</v>
      </c>
      <c r="D158" s="4" t="s">
        <v>3295</v>
      </c>
      <c r="E158" s="9">
        <v>3.4319999999999999</v>
      </c>
      <c r="F158" s="9">
        <v>34.32</v>
      </c>
      <c r="G158" s="1" t="s">
        <v>7777</v>
      </c>
      <c r="H158" s="1">
        <f>SUMIF([1]Sheet1!$G:$G,A158,[1]Sheet1!$O:$O)</f>
        <v>34.32</v>
      </c>
      <c r="I158" s="21">
        <f t="shared" si="2"/>
        <v>0</v>
      </c>
    </row>
    <row r="159" spans="1:9" x14ac:dyDescent="0.25">
      <c r="A159" s="18" t="s">
        <v>8854</v>
      </c>
      <c r="B159" s="4" t="s">
        <v>1782</v>
      </c>
      <c r="C159" s="4" t="s">
        <v>318</v>
      </c>
      <c r="D159" s="4" t="s">
        <v>3290</v>
      </c>
      <c r="E159" s="9">
        <v>4.0970507812500001</v>
      </c>
      <c r="F159" s="9">
        <v>2097.69</v>
      </c>
      <c r="G159" s="1" t="s">
        <v>8855</v>
      </c>
      <c r="H159" s="1">
        <f>SUMIF([1]Sheet1!$G:$G,A159,[1]Sheet1!$O:$O)</f>
        <v>2097.7199999999998</v>
      </c>
      <c r="I159" s="21">
        <f t="shared" si="2"/>
        <v>-2.9999999999745341E-2</v>
      </c>
    </row>
    <row r="160" spans="1:9" x14ac:dyDescent="0.25">
      <c r="A160" s="18" t="s">
        <v>7284</v>
      </c>
      <c r="B160" s="4" t="s">
        <v>1783</v>
      </c>
      <c r="C160" s="4" t="s">
        <v>319</v>
      </c>
      <c r="D160" s="4" t="s">
        <v>3289</v>
      </c>
      <c r="E160" s="9">
        <v>194.91</v>
      </c>
      <c r="F160" s="9">
        <v>389.82</v>
      </c>
      <c r="G160" s="1" t="s">
        <v>7287</v>
      </c>
      <c r="H160" s="1">
        <f>SUMIF([1]Sheet1!$G:$G,A160,[1]Sheet1!$O:$O)</f>
        <v>389.82</v>
      </c>
      <c r="I160" s="21">
        <f t="shared" si="2"/>
        <v>0</v>
      </c>
    </row>
    <row r="161" spans="1:9" x14ac:dyDescent="0.25">
      <c r="A161" s="18" t="s">
        <v>4715</v>
      </c>
      <c r="B161" s="4" t="s">
        <v>1784</v>
      </c>
      <c r="C161" s="4" t="s">
        <v>320</v>
      </c>
      <c r="D161" s="4" t="s">
        <v>3290</v>
      </c>
      <c r="E161" s="9">
        <v>555.92999999999995</v>
      </c>
      <c r="F161" s="9">
        <v>555.92999999999995</v>
      </c>
      <c r="G161" s="1" t="s">
        <v>4716</v>
      </c>
      <c r="H161" s="1">
        <f>SUMIF([1]Sheet1!$G:$G,A161,[1]Sheet1!$O:$O)</f>
        <v>555.92999999999995</v>
      </c>
      <c r="I161" s="21">
        <f t="shared" si="2"/>
        <v>0</v>
      </c>
    </row>
    <row r="162" spans="1:9" x14ac:dyDescent="0.25">
      <c r="A162" s="18" t="s">
        <v>11076</v>
      </c>
      <c r="B162" s="4" t="s">
        <v>1785</v>
      </c>
      <c r="C162" s="4" t="s">
        <v>321</v>
      </c>
      <c r="D162" s="4" t="s">
        <v>3290</v>
      </c>
      <c r="E162" s="9">
        <v>6.3161538461538465</v>
      </c>
      <c r="F162" s="9">
        <v>82.11</v>
      </c>
      <c r="G162" s="1" t="s">
        <v>11077</v>
      </c>
      <c r="H162" s="1">
        <f>SUMIF([1]Sheet1!$G:$G,A162,[1]Sheet1!$O:$O)</f>
        <v>82.11</v>
      </c>
      <c r="I162" s="21">
        <f t="shared" si="2"/>
        <v>0</v>
      </c>
    </row>
    <row r="163" spans="1:9" x14ac:dyDescent="0.25">
      <c r="A163" s="18" t="s">
        <v>3889</v>
      </c>
      <c r="B163" s="4" t="s">
        <v>1786</v>
      </c>
      <c r="C163" s="4" t="s">
        <v>322</v>
      </c>
      <c r="D163" s="4" t="s">
        <v>3290</v>
      </c>
      <c r="E163" s="9">
        <v>26.082000000000001</v>
      </c>
      <c r="F163" s="9">
        <v>260.82</v>
      </c>
      <c r="G163" s="1" t="s">
        <v>3890</v>
      </c>
      <c r="H163" s="1">
        <f>SUMIF([1]Sheet1!$G:$G,A163,[1]Sheet1!$O:$O)</f>
        <v>234.74</v>
      </c>
      <c r="I163" s="21">
        <f t="shared" si="2"/>
        <v>26.079999999999984</v>
      </c>
    </row>
    <row r="164" spans="1:9" x14ac:dyDescent="0.25">
      <c r="A164" s="18" t="s">
        <v>3895</v>
      </c>
      <c r="B164" s="4" t="s">
        <v>1787</v>
      </c>
      <c r="C164" s="4" t="s">
        <v>323</v>
      </c>
      <c r="D164" s="4" t="s">
        <v>3290</v>
      </c>
      <c r="E164" s="9">
        <v>93.337291666666658</v>
      </c>
      <c r="F164" s="9">
        <v>4480.1899999999996</v>
      </c>
      <c r="G164" s="1" t="s">
        <v>3896</v>
      </c>
      <c r="H164" s="1">
        <f>SUMIF([1]Sheet1!$G:$G,A164,[1]Sheet1!$O:$O)</f>
        <v>4480.1899999999996</v>
      </c>
      <c r="I164" s="21">
        <f t="shared" si="2"/>
        <v>0</v>
      </c>
    </row>
    <row r="165" spans="1:9" x14ac:dyDescent="0.25">
      <c r="A165" s="18" t="s">
        <v>10354</v>
      </c>
      <c r="B165" s="4" t="s">
        <v>1788</v>
      </c>
      <c r="C165" s="4" t="s">
        <v>324</v>
      </c>
      <c r="D165" s="4" t="s">
        <v>3290</v>
      </c>
      <c r="E165" s="9">
        <v>119.495</v>
      </c>
      <c r="F165" s="9">
        <v>238.99</v>
      </c>
      <c r="G165" s="1" t="s">
        <v>10355</v>
      </c>
      <c r="H165" s="1">
        <f>SUMIF([1]Sheet1!$G:$G,A165,[1]Sheet1!$O:$O)</f>
        <v>238.99</v>
      </c>
      <c r="I165" s="21">
        <f t="shared" si="2"/>
        <v>0</v>
      </c>
    </row>
    <row r="166" spans="1:9" x14ac:dyDescent="0.25">
      <c r="A166" s="18" t="s">
        <v>4877</v>
      </c>
      <c r="B166" s="4" t="s">
        <v>1789</v>
      </c>
      <c r="C166" s="4" t="s">
        <v>325</v>
      </c>
      <c r="D166" s="4" t="s">
        <v>3291</v>
      </c>
      <c r="E166" s="9">
        <v>16.948976109215018</v>
      </c>
      <c r="F166" s="9">
        <v>993.21</v>
      </c>
      <c r="G166" s="1" t="s">
        <v>4880</v>
      </c>
      <c r="H166" s="1">
        <f>SUMIF([1]Sheet1!$G:$G,A166,[1]Sheet1!$O:$O)</f>
        <v>993.21</v>
      </c>
      <c r="I166" s="21">
        <f t="shared" si="2"/>
        <v>0</v>
      </c>
    </row>
    <row r="167" spans="1:9" x14ac:dyDescent="0.25">
      <c r="A167" s="18" t="s">
        <v>3682</v>
      </c>
      <c r="B167" s="4" t="s">
        <v>1790</v>
      </c>
      <c r="C167" s="4" t="s">
        <v>326</v>
      </c>
      <c r="D167" s="4" t="s">
        <v>3290</v>
      </c>
      <c r="E167" s="9">
        <v>1079.6600000000001</v>
      </c>
      <c r="F167" s="9">
        <v>2159.3200000000002</v>
      </c>
      <c r="G167" s="1" t="s">
        <v>3683</v>
      </c>
      <c r="H167" s="1">
        <f>SUMIF([1]Sheet1!$G:$G,A167,[1]Sheet1!$O:$O)</f>
        <v>2159.3200000000002</v>
      </c>
      <c r="I167" s="21">
        <f t="shared" si="2"/>
        <v>0</v>
      </c>
    </row>
    <row r="168" spans="1:9" x14ac:dyDescent="0.25">
      <c r="A168" s="18" t="s">
        <v>3797</v>
      </c>
      <c r="B168" s="4" t="s">
        <v>1791</v>
      </c>
      <c r="C168" s="4" t="s">
        <v>327</v>
      </c>
      <c r="D168" s="4" t="s">
        <v>3290</v>
      </c>
      <c r="E168" s="9">
        <v>50.84</v>
      </c>
      <c r="F168" s="9">
        <v>50.84</v>
      </c>
      <c r="G168" s="1" t="s">
        <v>3798</v>
      </c>
      <c r="H168" s="1">
        <f>SUMIF([1]Sheet1!$G:$G,A168,[1]Sheet1!$O:$O)</f>
        <v>50.84</v>
      </c>
      <c r="I168" s="21">
        <f t="shared" si="2"/>
        <v>0</v>
      </c>
    </row>
    <row r="169" spans="1:9" x14ac:dyDescent="0.25">
      <c r="A169" s="18" t="s">
        <v>11352</v>
      </c>
      <c r="B169" s="4" t="s">
        <v>1792</v>
      </c>
      <c r="C169" s="4" t="s">
        <v>328</v>
      </c>
      <c r="D169" s="4" t="s">
        <v>3290</v>
      </c>
      <c r="E169" s="9">
        <v>32.709523809523809</v>
      </c>
      <c r="F169" s="9">
        <v>686.9</v>
      </c>
      <c r="G169" s="1" t="s">
        <v>11353</v>
      </c>
      <c r="H169" s="1">
        <f>SUMIF([1]Sheet1!$G:$G,A169,[1]Sheet1!$O:$O)</f>
        <v>686.9</v>
      </c>
      <c r="I169" s="21">
        <f t="shared" si="2"/>
        <v>0</v>
      </c>
    </row>
    <row r="170" spans="1:9" x14ac:dyDescent="0.25">
      <c r="A170" s="18" t="s">
        <v>8391</v>
      </c>
      <c r="B170" s="4" t="s">
        <v>1793</v>
      </c>
      <c r="C170" s="4" t="s">
        <v>329</v>
      </c>
      <c r="D170" s="4" t="s">
        <v>3290</v>
      </c>
      <c r="E170" s="9">
        <v>88.984999999999999</v>
      </c>
      <c r="F170" s="9">
        <v>177.97</v>
      </c>
      <c r="G170" s="1" t="s">
        <v>8392</v>
      </c>
      <c r="H170" s="1">
        <f>SUMIF([1]Sheet1!$G:$G,A170,[1]Sheet1!$O:$O)</f>
        <v>177.97</v>
      </c>
      <c r="I170" s="21">
        <f t="shared" si="2"/>
        <v>0</v>
      </c>
    </row>
    <row r="171" spans="1:9" x14ac:dyDescent="0.25">
      <c r="A171" s="18" t="s">
        <v>8829</v>
      </c>
      <c r="B171" s="4" t="s">
        <v>1794</v>
      </c>
      <c r="C171" s="4" t="s">
        <v>330</v>
      </c>
      <c r="D171" s="4" t="s">
        <v>3290</v>
      </c>
      <c r="E171" s="9">
        <v>12.71</v>
      </c>
      <c r="F171" s="9">
        <v>12.71</v>
      </c>
      <c r="G171" s="1" t="s">
        <v>8830</v>
      </c>
      <c r="H171" s="1">
        <f>SUMIF([1]Sheet1!$G:$G,A171,[1]Sheet1!$O:$O)</f>
        <v>12.71</v>
      </c>
      <c r="I171" s="21">
        <f t="shared" si="2"/>
        <v>0</v>
      </c>
    </row>
    <row r="172" spans="1:9" x14ac:dyDescent="0.25">
      <c r="A172" s="18" t="s">
        <v>8827</v>
      </c>
      <c r="B172" s="4" t="s">
        <v>1795</v>
      </c>
      <c r="C172" s="4" t="s">
        <v>331</v>
      </c>
      <c r="D172" s="4" t="s">
        <v>3290</v>
      </c>
      <c r="E172" s="9">
        <v>460.90470588235297</v>
      </c>
      <c r="F172" s="9">
        <v>15670.76</v>
      </c>
      <c r="G172" s="1" t="s">
        <v>8828</v>
      </c>
      <c r="H172" s="1">
        <f>SUMIF([1]Sheet1!$G:$G,A172,[1]Sheet1!$O:$O)</f>
        <v>15670.76</v>
      </c>
      <c r="I172" s="21">
        <f t="shared" si="2"/>
        <v>0</v>
      </c>
    </row>
    <row r="173" spans="1:9" x14ac:dyDescent="0.25">
      <c r="A173" s="18" t="s">
        <v>8831</v>
      </c>
      <c r="B173" s="4" t="s">
        <v>1796</v>
      </c>
      <c r="C173" s="4" t="s">
        <v>332</v>
      </c>
      <c r="D173" s="4" t="s">
        <v>3290</v>
      </c>
      <c r="E173" s="9">
        <v>454.87645161290322</v>
      </c>
      <c r="F173" s="9">
        <v>14101.17</v>
      </c>
      <c r="G173" s="1" t="s">
        <v>8832</v>
      </c>
      <c r="H173" s="1">
        <f>SUMIF([1]Sheet1!$G:$G,A173,[1]Sheet1!$O:$O)</f>
        <v>14101.17</v>
      </c>
      <c r="I173" s="21">
        <f t="shared" si="2"/>
        <v>0</v>
      </c>
    </row>
    <row r="174" spans="1:9" x14ac:dyDescent="0.25">
      <c r="A174" s="18" t="s">
        <v>8833</v>
      </c>
      <c r="B174" s="4" t="s">
        <v>1797</v>
      </c>
      <c r="C174" s="4" t="s">
        <v>333</v>
      </c>
      <c r="D174" s="4" t="s">
        <v>3290</v>
      </c>
      <c r="E174" s="9">
        <v>592.67555555555555</v>
      </c>
      <c r="F174" s="9">
        <v>10668.16</v>
      </c>
      <c r="G174" s="1" t="s">
        <v>8834</v>
      </c>
      <c r="H174" s="1">
        <f>SUMIF([1]Sheet1!$G:$G,A174,[1]Sheet1!$O:$O)</f>
        <v>10668.16</v>
      </c>
      <c r="I174" s="21">
        <f t="shared" si="2"/>
        <v>0</v>
      </c>
    </row>
    <row r="175" spans="1:9" x14ac:dyDescent="0.25">
      <c r="A175" s="18" t="s">
        <v>8823</v>
      </c>
      <c r="B175" s="4" t="s">
        <v>1798</v>
      </c>
      <c r="C175" s="4" t="s">
        <v>334</v>
      </c>
      <c r="D175" s="4" t="s">
        <v>3290</v>
      </c>
      <c r="E175" s="9">
        <v>799.54809523809513</v>
      </c>
      <c r="F175" s="9">
        <v>16790.509999999998</v>
      </c>
      <c r="G175" s="1" t="s">
        <v>8824</v>
      </c>
      <c r="H175" s="1">
        <f>SUMIF([1]Sheet1!$G:$G,A175,[1]Sheet1!$O:$O)</f>
        <v>16790.509999999998</v>
      </c>
      <c r="I175" s="21">
        <f t="shared" si="2"/>
        <v>0</v>
      </c>
    </row>
    <row r="176" spans="1:9" x14ac:dyDescent="0.25">
      <c r="A176" s="18" t="s">
        <v>6880</v>
      </c>
      <c r="B176" s="4" t="s">
        <v>1799</v>
      </c>
      <c r="C176" s="4" t="s">
        <v>335</v>
      </c>
      <c r="D176" s="4" t="s">
        <v>3290</v>
      </c>
      <c r="E176" s="9">
        <v>3.9448780487804882</v>
      </c>
      <c r="F176" s="9">
        <v>161.74</v>
      </c>
      <c r="G176" s="1" t="s">
        <v>6881</v>
      </c>
      <c r="H176" s="1">
        <f>SUMIF([1]Sheet1!$G:$G,A176,[1]Sheet1!$O:$O)</f>
        <v>161.74</v>
      </c>
      <c r="I176" s="21">
        <f t="shared" si="2"/>
        <v>0</v>
      </c>
    </row>
    <row r="177" spans="1:9" x14ac:dyDescent="0.25">
      <c r="A177" s="18" t="s">
        <v>11267</v>
      </c>
      <c r="B177" s="4" t="s">
        <v>1800</v>
      </c>
      <c r="C177" s="4" t="s">
        <v>336</v>
      </c>
      <c r="D177" s="4" t="s">
        <v>3290</v>
      </c>
      <c r="E177" s="9">
        <v>21.580909090909088</v>
      </c>
      <c r="F177" s="9">
        <v>237.39</v>
      </c>
      <c r="G177" s="1" t="s">
        <v>11268</v>
      </c>
      <c r="H177" s="1">
        <f>SUMIF([1]Sheet1!$G:$G,A177,[1]Sheet1!$O:$O)</f>
        <v>237.39</v>
      </c>
      <c r="I177" s="21">
        <f t="shared" si="2"/>
        <v>0</v>
      </c>
    </row>
    <row r="178" spans="1:9" x14ac:dyDescent="0.25">
      <c r="A178" s="18" t="s">
        <v>8726</v>
      </c>
      <c r="B178" s="4" t="s">
        <v>1801</v>
      </c>
      <c r="C178" s="4" t="s">
        <v>337</v>
      </c>
      <c r="D178" s="4" t="s">
        <v>3290</v>
      </c>
      <c r="E178" s="9">
        <v>28.924905660377359</v>
      </c>
      <c r="F178" s="9">
        <v>1533.02</v>
      </c>
      <c r="G178" s="1" t="s">
        <v>8727</v>
      </c>
      <c r="H178" s="1">
        <f>SUMIF([1]Sheet1!$G:$G,A178,[1]Sheet1!$O:$O)</f>
        <v>1533.02</v>
      </c>
      <c r="I178" s="21">
        <f t="shared" si="2"/>
        <v>0</v>
      </c>
    </row>
    <row r="179" spans="1:9" x14ac:dyDescent="0.25">
      <c r="A179" s="18" t="s">
        <v>11063</v>
      </c>
      <c r="B179" s="4" t="s">
        <v>1802</v>
      </c>
      <c r="C179" s="4" t="s">
        <v>338</v>
      </c>
      <c r="D179" s="4" t="s">
        <v>3290</v>
      </c>
      <c r="E179" s="9">
        <v>56.633333333333333</v>
      </c>
      <c r="F179" s="9">
        <v>849.5</v>
      </c>
      <c r="G179" s="1" t="s">
        <v>11064</v>
      </c>
      <c r="H179" s="1">
        <f>SUMIF([1]Sheet1!$G:$G,A179,[1]Sheet1!$O:$O)</f>
        <v>849.5</v>
      </c>
      <c r="I179" s="21">
        <f t="shared" si="2"/>
        <v>0</v>
      </c>
    </row>
    <row r="180" spans="1:9" x14ac:dyDescent="0.25">
      <c r="A180" s="18" t="s">
        <v>10507</v>
      </c>
      <c r="B180" s="4" t="s">
        <v>1803</v>
      </c>
      <c r="C180" s="4" t="s">
        <v>339</v>
      </c>
      <c r="D180" s="4" t="s">
        <v>3290</v>
      </c>
      <c r="E180" s="9">
        <v>85.533333333333346</v>
      </c>
      <c r="F180" s="9">
        <v>513.20000000000005</v>
      </c>
      <c r="G180" s="1" t="s">
        <v>10508</v>
      </c>
      <c r="H180" s="1">
        <f>SUMIF([1]Sheet1!$G:$G,A180,[1]Sheet1!$O:$O)</f>
        <v>513.20000000000005</v>
      </c>
      <c r="I180" s="21">
        <f t="shared" si="2"/>
        <v>0</v>
      </c>
    </row>
    <row r="181" spans="1:9" x14ac:dyDescent="0.25">
      <c r="A181" s="18" t="s">
        <v>9981</v>
      </c>
      <c r="B181" s="4" t="s">
        <v>1804</v>
      </c>
      <c r="C181" s="4" t="s">
        <v>340</v>
      </c>
      <c r="D181" s="4" t="s">
        <v>3290</v>
      </c>
      <c r="E181" s="9">
        <v>127.11800000000001</v>
      </c>
      <c r="F181" s="9">
        <v>635.59</v>
      </c>
      <c r="G181" s="1" t="s">
        <v>9982</v>
      </c>
      <c r="H181" s="1">
        <f>SUMIF([1]Sheet1!$G:$G,A181,[1]Sheet1!$O:$O)</f>
        <v>635.59</v>
      </c>
      <c r="I181" s="21">
        <f t="shared" si="2"/>
        <v>0</v>
      </c>
    </row>
    <row r="182" spans="1:9" x14ac:dyDescent="0.25">
      <c r="A182" s="18" t="s">
        <v>7469</v>
      </c>
      <c r="B182" s="4" t="s">
        <v>1805</v>
      </c>
      <c r="C182" s="4" t="s">
        <v>341</v>
      </c>
      <c r="D182" s="4" t="s">
        <v>3289</v>
      </c>
      <c r="E182" s="9">
        <v>14.589130434782609</v>
      </c>
      <c r="F182" s="9">
        <v>67.11</v>
      </c>
      <c r="G182" s="1" t="s">
        <v>7472</v>
      </c>
      <c r="H182" s="1">
        <f>SUMIF([1]Sheet1!$G:$G,A182,[1]Sheet1!$O:$O)</f>
        <v>67.11</v>
      </c>
      <c r="I182" s="21">
        <f t="shared" si="2"/>
        <v>0</v>
      </c>
    </row>
    <row r="183" spans="1:9" x14ac:dyDescent="0.25">
      <c r="A183" s="18" t="s">
        <v>12034</v>
      </c>
      <c r="B183" s="4" t="s">
        <v>1806</v>
      </c>
      <c r="C183" s="4" t="s">
        <v>342</v>
      </c>
      <c r="D183" s="4" t="s">
        <v>3291</v>
      </c>
      <c r="E183" s="9">
        <v>11.188493150684931</v>
      </c>
      <c r="F183" s="9">
        <v>816.75999999999988</v>
      </c>
      <c r="G183" s="1" t="s">
        <v>12035</v>
      </c>
      <c r="H183" s="1">
        <f>SUMIF([1]Sheet1!$G:$G,A183,[1]Sheet1!$O:$O)</f>
        <v>805.57</v>
      </c>
      <c r="I183" s="21">
        <f t="shared" si="2"/>
        <v>11.189999999999827</v>
      </c>
    </row>
    <row r="184" spans="1:9" x14ac:dyDescent="0.25">
      <c r="A184" s="18" t="s">
        <v>4174</v>
      </c>
      <c r="B184" s="4" t="s">
        <v>1807</v>
      </c>
      <c r="C184" s="4" t="s">
        <v>343</v>
      </c>
      <c r="D184" s="4" t="s">
        <v>3292</v>
      </c>
      <c r="E184" s="9">
        <v>25.423333333333332</v>
      </c>
      <c r="F184" s="9">
        <v>152.54</v>
      </c>
      <c r="G184" s="1" t="s">
        <v>4177</v>
      </c>
      <c r="H184" s="1">
        <f>SUMIF([1]Sheet1!$G:$G,A184,[1]Sheet1!$O:$O)</f>
        <v>152.54</v>
      </c>
      <c r="I184" s="21">
        <f t="shared" si="2"/>
        <v>0</v>
      </c>
    </row>
    <row r="185" spans="1:9" x14ac:dyDescent="0.25">
      <c r="A185" s="18" t="s">
        <v>6207</v>
      </c>
      <c r="B185" s="4" t="s">
        <v>1808</v>
      </c>
      <c r="C185" s="4" t="s">
        <v>344</v>
      </c>
      <c r="D185" s="4" t="s">
        <v>3291</v>
      </c>
      <c r="E185" s="9">
        <v>21.1875</v>
      </c>
      <c r="F185" s="9">
        <v>84.75</v>
      </c>
      <c r="G185" s="1" t="s">
        <v>6208</v>
      </c>
      <c r="H185" s="1">
        <f>SUMIF([1]Sheet1!$G:$G,A185,[1]Sheet1!$O:$O)</f>
        <v>84.75</v>
      </c>
      <c r="I185" s="21">
        <f t="shared" si="2"/>
        <v>0</v>
      </c>
    </row>
    <row r="186" spans="1:9" x14ac:dyDescent="0.25">
      <c r="A186" s="18" t="s">
        <v>6491</v>
      </c>
      <c r="B186" s="4" t="s">
        <v>1809</v>
      </c>
      <c r="C186" s="4" t="s">
        <v>345</v>
      </c>
      <c r="D186" s="4" t="s">
        <v>3289</v>
      </c>
      <c r="E186" s="9">
        <v>4.2304878048780488</v>
      </c>
      <c r="F186" s="9">
        <v>34.69</v>
      </c>
      <c r="G186" s="1" t="s">
        <v>6492</v>
      </c>
      <c r="H186" s="1">
        <f>SUMIF([1]Sheet1!$G:$G,A186,[1]Sheet1!$O:$O)</f>
        <v>34.69</v>
      </c>
      <c r="I186" s="21">
        <f t="shared" si="2"/>
        <v>0</v>
      </c>
    </row>
    <row r="187" spans="1:9" x14ac:dyDescent="0.25">
      <c r="A187" s="18" t="s">
        <v>11711</v>
      </c>
      <c r="B187" s="4" t="s">
        <v>1810</v>
      </c>
      <c r="C187" s="4" t="s">
        <v>346</v>
      </c>
      <c r="D187" s="4" t="s">
        <v>3290</v>
      </c>
      <c r="E187" s="9">
        <v>1.27</v>
      </c>
      <c r="F187" s="9">
        <v>3.81</v>
      </c>
      <c r="G187" s="1" t="s">
        <v>11712</v>
      </c>
      <c r="H187" s="1">
        <f>SUMIF([1]Sheet1!$G:$G,A187,[1]Sheet1!$O:$O)</f>
        <v>3.81</v>
      </c>
      <c r="I187" s="21">
        <f t="shared" si="2"/>
        <v>0</v>
      </c>
    </row>
    <row r="188" spans="1:9" x14ac:dyDescent="0.25">
      <c r="A188" s="18" t="s">
        <v>8411</v>
      </c>
      <c r="B188" s="4" t="s">
        <v>1811</v>
      </c>
      <c r="C188" s="4" t="s">
        <v>347</v>
      </c>
      <c r="D188" s="4" t="s">
        <v>3290</v>
      </c>
      <c r="E188" s="9">
        <v>330</v>
      </c>
      <c r="F188" s="9">
        <v>1320</v>
      </c>
      <c r="G188" s="1" t="s">
        <v>8412</v>
      </c>
      <c r="H188" s="1">
        <f>SUMIF([1]Sheet1!$G:$G,A188,[1]Sheet1!$O:$O)</f>
        <v>1320</v>
      </c>
      <c r="I188" s="21">
        <f t="shared" si="2"/>
        <v>0</v>
      </c>
    </row>
    <row r="189" spans="1:9" x14ac:dyDescent="0.25">
      <c r="A189" s="18" t="s">
        <v>10867</v>
      </c>
      <c r="B189" s="4" t="s">
        <v>1812</v>
      </c>
      <c r="C189" s="4" t="s">
        <v>348</v>
      </c>
      <c r="D189" s="4" t="s">
        <v>3290</v>
      </c>
      <c r="E189" s="9">
        <v>3.1779999999999999</v>
      </c>
      <c r="F189" s="9">
        <v>31.78</v>
      </c>
      <c r="G189" s="1" t="s">
        <v>10868</v>
      </c>
      <c r="H189" s="1">
        <f>SUMIF([1]Sheet1!$G:$G,A189,[1]Sheet1!$O:$O)</f>
        <v>31.78</v>
      </c>
      <c r="I189" s="21">
        <f t="shared" si="2"/>
        <v>0</v>
      </c>
    </row>
    <row r="190" spans="1:9" x14ac:dyDescent="0.25">
      <c r="A190" s="18" t="s">
        <v>10865</v>
      </c>
      <c r="B190" s="4" t="s">
        <v>1813</v>
      </c>
      <c r="C190" s="4" t="s">
        <v>349</v>
      </c>
      <c r="D190" s="4" t="s">
        <v>3290</v>
      </c>
      <c r="E190" s="9">
        <v>6.5227272727272725</v>
      </c>
      <c r="F190" s="9">
        <v>71.75</v>
      </c>
      <c r="G190" s="1" t="s">
        <v>10866</v>
      </c>
      <c r="H190" s="1">
        <f>SUMIF([1]Sheet1!$G:$G,A190,[1]Sheet1!$O:$O)</f>
        <v>71.75</v>
      </c>
      <c r="I190" s="21">
        <f t="shared" si="2"/>
        <v>0</v>
      </c>
    </row>
    <row r="191" spans="1:9" x14ac:dyDescent="0.25">
      <c r="A191" s="18" t="s">
        <v>3456</v>
      </c>
      <c r="B191" s="4" t="s">
        <v>1814</v>
      </c>
      <c r="C191" s="4" t="s">
        <v>350</v>
      </c>
      <c r="D191" s="4" t="s">
        <v>3290</v>
      </c>
      <c r="E191" s="9">
        <v>112.71250000000001</v>
      </c>
      <c r="F191" s="9">
        <v>450.85</v>
      </c>
      <c r="G191" s="1" t="s">
        <v>3457</v>
      </c>
      <c r="H191" s="1">
        <f>SUMIF([1]Sheet1!$G:$G,A191,[1]Sheet1!$O:$O)</f>
        <v>450.85</v>
      </c>
      <c r="I191" s="21">
        <f t="shared" si="2"/>
        <v>0</v>
      </c>
    </row>
    <row r="192" spans="1:9" x14ac:dyDescent="0.25">
      <c r="A192" s="18" t="s">
        <v>9127</v>
      </c>
      <c r="B192" s="4" t="s">
        <v>1815</v>
      </c>
      <c r="C192" s="4" t="s">
        <v>351</v>
      </c>
      <c r="D192" s="4" t="s">
        <v>3295</v>
      </c>
      <c r="E192" s="9">
        <v>30.925000000000001</v>
      </c>
      <c r="F192" s="9">
        <v>61.85</v>
      </c>
      <c r="G192" s="1" t="s">
        <v>9128</v>
      </c>
      <c r="H192" s="1">
        <f>SUMIF([1]Sheet1!$G:$G,A192,[1]Sheet1!$O:$O)</f>
        <v>61.85</v>
      </c>
      <c r="I192" s="21">
        <f t="shared" si="2"/>
        <v>0</v>
      </c>
    </row>
    <row r="193" spans="1:9" x14ac:dyDescent="0.25">
      <c r="A193" s="18" t="s">
        <v>10386</v>
      </c>
      <c r="B193" s="4" t="s">
        <v>1816</v>
      </c>
      <c r="C193" s="4" t="s">
        <v>352</v>
      </c>
      <c r="D193" s="4" t="s">
        <v>3289</v>
      </c>
      <c r="E193" s="9">
        <v>0.67800000000000005</v>
      </c>
      <c r="F193" s="9">
        <v>47.46</v>
      </c>
      <c r="G193" s="1" t="s">
        <v>10389</v>
      </c>
      <c r="H193" s="1">
        <f>SUMIF([1]Sheet1!$G:$G,A193,[1]Sheet1!$O:$O)</f>
        <v>47.46</v>
      </c>
      <c r="I193" s="21">
        <f t="shared" si="2"/>
        <v>0</v>
      </c>
    </row>
    <row r="194" spans="1:9" x14ac:dyDescent="0.25">
      <c r="A194" s="18" t="s">
        <v>5729</v>
      </c>
      <c r="B194" s="4" t="s">
        <v>1817</v>
      </c>
      <c r="C194" s="4" t="s">
        <v>353</v>
      </c>
      <c r="D194" s="4" t="s">
        <v>3289</v>
      </c>
      <c r="E194" s="9">
        <v>1.7827333333333335</v>
      </c>
      <c r="F194" s="9">
        <v>267.41000000000003</v>
      </c>
      <c r="G194" s="1" t="s">
        <v>5730</v>
      </c>
      <c r="H194" s="1">
        <f>SUMIF([1]Sheet1!$G:$G,A194,[1]Sheet1!$O:$O)</f>
        <v>267.41000000000003</v>
      </c>
      <c r="I194" s="21">
        <f t="shared" si="2"/>
        <v>0</v>
      </c>
    </row>
    <row r="195" spans="1:9" x14ac:dyDescent="0.25">
      <c r="A195" s="18" t="s">
        <v>6602</v>
      </c>
      <c r="B195" s="4" t="s">
        <v>1818</v>
      </c>
      <c r="C195" s="4" t="s">
        <v>354</v>
      </c>
      <c r="D195" s="4" t="s">
        <v>3289</v>
      </c>
      <c r="E195" s="9">
        <v>2.1437499999999998</v>
      </c>
      <c r="F195" s="9">
        <v>3.4299999999999997</v>
      </c>
      <c r="G195" s="1" t="s">
        <v>6603</v>
      </c>
      <c r="H195" s="1">
        <f>SUMIF([1]Sheet1!$G:$G,A195,[1]Sheet1!$O:$O)</f>
        <v>3.43</v>
      </c>
      <c r="I195" s="21">
        <f t="shared" ref="I195:I258" si="3">F195-H195</f>
        <v>0</v>
      </c>
    </row>
    <row r="196" spans="1:9" x14ac:dyDescent="0.25">
      <c r="A196" s="18" t="s">
        <v>3891</v>
      </c>
      <c r="B196" s="4" t="s">
        <v>1819</v>
      </c>
      <c r="C196" s="4" t="s">
        <v>355</v>
      </c>
      <c r="D196" s="4" t="s">
        <v>3290</v>
      </c>
      <c r="E196" s="9">
        <v>29.662500000000001</v>
      </c>
      <c r="F196" s="9">
        <v>237.3</v>
      </c>
      <c r="G196" s="1" t="s">
        <v>3892</v>
      </c>
      <c r="H196" s="1">
        <f>SUMIF([1]Sheet1!$G:$G,A196,[1]Sheet1!$O:$O)</f>
        <v>237.3</v>
      </c>
      <c r="I196" s="21">
        <f t="shared" si="3"/>
        <v>0</v>
      </c>
    </row>
    <row r="197" spans="1:9" x14ac:dyDescent="0.25">
      <c r="A197" s="18" t="s">
        <v>11215</v>
      </c>
      <c r="B197" s="4" t="s">
        <v>1820</v>
      </c>
      <c r="C197" s="4" t="s">
        <v>356</v>
      </c>
      <c r="D197" s="4" t="s">
        <v>3291</v>
      </c>
      <c r="E197" s="9">
        <v>18.854098672559896</v>
      </c>
      <c r="F197" s="9">
        <v>6441.22</v>
      </c>
      <c r="G197" s="1" t="s">
        <v>11216</v>
      </c>
      <c r="H197" s="1">
        <f>SUMIF([1]Sheet1!$G:$G,A197,[1]Sheet1!$O:$O)</f>
        <v>5749.27</v>
      </c>
      <c r="I197" s="21">
        <f t="shared" si="3"/>
        <v>691.94999999999982</v>
      </c>
    </row>
    <row r="198" spans="1:9" x14ac:dyDescent="0.25">
      <c r="A198" s="18" t="s">
        <v>3434</v>
      </c>
      <c r="B198" s="4" t="s">
        <v>1821</v>
      </c>
      <c r="C198" s="4" t="s">
        <v>357</v>
      </c>
      <c r="D198" s="4" t="s">
        <v>3290</v>
      </c>
      <c r="E198" s="9">
        <v>191.29428571428571</v>
      </c>
      <c r="F198" s="9">
        <v>1339.06</v>
      </c>
      <c r="G198" s="1" t="s">
        <v>3437</v>
      </c>
      <c r="H198" s="1">
        <f>SUMIF([1]Sheet1!$G:$G,A198,[1]Sheet1!$O:$O)</f>
        <v>0</v>
      </c>
      <c r="I198" s="21">
        <f t="shared" si="3"/>
        <v>1339.06</v>
      </c>
    </row>
    <row r="199" spans="1:9" x14ac:dyDescent="0.25">
      <c r="A199" s="18" t="s">
        <v>5108</v>
      </c>
      <c r="B199" s="4" t="s">
        <v>1822</v>
      </c>
      <c r="C199" s="4" t="s">
        <v>358</v>
      </c>
      <c r="D199" s="4" t="s">
        <v>3290</v>
      </c>
      <c r="E199" s="9">
        <v>4605.0120833333331</v>
      </c>
      <c r="F199" s="9">
        <v>110520.29</v>
      </c>
      <c r="G199" s="1" t="s">
        <v>5109</v>
      </c>
      <c r="H199" s="1">
        <f>SUMIF([1]Sheet1!$G:$G,A199,[1]Sheet1!$O:$O)</f>
        <v>110520.29</v>
      </c>
      <c r="I199" s="21">
        <f t="shared" si="3"/>
        <v>0</v>
      </c>
    </row>
    <row r="200" spans="1:9" x14ac:dyDescent="0.25">
      <c r="A200" s="18" t="s">
        <v>10794</v>
      </c>
      <c r="B200" s="4" t="s">
        <v>1823</v>
      </c>
      <c r="C200" s="4" t="s">
        <v>359</v>
      </c>
      <c r="D200" s="4" t="s">
        <v>3293</v>
      </c>
      <c r="E200" s="9">
        <v>9.6291250000000002</v>
      </c>
      <c r="F200" s="9">
        <v>770.33</v>
      </c>
      <c r="G200" s="1" t="s">
        <v>10795</v>
      </c>
      <c r="H200" s="1">
        <f>SUMIF([1]Sheet1!$G:$G,A200,[1]Sheet1!$O:$O)</f>
        <v>770.33</v>
      </c>
      <c r="I200" s="21">
        <f t="shared" si="3"/>
        <v>0</v>
      </c>
    </row>
    <row r="201" spans="1:9" x14ac:dyDescent="0.25">
      <c r="A201" s="18" t="s">
        <v>5881</v>
      </c>
      <c r="B201" s="4" t="s">
        <v>1824</v>
      </c>
      <c r="C201" s="4" t="s">
        <v>179</v>
      </c>
      <c r="D201" s="4" t="s">
        <v>3291</v>
      </c>
      <c r="E201" s="9">
        <v>23.339767997874791</v>
      </c>
      <c r="F201" s="9">
        <v>26357.599999999999</v>
      </c>
      <c r="G201" s="1" t="s">
        <v>5882</v>
      </c>
      <c r="H201" s="1">
        <f>SUMIF([1]Sheet1!$G:$G,A201,[1]Sheet1!$O:$O)</f>
        <v>26357.64</v>
      </c>
      <c r="I201" s="21">
        <f t="shared" si="3"/>
        <v>-4.0000000000873115E-2</v>
      </c>
    </row>
    <row r="202" spans="1:9" x14ac:dyDescent="0.25">
      <c r="A202" s="18" t="s">
        <v>11729</v>
      </c>
      <c r="B202" s="4" t="s">
        <v>1825</v>
      </c>
      <c r="C202" s="4" t="s">
        <v>360</v>
      </c>
      <c r="D202" s="4" t="s">
        <v>3290</v>
      </c>
      <c r="E202" s="9">
        <v>67.790000000000006</v>
      </c>
      <c r="F202" s="9">
        <v>67.790000000000006</v>
      </c>
      <c r="G202" s="1" t="s">
        <v>11730</v>
      </c>
      <c r="H202" s="1">
        <f>SUMIF([1]Sheet1!$G:$G,A202,[1]Sheet1!$O:$O)</f>
        <v>67.790000000000006</v>
      </c>
      <c r="I202" s="21">
        <f t="shared" si="3"/>
        <v>0</v>
      </c>
    </row>
    <row r="203" spans="1:9" x14ac:dyDescent="0.25">
      <c r="A203" s="18" t="s">
        <v>9062</v>
      </c>
      <c r="B203" s="4" t="s">
        <v>1826</v>
      </c>
      <c r="C203" s="4" t="s">
        <v>361</v>
      </c>
      <c r="D203" s="4" t="s">
        <v>3290</v>
      </c>
      <c r="E203" s="9">
        <v>20.212307692307693</v>
      </c>
      <c r="F203" s="9">
        <v>262.76</v>
      </c>
      <c r="G203" s="1" t="s">
        <v>9063</v>
      </c>
      <c r="H203" s="1">
        <f>SUMIF([1]Sheet1!$G:$G,A203,[1]Sheet1!$O:$O)</f>
        <v>262.76</v>
      </c>
      <c r="I203" s="21">
        <f t="shared" si="3"/>
        <v>0</v>
      </c>
    </row>
    <row r="204" spans="1:9" x14ac:dyDescent="0.25">
      <c r="A204" s="18" t="s">
        <v>8669</v>
      </c>
      <c r="B204" s="4" t="s">
        <v>1827</v>
      </c>
      <c r="C204" s="4" t="s">
        <v>362</v>
      </c>
      <c r="D204" s="4" t="s">
        <v>3290</v>
      </c>
      <c r="E204" s="9">
        <v>15.213333333333333</v>
      </c>
      <c r="F204" s="9">
        <v>45.64</v>
      </c>
      <c r="G204" s="1" t="s">
        <v>8670</v>
      </c>
      <c r="H204" s="1">
        <f>SUMIF([1]Sheet1!$G:$G,A204,[1]Sheet1!$O:$O)</f>
        <v>45.64</v>
      </c>
      <c r="I204" s="21">
        <f t="shared" si="3"/>
        <v>0</v>
      </c>
    </row>
    <row r="205" spans="1:9" x14ac:dyDescent="0.25">
      <c r="A205" s="18" t="s">
        <v>5685</v>
      </c>
      <c r="B205" s="4" t="s">
        <v>1828</v>
      </c>
      <c r="C205" s="4" t="s">
        <v>363</v>
      </c>
      <c r="D205" s="4" t="s">
        <v>3290</v>
      </c>
      <c r="E205" s="9">
        <v>26.793333333333333</v>
      </c>
      <c r="F205" s="9">
        <v>401.9</v>
      </c>
      <c r="G205" s="1" t="s">
        <v>5686</v>
      </c>
      <c r="H205" s="1">
        <f>SUMIF([1]Sheet1!$G:$G,A205,[1]Sheet1!$O:$O)</f>
        <v>401.9</v>
      </c>
      <c r="I205" s="21">
        <f t="shared" si="3"/>
        <v>0</v>
      </c>
    </row>
    <row r="206" spans="1:9" x14ac:dyDescent="0.25">
      <c r="A206" s="18" t="s">
        <v>4676</v>
      </c>
      <c r="B206" s="4" t="s">
        <v>1829</v>
      </c>
      <c r="C206" s="4" t="s">
        <v>364</v>
      </c>
      <c r="D206" s="4" t="s">
        <v>3290</v>
      </c>
      <c r="E206" s="9">
        <v>77.536666666666676</v>
      </c>
      <c r="F206" s="9">
        <v>232.61</v>
      </c>
      <c r="G206" s="1" t="s">
        <v>4677</v>
      </c>
      <c r="H206" s="1">
        <f>SUMIF([1]Sheet1!$G:$G,A206,[1]Sheet1!$O:$O)</f>
        <v>232.61</v>
      </c>
      <c r="I206" s="21">
        <f t="shared" si="3"/>
        <v>0</v>
      </c>
    </row>
    <row r="207" spans="1:9" x14ac:dyDescent="0.25">
      <c r="A207" s="18" t="s">
        <v>7477</v>
      </c>
      <c r="B207" s="4" t="s">
        <v>1830</v>
      </c>
      <c r="C207" s="4" t="s">
        <v>365</v>
      </c>
      <c r="D207" s="4" t="s">
        <v>3289</v>
      </c>
      <c r="E207" s="9">
        <v>9.6964000000000006</v>
      </c>
      <c r="F207" s="9">
        <v>242.41000000000003</v>
      </c>
      <c r="G207" s="1" t="s">
        <v>7478</v>
      </c>
      <c r="H207" s="1">
        <f>SUMIF([1]Sheet1!$G:$G,A207,[1]Sheet1!$O:$O)</f>
        <v>242.41</v>
      </c>
      <c r="I207" s="21">
        <f t="shared" si="3"/>
        <v>0</v>
      </c>
    </row>
    <row r="208" spans="1:9" x14ac:dyDescent="0.25">
      <c r="A208" s="18" t="s">
        <v>6228</v>
      </c>
      <c r="B208" s="4" t="s">
        <v>1831</v>
      </c>
      <c r="C208" s="4" t="s">
        <v>366</v>
      </c>
      <c r="D208" s="4" t="s">
        <v>3290</v>
      </c>
      <c r="E208" s="9">
        <v>4</v>
      </c>
      <c r="F208" s="9">
        <v>4</v>
      </c>
      <c r="G208" s="1" t="s">
        <v>6229</v>
      </c>
      <c r="H208" s="1">
        <f>SUMIF([1]Sheet1!$G:$G,A208,[1]Sheet1!$O:$O)</f>
        <v>4</v>
      </c>
      <c r="I208" s="21">
        <f t="shared" si="3"/>
        <v>0</v>
      </c>
    </row>
    <row r="209" spans="1:9" x14ac:dyDescent="0.25">
      <c r="A209" s="18" t="s">
        <v>7096</v>
      </c>
      <c r="B209" s="4" t="s">
        <v>1832</v>
      </c>
      <c r="C209" s="4" t="s">
        <v>367</v>
      </c>
      <c r="D209" s="4" t="s">
        <v>3289</v>
      </c>
      <c r="E209" s="9">
        <v>15.111042944785275</v>
      </c>
      <c r="F209" s="9">
        <v>246.31</v>
      </c>
      <c r="G209" s="1" t="s">
        <v>7097</v>
      </c>
      <c r="H209" s="1">
        <f>SUMIF([1]Sheet1!$G:$G,A209,[1]Sheet1!$O:$O)</f>
        <v>246.31</v>
      </c>
      <c r="I209" s="21">
        <f t="shared" si="3"/>
        <v>0</v>
      </c>
    </row>
    <row r="210" spans="1:9" x14ac:dyDescent="0.25">
      <c r="A210" s="18" t="s">
        <v>7579</v>
      </c>
      <c r="B210" s="4" t="s">
        <v>1833</v>
      </c>
      <c r="C210" s="4" t="s">
        <v>368</v>
      </c>
      <c r="D210" s="4" t="s">
        <v>3289</v>
      </c>
      <c r="E210" s="9">
        <v>2.9661851257356875</v>
      </c>
      <c r="F210" s="9">
        <v>277.19</v>
      </c>
      <c r="G210" s="1" t="s">
        <v>7580</v>
      </c>
      <c r="H210" s="1">
        <f>SUMIF([1]Sheet1!$G:$G,A210,[1]Sheet1!$O:$O)</f>
        <v>277.19</v>
      </c>
      <c r="I210" s="21">
        <f t="shared" si="3"/>
        <v>0</v>
      </c>
    </row>
    <row r="211" spans="1:9" x14ac:dyDescent="0.25">
      <c r="A211" s="18" t="s">
        <v>6513</v>
      </c>
      <c r="B211" s="4" t="s">
        <v>1834</v>
      </c>
      <c r="C211" s="4" t="s">
        <v>369</v>
      </c>
      <c r="D211" s="4" t="s">
        <v>3289</v>
      </c>
      <c r="E211" s="9">
        <v>10.693853820598006</v>
      </c>
      <c r="F211" s="9">
        <v>643.77</v>
      </c>
      <c r="G211" s="1" t="s">
        <v>6514</v>
      </c>
      <c r="H211" s="1">
        <f>SUMIF([1]Sheet1!$G:$G,A211,[1]Sheet1!$O:$O)</f>
        <v>643.77</v>
      </c>
      <c r="I211" s="21">
        <f t="shared" si="3"/>
        <v>0</v>
      </c>
    </row>
    <row r="212" spans="1:9" x14ac:dyDescent="0.25">
      <c r="A212" s="18" t="s">
        <v>5930</v>
      </c>
      <c r="B212" s="4" t="s">
        <v>1835</v>
      </c>
      <c r="C212" s="4" t="s">
        <v>370</v>
      </c>
      <c r="D212" s="4" t="s">
        <v>3290</v>
      </c>
      <c r="E212" s="9">
        <v>7.37</v>
      </c>
      <c r="F212" s="9">
        <v>7.37</v>
      </c>
      <c r="G212" s="1" t="s">
        <v>5931</v>
      </c>
      <c r="H212" s="1">
        <f>SUMIF([1]Sheet1!$G:$G,A212,[1]Sheet1!$O:$O)</f>
        <v>7.37</v>
      </c>
      <c r="I212" s="21">
        <f t="shared" si="3"/>
        <v>0</v>
      </c>
    </row>
    <row r="213" spans="1:9" x14ac:dyDescent="0.25">
      <c r="A213" s="18" t="s">
        <v>8959</v>
      </c>
      <c r="B213" s="4" t="s">
        <v>1836</v>
      </c>
      <c r="C213" s="4" t="s">
        <v>371</v>
      </c>
      <c r="D213" s="4" t="s">
        <v>3290</v>
      </c>
      <c r="E213" s="9">
        <v>10.603</v>
      </c>
      <c r="F213" s="9">
        <v>106.03</v>
      </c>
      <c r="G213" s="1" t="s">
        <v>8960</v>
      </c>
      <c r="H213" s="1">
        <f>SUMIF([1]Sheet1!$G:$G,A213,[1]Sheet1!$O:$O)</f>
        <v>0</v>
      </c>
      <c r="I213" s="21">
        <f t="shared" si="3"/>
        <v>106.03</v>
      </c>
    </row>
    <row r="214" spans="1:9" x14ac:dyDescent="0.25">
      <c r="A214" s="18" t="s">
        <v>4142</v>
      </c>
      <c r="B214" s="4" t="s">
        <v>1837</v>
      </c>
      <c r="C214" s="4" t="s">
        <v>372</v>
      </c>
      <c r="D214" s="4" t="s">
        <v>3289</v>
      </c>
      <c r="E214" s="9">
        <v>5.9321929824561401</v>
      </c>
      <c r="F214" s="9">
        <v>1352.54</v>
      </c>
      <c r="G214" s="1" t="s">
        <v>4143</v>
      </c>
      <c r="H214" s="1">
        <f>SUMIF([1]Sheet1!$G:$G,A214,[1]Sheet1!$O:$O)</f>
        <v>1352.54</v>
      </c>
      <c r="I214" s="21">
        <f t="shared" si="3"/>
        <v>0</v>
      </c>
    </row>
    <row r="215" spans="1:9" x14ac:dyDescent="0.25">
      <c r="A215" s="18" t="s">
        <v>6493</v>
      </c>
      <c r="B215" s="4" t="s">
        <v>1838</v>
      </c>
      <c r="C215" s="4" t="s">
        <v>373</v>
      </c>
      <c r="D215" s="4" t="s">
        <v>3289</v>
      </c>
      <c r="E215" s="9">
        <v>3.940818181818182</v>
      </c>
      <c r="F215" s="9">
        <v>433.49</v>
      </c>
      <c r="G215" s="1" t="s">
        <v>6494</v>
      </c>
      <c r="H215" s="1">
        <f>SUMIF([1]Sheet1!$G:$G,A215,[1]Sheet1!$O:$O)</f>
        <v>386.2</v>
      </c>
      <c r="I215" s="21">
        <f t="shared" si="3"/>
        <v>47.29000000000002</v>
      </c>
    </row>
    <row r="216" spans="1:9" x14ac:dyDescent="0.25">
      <c r="A216" s="18" t="s">
        <v>5885</v>
      </c>
      <c r="B216" s="4" t="s">
        <v>1839</v>
      </c>
      <c r="C216" s="4" t="s">
        <v>374</v>
      </c>
      <c r="D216" s="4" t="s">
        <v>3291</v>
      </c>
      <c r="E216" s="9">
        <v>35.999931453835586</v>
      </c>
      <c r="F216" s="9">
        <v>25209.24</v>
      </c>
      <c r="G216" s="1" t="s">
        <v>5886</v>
      </c>
      <c r="H216" s="1">
        <f>SUMIF([1]Sheet1!$G:$G,A216,[1]Sheet1!$O:$O)</f>
        <v>25209.22</v>
      </c>
      <c r="I216" s="21">
        <f t="shared" si="3"/>
        <v>2.0000000000436557E-2</v>
      </c>
    </row>
    <row r="217" spans="1:9" x14ac:dyDescent="0.25">
      <c r="A217" s="18" t="s">
        <v>10693</v>
      </c>
      <c r="B217" s="4" t="s">
        <v>1840</v>
      </c>
      <c r="C217" s="4" t="s">
        <v>375</v>
      </c>
      <c r="D217" s="4" t="s">
        <v>3295</v>
      </c>
      <c r="E217" s="9">
        <v>128.99501211028655</v>
      </c>
      <c r="F217" s="9">
        <v>1166.3599999999999</v>
      </c>
      <c r="G217" s="1" t="s">
        <v>10694</v>
      </c>
      <c r="H217" s="1">
        <f>SUMIF([1]Sheet1!$G:$G,A217,[1]Sheet1!$O:$O)</f>
        <v>1166.3599999999999</v>
      </c>
      <c r="I217" s="21">
        <f t="shared" si="3"/>
        <v>0</v>
      </c>
    </row>
    <row r="218" spans="1:9" x14ac:dyDescent="0.25">
      <c r="A218" s="18" t="s">
        <v>7623</v>
      </c>
      <c r="B218" s="4" t="s">
        <v>1841</v>
      </c>
      <c r="C218" s="4" t="s">
        <v>376</v>
      </c>
      <c r="D218" s="4" t="s">
        <v>3290</v>
      </c>
      <c r="E218" s="9">
        <v>8</v>
      </c>
      <c r="F218" s="9">
        <v>48</v>
      </c>
      <c r="G218" s="1" t="s">
        <v>7624</v>
      </c>
      <c r="H218" s="1">
        <f>SUMIF([1]Sheet1!$G:$G,A218,[1]Sheet1!$O:$O)</f>
        <v>48</v>
      </c>
      <c r="I218" s="21">
        <f t="shared" si="3"/>
        <v>0</v>
      </c>
    </row>
    <row r="219" spans="1:9" x14ac:dyDescent="0.25">
      <c r="A219" s="18" t="s">
        <v>10638</v>
      </c>
      <c r="B219" s="4" t="s">
        <v>1842</v>
      </c>
      <c r="C219" s="4" t="s">
        <v>377</v>
      </c>
      <c r="D219" s="4" t="s">
        <v>3295</v>
      </c>
      <c r="E219" s="9">
        <v>146.99048083963876</v>
      </c>
      <c r="F219" s="9">
        <v>602.22</v>
      </c>
      <c r="G219" s="1" t="s">
        <v>10639</v>
      </c>
      <c r="H219" s="1">
        <f>SUMIF([1]Sheet1!$G:$G,A219,[1]Sheet1!$O:$O)</f>
        <v>575.76</v>
      </c>
      <c r="I219" s="21">
        <f t="shared" si="3"/>
        <v>26.460000000000036</v>
      </c>
    </row>
    <row r="220" spans="1:9" x14ac:dyDescent="0.25">
      <c r="A220" s="18" t="s">
        <v>6618</v>
      </c>
      <c r="B220" s="4" t="s">
        <v>1843</v>
      </c>
      <c r="C220" s="4" t="s">
        <v>378</v>
      </c>
      <c r="D220" s="4" t="s">
        <v>3295</v>
      </c>
      <c r="E220" s="9">
        <v>21.135000000000002</v>
      </c>
      <c r="F220" s="9">
        <v>42.27</v>
      </c>
      <c r="G220" s="1" t="s">
        <v>6619</v>
      </c>
      <c r="H220" s="1">
        <f>SUMIF([1]Sheet1!$G:$G,A220,[1]Sheet1!$O:$O)</f>
        <v>42.27</v>
      </c>
      <c r="I220" s="21">
        <f t="shared" si="3"/>
        <v>0</v>
      </c>
    </row>
    <row r="221" spans="1:9" x14ac:dyDescent="0.25">
      <c r="A221" s="18" t="s">
        <v>10908</v>
      </c>
      <c r="B221" s="4" t="s">
        <v>1844</v>
      </c>
      <c r="C221" s="4" t="s">
        <v>379</v>
      </c>
      <c r="D221" s="4" t="s">
        <v>3290</v>
      </c>
      <c r="E221" s="9">
        <v>38.718000000000004</v>
      </c>
      <c r="F221" s="9">
        <v>193.59000000000003</v>
      </c>
      <c r="G221" s="1" t="s">
        <v>10909</v>
      </c>
      <c r="H221" s="1">
        <f>SUMIF([1]Sheet1!$G:$G,A221,[1]Sheet1!$O:$O)</f>
        <v>193.59</v>
      </c>
      <c r="I221" s="21">
        <f t="shared" si="3"/>
        <v>0</v>
      </c>
    </row>
    <row r="222" spans="1:9" x14ac:dyDescent="0.25">
      <c r="A222" s="18" t="s">
        <v>6772</v>
      </c>
      <c r="B222" s="4" t="s">
        <v>1845</v>
      </c>
      <c r="C222" s="4" t="s">
        <v>380</v>
      </c>
      <c r="D222" s="4" t="s">
        <v>3291</v>
      </c>
      <c r="E222" s="9">
        <v>4.3749974073741189</v>
      </c>
      <c r="F222" s="9">
        <v>3164.02</v>
      </c>
      <c r="G222" s="1" t="s">
        <v>6773</v>
      </c>
      <c r="H222" s="1">
        <f>SUMIF([1]Sheet1!$G:$G,A222,[1]Sheet1!$O:$O)</f>
        <v>3164.02</v>
      </c>
      <c r="I222" s="21">
        <f t="shared" si="3"/>
        <v>0</v>
      </c>
    </row>
    <row r="223" spans="1:9" x14ac:dyDescent="0.25">
      <c r="A223" s="18" t="s">
        <v>5801</v>
      </c>
      <c r="B223" s="4" t="s">
        <v>1846</v>
      </c>
      <c r="C223" s="4" t="s">
        <v>381</v>
      </c>
      <c r="D223" s="4" t="s">
        <v>3290</v>
      </c>
      <c r="E223" s="9">
        <v>1.9068571428571428E-2</v>
      </c>
      <c r="F223" s="9">
        <v>66.739999999999995</v>
      </c>
      <c r="G223" s="1" t="s">
        <v>5802</v>
      </c>
      <c r="H223" s="1">
        <f>SUMIF([1]Sheet1!$G:$G,A223,[1]Sheet1!$O:$O)</f>
        <v>66.849999999999994</v>
      </c>
      <c r="I223" s="21">
        <f t="shared" si="3"/>
        <v>-0.10999999999999943</v>
      </c>
    </row>
    <row r="224" spans="1:9" x14ac:dyDescent="0.25">
      <c r="A224" s="18" t="s">
        <v>11491</v>
      </c>
      <c r="B224" s="4" t="s">
        <v>1847</v>
      </c>
      <c r="C224" s="4" t="s">
        <v>382</v>
      </c>
      <c r="D224" s="4" t="s">
        <v>3290</v>
      </c>
      <c r="E224" s="9">
        <v>15.314594594594594</v>
      </c>
      <c r="F224" s="9">
        <v>566.64</v>
      </c>
      <c r="G224" s="1" t="s">
        <v>11492</v>
      </c>
      <c r="H224" s="1">
        <f>SUMIF([1]Sheet1!$G:$G,A224,[1]Sheet1!$O:$O)</f>
        <v>413.49</v>
      </c>
      <c r="I224" s="21">
        <f t="shared" si="3"/>
        <v>153.14999999999998</v>
      </c>
    </row>
    <row r="225" spans="1:9" x14ac:dyDescent="0.25">
      <c r="A225" s="18" t="s">
        <v>11743</v>
      </c>
      <c r="B225" s="4" t="s">
        <v>1848</v>
      </c>
      <c r="C225" s="4" t="s">
        <v>383</v>
      </c>
      <c r="D225" s="4" t="s">
        <v>3290</v>
      </c>
      <c r="E225" s="9">
        <v>6.7858823529411767</v>
      </c>
      <c r="F225" s="9">
        <v>115.36</v>
      </c>
      <c r="G225" s="1" t="s">
        <v>11744</v>
      </c>
      <c r="H225" s="1">
        <f>SUMIF([1]Sheet1!$G:$G,A225,[1]Sheet1!$O:$O)</f>
        <v>115.36</v>
      </c>
      <c r="I225" s="21">
        <f t="shared" si="3"/>
        <v>0</v>
      </c>
    </row>
    <row r="226" spans="1:9" x14ac:dyDescent="0.25">
      <c r="A226" s="18" t="s">
        <v>11493</v>
      </c>
      <c r="B226" s="4" t="s">
        <v>1849</v>
      </c>
      <c r="C226" s="4" t="s">
        <v>384</v>
      </c>
      <c r="D226" s="4" t="s">
        <v>3290</v>
      </c>
      <c r="E226" s="9">
        <v>1</v>
      </c>
      <c r="F226" s="9">
        <v>24</v>
      </c>
      <c r="G226" s="1" t="s">
        <v>11494</v>
      </c>
      <c r="H226" s="1">
        <f>SUMIF([1]Sheet1!$G:$G,A226,[1]Sheet1!$O:$O)</f>
        <v>24</v>
      </c>
      <c r="I226" s="21">
        <f t="shared" si="3"/>
        <v>0</v>
      </c>
    </row>
    <row r="227" spans="1:9" x14ac:dyDescent="0.25">
      <c r="A227" s="18" t="s">
        <v>5985</v>
      </c>
      <c r="B227" s="4" t="s">
        <v>1850</v>
      </c>
      <c r="C227" s="4" t="s">
        <v>385</v>
      </c>
      <c r="D227" s="4" t="s">
        <v>3289</v>
      </c>
      <c r="E227" s="9">
        <v>2.9655555555555555</v>
      </c>
      <c r="F227" s="9">
        <v>26.689999999999998</v>
      </c>
      <c r="G227" s="1" t="s">
        <v>5986</v>
      </c>
      <c r="H227" s="1">
        <f>SUMIF([1]Sheet1!$G:$G,A227,[1]Sheet1!$O:$O)</f>
        <v>26.69</v>
      </c>
      <c r="I227" s="21">
        <f t="shared" si="3"/>
        <v>0</v>
      </c>
    </row>
    <row r="228" spans="1:9" x14ac:dyDescent="0.25">
      <c r="A228" s="18" t="s">
        <v>11211</v>
      </c>
      <c r="B228" s="4" t="s">
        <v>1851</v>
      </c>
      <c r="C228" s="4" t="s">
        <v>188</v>
      </c>
      <c r="D228" s="4" t="s">
        <v>3291</v>
      </c>
      <c r="E228" s="9">
        <v>14.437883122190438</v>
      </c>
      <c r="F228" s="9">
        <v>4239.54</v>
      </c>
      <c r="G228" s="1" t="s">
        <v>11212</v>
      </c>
      <c r="H228" s="1">
        <f>SUMIF([1]Sheet1!$G:$G,A228,[1]Sheet1!$O:$O)</f>
        <v>4066.29</v>
      </c>
      <c r="I228" s="21">
        <f t="shared" si="3"/>
        <v>173.25</v>
      </c>
    </row>
    <row r="229" spans="1:9" x14ac:dyDescent="0.25">
      <c r="A229" s="18" t="s">
        <v>11362</v>
      </c>
      <c r="B229" s="4" t="s">
        <v>1852</v>
      </c>
      <c r="C229" s="4" t="s">
        <v>386</v>
      </c>
      <c r="D229" s="4" t="s">
        <v>3290</v>
      </c>
      <c r="E229" s="9">
        <v>63.558529411764702</v>
      </c>
      <c r="F229" s="9">
        <v>2160.9899999999998</v>
      </c>
      <c r="G229" s="1" t="s">
        <v>11363</v>
      </c>
      <c r="H229" s="1">
        <f>SUMIF([1]Sheet1!$G:$G,A229,[1]Sheet1!$O:$O)</f>
        <v>2160.9899999999998</v>
      </c>
      <c r="I229" s="21">
        <f t="shared" si="3"/>
        <v>0</v>
      </c>
    </row>
    <row r="230" spans="1:9" x14ac:dyDescent="0.25">
      <c r="A230" s="18" t="s">
        <v>11217</v>
      </c>
      <c r="B230" s="4" t="s">
        <v>1853</v>
      </c>
      <c r="C230" s="4" t="s">
        <v>387</v>
      </c>
      <c r="D230" s="4" t="s">
        <v>3291</v>
      </c>
      <c r="E230" s="9">
        <v>16.682119205298012</v>
      </c>
      <c r="F230" s="9">
        <v>2518.9999999999995</v>
      </c>
      <c r="G230" s="1" t="s">
        <v>11218</v>
      </c>
      <c r="H230" s="1">
        <f>SUMIF([1]Sheet1!$G:$G,A230,[1]Sheet1!$O:$O)</f>
        <v>2519</v>
      </c>
      <c r="I230" s="21">
        <f t="shared" si="3"/>
        <v>0</v>
      </c>
    </row>
    <row r="231" spans="1:9" x14ac:dyDescent="0.25">
      <c r="A231" s="18" t="s">
        <v>10176</v>
      </c>
      <c r="B231" s="4" t="s">
        <v>1854</v>
      </c>
      <c r="C231" s="4" t="s">
        <v>388</v>
      </c>
      <c r="D231" s="4" t="s">
        <v>3290</v>
      </c>
      <c r="E231" s="9">
        <v>20.34</v>
      </c>
      <c r="F231" s="9">
        <v>40.68</v>
      </c>
      <c r="G231" s="1" t="s">
        <v>10177</v>
      </c>
      <c r="H231" s="1">
        <f>SUMIF([1]Sheet1!$G:$G,A231,[1]Sheet1!$O:$O)</f>
        <v>40.68</v>
      </c>
      <c r="I231" s="21">
        <f t="shared" si="3"/>
        <v>0</v>
      </c>
    </row>
    <row r="232" spans="1:9" x14ac:dyDescent="0.25">
      <c r="A232" s="18" t="s">
        <v>9743</v>
      </c>
      <c r="B232" s="4" t="s">
        <v>1855</v>
      </c>
      <c r="C232" s="4" t="s">
        <v>389</v>
      </c>
      <c r="D232" s="4" t="s">
        <v>3290</v>
      </c>
      <c r="E232" s="9">
        <v>8.5174576271186435</v>
      </c>
      <c r="F232" s="9">
        <v>502.53</v>
      </c>
      <c r="G232" s="1" t="s">
        <v>9746</v>
      </c>
      <c r="H232" s="1">
        <f>SUMIF([1]Sheet1!$G:$G,A232,[1]Sheet1!$O:$O)</f>
        <v>502.53</v>
      </c>
      <c r="I232" s="21">
        <f t="shared" si="3"/>
        <v>0</v>
      </c>
    </row>
    <row r="233" spans="1:9" x14ac:dyDescent="0.25">
      <c r="A233" s="18" t="s">
        <v>10820</v>
      </c>
      <c r="B233" s="4" t="s">
        <v>1856</v>
      </c>
      <c r="C233" s="4" t="s">
        <v>390</v>
      </c>
      <c r="D233" s="4" t="s">
        <v>3290</v>
      </c>
      <c r="E233" s="9">
        <v>4.2350000000000003</v>
      </c>
      <c r="F233" s="9">
        <v>8.4700000000000006</v>
      </c>
      <c r="G233" s="1" t="s">
        <v>10821</v>
      </c>
      <c r="H233" s="1">
        <f>SUMIF([1]Sheet1!$G:$G,A233,[1]Sheet1!$O:$O)</f>
        <v>8.4700000000000006</v>
      </c>
      <c r="I233" s="21">
        <f t="shared" si="3"/>
        <v>0</v>
      </c>
    </row>
    <row r="234" spans="1:9" x14ac:dyDescent="0.25">
      <c r="A234" s="18" t="s">
        <v>10857</v>
      </c>
      <c r="B234" s="4" t="s">
        <v>1857</v>
      </c>
      <c r="C234" s="4" t="s">
        <v>391</v>
      </c>
      <c r="D234" s="4" t="s">
        <v>3290</v>
      </c>
      <c r="E234" s="9">
        <v>45.414999999999999</v>
      </c>
      <c r="F234" s="9">
        <v>90.83</v>
      </c>
      <c r="G234" s="1" t="s">
        <v>10858</v>
      </c>
      <c r="H234" s="1">
        <f>SUMIF([1]Sheet1!$G:$G,A234,[1]Sheet1!$O:$O)</f>
        <v>90.83</v>
      </c>
      <c r="I234" s="21">
        <f t="shared" si="3"/>
        <v>0</v>
      </c>
    </row>
    <row r="235" spans="1:9" x14ac:dyDescent="0.25">
      <c r="A235" s="18" t="s">
        <v>6918</v>
      </c>
      <c r="B235" s="4" t="s">
        <v>1858</v>
      </c>
      <c r="C235" s="4" t="s">
        <v>392</v>
      </c>
      <c r="D235" s="4" t="s">
        <v>3290</v>
      </c>
      <c r="E235" s="9">
        <v>25.808688524590163</v>
      </c>
      <c r="F235" s="9">
        <v>1574.33</v>
      </c>
      <c r="G235" s="1" t="s">
        <v>6919</v>
      </c>
      <c r="H235" s="1">
        <f>SUMIF([1]Sheet1!$G:$G,A235,[1]Sheet1!$O:$O)</f>
        <v>1574.33</v>
      </c>
      <c r="I235" s="21">
        <f t="shared" si="3"/>
        <v>0</v>
      </c>
    </row>
    <row r="236" spans="1:9" x14ac:dyDescent="0.25">
      <c r="A236" s="18" t="s">
        <v>6924</v>
      </c>
      <c r="B236" s="4" t="s">
        <v>1859</v>
      </c>
      <c r="C236" s="4" t="s">
        <v>393</v>
      </c>
      <c r="D236" s="4" t="s">
        <v>3290</v>
      </c>
      <c r="E236" s="9">
        <v>29.266666666666666</v>
      </c>
      <c r="F236" s="9">
        <v>965.8</v>
      </c>
      <c r="G236" s="1" t="s">
        <v>6925</v>
      </c>
      <c r="H236" s="1">
        <f>SUMIF([1]Sheet1!$G:$G,A236,[1]Sheet1!$O:$O)</f>
        <v>965.8</v>
      </c>
      <c r="I236" s="21">
        <f t="shared" si="3"/>
        <v>0</v>
      </c>
    </row>
    <row r="237" spans="1:9" x14ac:dyDescent="0.25">
      <c r="A237" s="18" t="s">
        <v>6965</v>
      </c>
      <c r="B237" s="4" t="s">
        <v>1860</v>
      </c>
      <c r="C237" s="4" t="s">
        <v>394</v>
      </c>
      <c r="D237" s="4" t="s">
        <v>3291</v>
      </c>
      <c r="E237" s="9">
        <v>2.9660000000000002</v>
      </c>
      <c r="F237" s="9">
        <v>59.320000000000007</v>
      </c>
      <c r="G237" s="1" t="s">
        <v>6966</v>
      </c>
      <c r="H237" s="1">
        <f>SUMIF([1]Sheet1!$G:$G,A237,[1]Sheet1!$O:$O)</f>
        <v>59.32</v>
      </c>
      <c r="I237" s="21">
        <f t="shared" si="3"/>
        <v>0</v>
      </c>
    </row>
    <row r="238" spans="1:9" x14ac:dyDescent="0.25">
      <c r="A238" s="18" t="s">
        <v>10910</v>
      </c>
      <c r="B238" s="4" t="s">
        <v>1861</v>
      </c>
      <c r="C238" s="4" t="s">
        <v>395</v>
      </c>
      <c r="D238" s="4" t="s">
        <v>3291</v>
      </c>
      <c r="E238" s="9">
        <v>7.2033333333333331</v>
      </c>
      <c r="F238" s="9">
        <v>540.25</v>
      </c>
      <c r="G238" s="1" t="s">
        <v>10911</v>
      </c>
      <c r="H238" s="1">
        <f>SUMIF([1]Sheet1!$G:$G,A238,[1]Sheet1!$O:$O)</f>
        <v>540.25</v>
      </c>
      <c r="I238" s="21">
        <f t="shared" si="3"/>
        <v>0</v>
      </c>
    </row>
    <row r="239" spans="1:9" x14ac:dyDescent="0.25">
      <c r="A239" s="18" t="s">
        <v>6125</v>
      </c>
      <c r="B239" s="4" t="s">
        <v>1862</v>
      </c>
      <c r="C239" s="4" t="s">
        <v>396</v>
      </c>
      <c r="D239" s="4" t="s">
        <v>3291</v>
      </c>
      <c r="E239" s="9">
        <v>21.186190476190479</v>
      </c>
      <c r="F239" s="9">
        <v>444.91000000000008</v>
      </c>
      <c r="G239" s="1" t="s">
        <v>6126</v>
      </c>
      <c r="H239" s="1">
        <f>SUMIF([1]Sheet1!$G:$G,A239,[1]Sheet1!$O:$O)</f>
        <v>444.91</v>
      </c>
      <c r="I239" s="21">
        <f t="shared" si="3"/>
        <v>0</v>
      </c>
    </row>
    <row r="240" spans="1:9" x14ac:dyDescent="0.25">
      <c r="A240" s="18" t="s">
        <v>6123</v>
      </c>
      <c r="B240" s="4" t="s">
        <v>1863</v>
      </c>
      <c r="C240" s="4" t="s">
        <v>397</v>
      </c>
      <c r="D240" s="4" t="s">
        <v>3291</v>
      </c>
      <c r="E240" s="9">
        <v>21.186551724137932</v>
      </c>
      <c r="F240" s="9">
        <v>614.41</v>
      </c>
      <c r="G240" s="1" t="s">
        <v>6124</v>
      </c>
      <c r="H240" s="1">
        <f>SUMIF([1]Sheet1!$G:$G,A240,[1]Sheet1!$O:$O)</f>
        <v>614.41</v>
      </c>
      <c r="I240" s="21">
        <f t="shared" si="3"/>
        <v>0</v>
      </c>
    </row>
    <row r="241" spans="1:9" x14ac:dyDescent="0.25">
      <c r="A241" s="18" t="s">
        <v>9176</v>
      </c>
      <c r="B241" s="4" t="s">
        <v>1864</v>
      </c>
      <c r="C241" s="4" t="s">
        <v>398</v>
      </c>
      <c r="D241" s="4" t="s">
        <v>3290</v>
      </c>
      <c r="E241" s="9">
        <v>192.46333333333334</v>
      </c>
      <c r="F241" s="9">
        <v>577.39</v>
      </c>
      <c r="G241" s="1" t="s">
        <v>9177</v>
      </c>
      <c r="H241" s="1">
        <f>SUMIF([1]Sheet1!$G:$G,A241,[1]Sheet1!$O:$O)</f>
        <v>577.39</v>
      </c>
      <c r="I241" s="21">
        <f t="shared" si="3"/>
        <v>0</v>
      </c>
    </row>
    <row r="242" spans="1:9" x14ac:dyDescent="0.25">
      <c r="A242" s="18" t="s">
        <v>7824</v>
      </c>
      <c r="B242" s="4" t="s">
        <v>1865</v>
      </c>
      <c r="C242" s="4" t="s">
        <v>399</v>
      </c>
      <c r="D242" s="4" t="s">
        <v>3290</v>
      </c>
      <c r="E242" s="9">
        <v>28.81</v>
      </c>
      <c r="F242" s="9">
        <v>28.81</v>
      </c>
      <c r="G242" s="1" t="s">
        <v>7825</v>
      </c>
      <c r="H242" s="1">
        <f>SUMIF([1]Sheet1!$G:$G,A242,[1]Sheet1!$O:$O)</f>
        <v>28.81</v>
      </c>
      <c r="I242" s="21">
        <f t="shared" si="3"/>
        <v>0</v>
      </c>
    </row>
    <row r="243" spans="1:9" x14ac:dyDescent="0.25">
      <c r="A243" s="18" t="s">
        <v>11745</v>
      </c>
      <c r="B243" s="4" t="s">
        <v>1866</v>
      </c>
      <c r="C243" s="4" t="s">
        <v>400</v>
      </c>
      <c r="D243" s="4" t="s">
        <v>3290</v>
      </c>
      <c r="E243" s="9">
        <v>9.1516666666666655</v>
      </c>
      <c r="F243" s="9">
        <v>54.91</v>
      </c>
      <c r="G243" s="1" t="s">
        <v>11746</v>
      </c>
      <c r="H243" s="1">
        <f>SUMIF([1]Sheet1!$G:$G,A243,[1]Sheet1!$O:$O)</f>
        <v>54.91</v>
      </c>
      <c r="I243" s="21">
        <f t="shared" si="3"/>
        <v>0</v>
      </c>
    </row>
    <row r="244" spans="1:9" x14ac:dyDescent="0.25">
      <c r="A244" s="18" t="s">
        <v>6938</v>
      </c>
      <c r="B244" s="4" t="s">
        <v>3104</v>
      </c>
      <c r="C244" s="4" t="s">
        <v>401</v>
      </c>
      <c r="D244" s="4" t="s">
        <v>3290</v>
      </c>
      <c r="E244" s="9">
        <v>1999.83</v>
      </c>
      <c r="F244" s="9">
        <v>1999.83</v>
      </c>
      <c r="G244" s="1" t="s">
        <v>6939</v>
      </c>
      <c r="H244" s="1">
        <f>SUMIF([1]Sheet1!$G:$G,A244,[1]Sheet1!$O:$O)</f>
        <v>1999.83</v>
      </c>
      <c r="I244" s="21">
        <f t="shared" si="3"/>
        <v>0</v>
      </c>
    </row>
    <row r="245" spans="1:9" x14ac:dyDescent="0.25">
      <c r="A245" s="18" t="s">
        <v>9747</v>
      </c>
      <c r="B245" s="4" t="s">
        <v>1867</v>
      </c>
      <c r="C245" s="4" t="s">
        <v>402</v>
      </c>
      <c r="D245" s="4" t="s">
        <v>3290</v>
      </c>
      <c r="E245" s="9">
        <v>193.17777777777778</v>
      </c>
      <c r="F245" s="9">
        <v>1738.6</v>
      </c>
      <c r="G245" s="1" t="s">
        <v>9748</v>
      </c>
      <c r="H245" s="1">
        <f>SUMIF([1]Sheet1!$G:$G,A245,[1]Sheet1!$O:$O)</f>
        <v>1738.6</v>
      </c>
      <c r="I245" s="21">
        <f t="shared" si="3"/>
        <v>0</v>
      </c>
    </row>
    <row r="246" spans="1:9" x14ac:dyDescent="0.25">
      <c r="A246" s="18" t="s">
        <v>8751</v>
      </c>
      <c r="B246" s="4" t="s">
        <v>3105</v>
      </c>
      <c r="C246" s="4" t="s">
        <v>403</v>
      </c>
      <c r="D246" s="4" t="s">
        <v>3290</v>
      </c>
      <c r="E246" s="9">
        <v>5149.1540000000005</v>
      </c>
      <c r="F246" s="9">
        <v>25745.770000000004</v>
      </c>
      <c r="G246" s="1" t="s">
        <v>8752</v>
      </c>
      <c r="H246" s="1">
        <f>SUMIF([1]Sheet1!$G:$G,A246,[1]Sheet1!$O:$O)</f>
        <v>0.02</v>
      </c>
      <c r="I246" s="21">
        <f t="shared" si="3"/>
        <v>25745.750000000004</v>
      </c>
    </row>
    <row r="247" spans="1:9" x14ac:dyDescent="0.25">
      <c r="A247" s="18" t="s">
        <v>5790</v>
      </c>
      <c r="B247" s="4" t="s">
        <v>1868</v>
      </c>
      <c r="C247" s="4" t="s">
        <v>404</v>
      </c>
      <c r="D247" s="4" t="s">
        <v>3289</v>
      </c>
      <c r="E247" s="9">
        <v>5.0773333333333328</v>
      </c>
      <c r="F247" s="9">
        <v>76.16</v>
      </c>
      <c r="G247" s="1" t="s">
        <v>5791</v>
      </c>
      <c r="H247" s="1">
        <f>SUMIF([1]Sheet1!$G:$G,A247,[1]Sheet1!$O:$O)</f>
        <v>76.16</v>
      </c>
      <c r="I247" s="21">
        <f t="shared" si="3"/>
        <v>0</v>
      </c>
    </row>
    <row r="248" spans="1:9" x14ac:dyDescent="0.25">
      <c r="A248" s="18" t="s">
        <v>6541</v>
      </c>
      <c r="B248" s="4" t="s">
        <v>1869</v>
      </c>
      <c r="C248" s="4" t="s">
        <v>405</v>
      </c>
      <c r="D248" s="4" t="s">
        <v>3290</v>
      </c>
      <c r="E248" s="9">
        <v>64.50121212121212</v>
      </c>
      <c r="F248" s="9">
        <v>6385.62</v>
      </c>
      <c r="G248" s="1" t="s">
        <v>6542</v>
      </c>
      <c r="H248" s="1">
        <f>SUMIF([1]Sheet1!$G:$G,A248,[1]Sheet1!$O:$O)</f>
        <v>6385.62</v>
      </c>
      <c r="I248" s="21">
        <f t="shared" si="3"/>
        <v>0</v>
      </c>
    </row>
    <row r="249" spans="1:9" x14ac:dyDescent="0.25">
      <c r="A249" s="18" t="s">
        <v>4331</v>
      </c>
      <c r="B249" s="4" t="s">
        <v>1870</v>
      </c>
      <c r="C249" s="4" t="s">
        <v>406</v>
      </c>
      <c r="D249" s="4" t="s">
        <v>3290</v>
      </c>
      <c r="E249" s="9">
        <v>4.4702205882352946</v>
      </c>
      <c r="F249" s="9">
        <v>607.95000000000005</v>
      </c>
      <c r="G249" s="1" t="s">
        <v>4332</v>
      </c>
      <c r="H249" s="1">
        <f>SUMIF([1]Sheet1!$G:$G,A249,[1]Sheet1!$O:$O)</f>
        <v>554.29999999999995</v>
      </c>
      <c r="I249" s="21">
        <f t="shared" si="3"/>
        <v>53.650000000000091</v>
      </c>
    </row>
    <row r="250" spans="1:9" x14ac:dyDescent="0.25">
      <c r="A250" s="18" t="s">
        <v>6105</v>
      </c>
      <c r="B250" s="4" t="s">
        <v>1871</v>
      </c>
      <c r="C250" s="4" t="s">
        <v>407</v>
      </c>
      <c r="D250" s="4" t="s">
        <v>3290</v>
      </c>
      <c r="E250" s="9">
        <v>38.134999999999998</v>
      </c>
      <c r="F250" s="9">
        <v>152.54</v>
      </c>
      <c r="G250" s="1" t="s">
        <v>6107</v>
      </c>
      <c r="H250" s="1">
        <f>SUMIF([1]Sheet1!$G:$G,A250,[1]Sheet1!$O:$O)</f>
        <v>152.54</v>
      </c>
      <c r="I250" s="21">
        <f t="shared" si="3"/>
        <v>0</v>
      </c>
    </row>
    <row r="251" spans="1:9" x14ac:dyDescent="0.25">
      <c r="A251" s="18" t="s">
        <v>8559</v>
      </c>
      <c r="B251" s="4" t="s">
        <v>1872</v>
      </c>
      <c r="C251" s="4" t="s">
        <v>408</v>
      </c>
      <c r="D251" s="4" t="s">
        <v>3290</v>
      </c>
      <c r="E251" s="9">
        <v>0.28769230769230769</v>
      </c>
      <c r="F251" s="9">
        <v>7.48</v>
      </c>
      <c r="G251" s="1" t="s">
        <v>8560</v>
      </c>
      <c r="H251" s="1">
        <f>SUMIF([1]Sheet1!$G:$G,A251,[1]Sheet1!$O:$O)</f>
        <v>7.48</v>
      </c>
      <c r="I251" s="21">
        <f t="shared" si="3"/>
        <v>0</v>
      </c>
    </row>
    <row r="252" spans="1:9" x14ac:dyDescent="0.25">
      <c r="A252" s="18" t="s">
        <v>4678</v>
      </c>
      <c r="B252" s="4" t="s">
        <v>1873</v>
      </c>
      <c r="C252" s="4" t="s">
        <v>409</v>
      </c>
      <c r="D252" s="4" t="s">
        <v>3290</v>
      </c>
      <c r="E252" s="9">
        <v>4.79</v>
      </c>
      <c r="F252" s="9">
        <v>9.58</v>
      </c>
      <c r="G252" s="1" t="s">
        <v>4679</v>
      </c>
      <c r="H252" s="1">
        <f>SUMIF([1]Sheet1!$G:$G,A252,[1]Sheet1!$O:$O)</f>
        <v>9.58</v>
      </c>
      <c r="I252" s="21">
        <f t="shared" si="3"/>
        <v>0</v>
      </c>
    </row>
    <row r="253" spans="1:9" x14ac:dyDescent="0.25">
      <c r="A253" s="18" t="s">
        <v>4267</v>
      </c>
      <c r="B253" s="4" t="s">
        <v>1874</v>
      </c>
      <c r="C253" s="4" t="s">
        <v>410</v>
      </c>
      <c r="D253" s="4" t="s">
        <v>3290</v>
      </c>
      <c r="E253" s="9">
        <v>186.715</v>
      </c>
      <c r="F253" s="9">
        <v>1120.29</v>
      </c>
      <c r="G253" s="1" t="s">
        <v>4268</v>
      </c>
      <c r="H253" s="1">
        <f>SUMIF([1]Sheet1!$G:$G,A253,[1]Sheet1!$O:$O)</f>
        <v>0</v>
      </c>
      <c r="I253" s="21">
        <f t="shared" si="3"/>
        <v>1120.29</v>
      </c>
    </row>
    <row r="254" spans="1:9" x14ac:dyDescent="0.25">
      <c r="A254" s="18" t="s">
        <v>5592</v>
      </c>
      <c r="B254" s="4" t="s">
        <v>1875</v>
      </c>
      <c r="C254" s="4" t="s">
        <v>411</v>
      </c>
      <c r="D254" s="4" t="s">
        <v>3290</v>
      </c>
      <c r="E254" s="9">
        <v>20.41</v>
      </c>
      <c r="F254" s="9">
        <v>122.46000000000001</v>
      </c>
      <c r="G254" s="1" t="s">
        <v>5593</v>
      </c>
      <c r="H254" s="1">
        <f>SUMIF([1]Sheet1!$G:$G,A254,[1]Sheet1!$O:$O)</f>
        <v>122.46</v>
      </c>
      <c r="I254" s="21">
        <f t="shared" si="3"/>
        <v>0</v>
      </c>
    </row>
    <row r="255" spans="1:9" x14ac:dyDescent="0.25">
      <c r="A255" s="18" t="s">
        <v>5603</v>
      </c>
      <c r="B255" s="4" t="s">
        <v>1876</v>
      </c>
      <c r="C255" s="4" t="s">
        <v>412</v>
      </c>
      <c r="D255" s="4" t="s">
        <v>3290</v>
      </c>
      <c r="E255" s="9">
        <v>41.1</v>
      </c>
      <c r="F255" s="9">
        <v>82.2</v>
      </c>
      <c r="G255" s="1" t="s">
        <v>5604</v>
      </c>
      <c r="H255" s="1">
        <f>SUMIF([1]Sheet1!$G:$G,A255,[1]Sheet1!$O:$O)</f>
        <v>82.2</v>
      </c>
      <c r="I255" s="21">
        <f t="shared" si="3"/>
        <v>0</v>
      </c>
    </row>
    <row r="256" spans="1:9" x14ac:dyDescent="0.25">
      <c r="A256" s="18" t="s">
        <v>5621</v>
      </c>
      <c r="B256" s="4" t="s">
        <v>1877</v>
      </c>
      <c r="C256" s="4" t="s">
        <v>413</v>
      </c>
      <c r="D256" s="4" t="s">
        <v>3290</v>
      </c>
      <c r="E256" s="9">
        <v>4.2300000000000004</v>
      </c>
      <c r="F256" s="9">
        <v>4.2300000000000004</v>
      </c>
      <c r="G256" s="1" t="s">
        <v>5622</v>
      </c>
      <c r="H256" s="1">
        <f>SUMIF([1]Sheet1!$G:$G,A256,[1]Sheet1!$O:$O)</f>
        <v>4.2300000000000004</v>
      </c>
      <c r="I256" s="21">
        <f t="shared" si="3"/>
        <v>0</v>
      </c>
    </row>
    <row r="257" spans="1:9" x14ac:dyDescent="0.25">
      <c r="A257" s="18" t="s">
        <v>3964</v>
      </c>
      <c r="B257" s="4" t="s">
        <v>1878</v>
      </c>
      <c r="C257" s="4" t="s">
        <v>414</v>
      </c>
      <c r="D257" s="4" t="s">
        <v>3290</v>
      </c>
      <c r="E257" s="9">
        <v>92.61</v>
      </c>
      <c r="F257" s="9">
        <v>370.44</v>
      </c>
      <c r="G257" s="1" t="s">
        <v>3965</v>
      </c>
      <c r="H257" s="1">
        <f>SUMIF([1]Sheet1!$G:$G,A257,[1]Sheet1!$O:$O)</f>
        <v>370.44</v>
      </c>
      <c r="I257" s="21">
        <f t="shared" si="3"/>
        <v>0</v>
      </c>
    </row>
    <row r="258" spans="1:9" x14ac:dyDescent="0.25">
      <c r="A258" s="18" t="s">
        <v>3901</v>
      </c>
      <c r="B258" s="4" t="s">
        <v>1879</v>
      </c>
      <c r="C258" s="4" t="s">
        <v>415</v>
      </c>
      <c r="D258" s="4" t="s">
        <v>3290</v>
      </c>
      <c r="E258" s="9">
        <v>162.03749999999999</v>
      </c>
      <c r="F258" s="9">
        <v>5185.2</v>
      </c>
      <c r="G258" s="1" t="s">
        <v>3902</v>
      </c>
      <c r="H258" s="1">
        <f>SUMIF([1]Sheet1!$G:$G,A258,[1]Sheet1!$O:$O)</f>
        <v>5185.2</v>
      </c>
      <c r="I258" s="21">
        <f t="shared" si="3"/>
        <v>0</v>
      </c>
    </row>
    <row r="259" spans="1:9" x14ac:dyDescent="0.25">
      <c r="A259" s="18" t="s">
        <v>3883</v>
      </c>
      <c r="B259" s="4" t="s">
        <v>1880</v>
      </c>
      <c r="C259" s="4" t="s">
        <v>416</v>
      </c>
      <c r="D259" s="4" t="s">
        <v>3290</v>
      </c>
      <c r="E259" s="9">
        <v>216.31681818181821</v>
      </c>
      <c r="F259" s="9">
        <v>4758.97</v>
      </c>
      <c r="G259" s="1" t="s">
        <v>3884</v>
      </c>
      <c r="H259" s="1">
        <f>SUMIF([1]Sheet1!$G:$G,A259,[1]Sheet1!$O:$O)</f>
        <v>4758.97</v>
      </c>
      <c r="I259" s="21">
        <f t="shared" ref="I259:I322" si="4">F259-H259</f>
        <v>0</v>
      </c>
    </row>
    <row r="260" spans="1:9" x14ac:dyDescent="0.25">
      <c r="A260" s="18" t="s">
        <v>5115</v>
      </c>
      <c r="B260" s="4" t="s">
        <v>3106</v>
      </c>
      <c r="C260" s="4" t="s">
        <v>417</v>
      </c>
      <c r="D260" s="4" t="s">
        <v>3290</v>
      </c>
      <c r="E260" s="9">
        <v>372.03</v>
      </c>
      <c r="F260" s="9">
        <v>372.03</v>
      </c>
      <c r="G260" s="1" t="s">
        <v>5116</v>
      </c>
      <c r="H260" s="1">
        <f>SUMIF([1]Sheet1!$G:$G,A260,[1]Sheet1!$O:$O)</f>
        <v>372.03</v>
      </c>
      <c r="I260" s="21">
        <f t="shared" si="4"/>
        <v>0</v>
      </c>
    </row>
    <row r="261" spans="1:9" x14ac:dyDescent="0.25">
      <c r="A261" s="18" t="s">
        <v>10818</v>
      </c>
      <c r="B261" s="4" t="s">
        <v>1881</v>
      </c>
      <c r="C261" s="4" t="s">
        <v>418</v>
      </c>
      <c r="D261" s="4" t="s">
        <v>3290</v>
      </c>
      <c r="E261" s="9">
        <v>4.4000000000000004</v>
      </c>
      <c r="F261" s="9">
        <v>4.4000000000000004</v>
      </c>
      <c r="G261" s="1" t="s">
        <v>10819</v>
      </c>
      <c r="H261" s="1">
        <f>SUMIF([1]Sheet1!$G:$G,A261,[1]Sheet1!$O:$O)</f>
        <v>4.4000000000000004</v>
      </c>
      <c r="I261" s="21">
        <f t="shared" si="4"/>
        <v>0</v>
      </c>
    </row>
    <row r="262" spans="1:9" x14ac:dyDescent="0.25">
      <c r="A262" s="18" t="s">
        <v>9060</v>
      </c>
      <c r="B262" s="4" t="s">
        <v>1882</v>
      </c>
      <c r="C262" s="4" t="s">
        <v>419</v>
      </c>
      <c r="D262" s="4" t="s">
        <v>3290</v>
      </c>
      <c r="E262" s="9">
        <v>156.78</v>
      </c>
      <c r="F262" s="9">
        <v>313.56</v>
      </c>
      <c r="G262" s="1" t="s">
        <v>9061</v>
      </c>
      <c r="H262" s="1">
        <f>SUMIF([1]Sheet1!$G:$G,A262,[1]Sheet1!$O:$O)</f>
        <v>313.56</v>
      </c>
      <c r="I262" s="21">
        <f t="shared" si="4"/>
        <v>0</v>
      </c>
    </row>
    <row r="263" spans="1:9" x14ac:dyDescent="0.25">
      <c r="A263" s="18" t="s">
        <v>6003</v>
      </c>
      <c r="B263" s="4" t="s">
        <v>3107</v>
      </c>
      <c r="C263" s="4" t="s">
        <v>420</v>
      </c>
      <c r="D263" s="4" t="s">
        <v>3290</v>
      </c>
      <c r="E263" s="9">
        <v>18127.12</v>
      </c>
      <c r="F263" s="9">
        <v>18127.12</v>
      </c>
      <c r="G263" s="1" t="s">
        <v>6006</v>
      </c>
      <c r="H263" s="1">
        <f>SUMIF([1]Sheet1!$G:$G,A263,[1]Sheet1!$O:$O)</f>
        <v>18127.12</v>
      </c>
      <c r="I263" s="21">
        <f t="shared" si="4"/>
        <v>0</v>
      </c>
    </row>
    <row r="264" spans="1:9" x14ac:dyDescent="0.25">
      <c r="A264" s="18" t="s">
        <v>10493</v>
      </c>
      <c r="B264" s="4" t="s">
        <v>1883</v>
      </c>
      <c r="C264" s="4" t="s">
        <v>421</v>
      </c>
      <c r="D264" s="4" t="s">
        <v>3290</v>
      </c>
      <c r="E264" s="9">
        <v>68.585357142857148</v>
      </c>
      <c r="F264" s="9">
        <v>1920.39</v>
      </c>
      <c r="G264" s="1" t="s">
        <v>10496</v>
      </c>
      <c r="H264" s="1">
        <f>SUMIF([1]Sheet1!$G:$G,A264,[1]Sheet1!$O:$O)</f>
        <v>1920.39</v>
      </c>
      <c r="I264" s="21">
        <f t="shared" si="4"/>
        <v>0</v>
      </c>
    </row>
    <row r="265" spans="1:9" x14ac:dyDescent="0.25">
      <c r="A265" s="18" t="s">
        <v>3353</v>
      </c>
      <c r="B265" s="4" t="s">
        <v>3108</v>
      </c>
      <c r="C265" s="4" t="s">
        <v>422</v>
      </c>
      <c r="D265" s="4" t="s">
        <v>3290</v>
      </c>
      <c r="E265" s="9">
        <v>312.74799999999999</v>
      </c>
      <c r="F265" s="9">
        <v>4691.22</v>
      </c>
      <c r="G265" s="1" t="s">
        <v>3356</v>
      </c>
      <c r="H265" s="1">
        <f>SUMIF([1]Sheet1!$G:$G,A265,[1]Sheet1!$O:$O)</f>
        <v>4691.22</v>
      </c>
      <c r="I265" s="21">
        <f t="shared" si="4"/>
        <v>0</v>
      </c>
    </row>
    <row r="266" spans="1:9" x14ac:dyDescent="0.25">
      <c r="A266" s="18" t="s">
        <v>9915</v>
      </c>
      <c r="B266" s="4" t="s">
        <v>1884</v>
      </c>
      <c r="C266" s="4" t="s">
        <v>423</v>
      </c>
      <c r="D266" s="4" t="s">
        <v>3290</v>
      </c>
      <c r="E266" s="9">
        <v>80.536769230769238</v>
      </c>
      <c r="F266" s="9">
        <v>5234.8900000000003</v>
      </c>
      <c r="G266" s="1" t="s">
        <v>9916</v>
      </c>
      <c r="H266" s="1">
        <f>SUMIF([1]Sheet1!$G:$G,A266,[1]Sheet1!$O:$O)</f>
        <v>4912.74</v>
      </c>
      <c r="I266" s="21">
        <f t="shared" si="4"/>
        <v>322.15000000000055</v>
      </c>
    </row>
    <row r="267" spans="1:9" x14ac:dyDescent="0.25">
      <c r="A267" s="18" t="s">
        <v>8770</v>
      </c>
      <c r="B267" s="4" t="s">
        <v>3109</v>
      </c>
      <c r="C267" s="4" t="s">
        <v>424</v>
      </c>
      <c r="D267" s="4" t="s">
        <v>3290</v>
      </c>
      <c r="E267" s="9">
        <v>31969.518571428573</v>
      </c>
      <c r="F267" s="9">
        <v>223786.63</v>
      </c>
      <c r="G267" s="1" t="s">
        <v>8771</v>
      </c>
      <c r="H267" s="1">
        <f>SUMIF([1]Sheet1!$G:$G,A267,[1]Sheet1!$O:$O)</f>
        <v>223786.63</v>
      </c>
      <c r="I267" s="21">
        <f t="shared" si="4"/>
        <v>0</v>
      </c>
    </row>
    <row r="268" spans="1:9" x14ac:dyDescent="0.25">
      <c r="A268" s="18" t="s">
        <v>5660</v>
      </c>
      <c r="B268" s="4" t="s">
        <v>3110</v>
      </c>
      <c r="C268" s="4" t="s">
        <v>425</v>
      </c>
      <c r="D268" s="4" t="s">
        <v>3290</v>
      </c>
      <c r="E268" s="9">
        <v>3877.04</v>
      </c>
      <c r="F268" s="9">
        <v>3877.04</v>
      </c>
      <c r="G268" s="1" t="s">
        <v>5661</v>
      </c>
      <c r="H268" s="1">
        <f>SUMIF([1]Sheet1!$G:$G,A268,[1]Sheet1!$O:$O)</f>
        <v>3877.04</v>
      </c>
      <c r="I268" s="21">
        <f t="shared" si="4"/>
        <v>0</v>
      </c>
    </row>
    <row r="269" spans="1:9" x14ac:dyDescent="0.25">
      <c r="A269" s="18" t="s">
        <v>7528</v>
      </c>
      <c r="B269" s="4" t="s">
        <v>3111</v>
      </c>
      <c r="C269" s="4" t="s">
        <v>426</v>
      </c>
      <c r="D269" s="4" t="s">
        <v>3290</v>
      </c>
      <c r="E269" s="9">
        <v>8409.6299999999992</v>
      </c>
      <c r="F269" s="9">
        <v>8409.6299999999992</v>
      </c>
      <c r="G269" s="1" t="s">
        <v>7529</v>
      </c>
      <c r="H269" s="1">
        <f>SUMIF([1]Sheet1!$G:$G,A269,[1]Sheet1!$O:$O)</f>
        <v>8409.6299999999992</v>
      </c>
      <c r="I269" s="21">
        <f t="shared" si="4"/>
        <v>0</v>
      </c>
    </row>
    <row r="270" spans="1:9" x14ac:dyDescent="0.25">
      <c r="A270" s="18" t="s">
        <v>4100</v>
      </c>
      <c r="B270" s="4" t="s">
        <v>1885</v>
      </c>
      <c r="C270" s="4" t="s">
        <v>427</v>
      </c>
      <c r="D270" s="4" t="s">
        <v>3290</v>
      </c>
      <c r="E270" s="9">
        <v>17.126842105263158</v>
      </c>
      <c r="F270" s="9">
        <v>325.41000000000003</v>
      </c>
      <c r="G270" s="1" t="s">
        <v>4101</v>
      </c>
      <c r="H270" s="1">
        <f>SUMIF([1]Sheet1!$G:$G,A270,[1]Sheet1!$O:$O)</f>
        <v>325.41000000000003</v>
      </c>
      <c r="I270" s="21">
        <f t="shared" si="4"/>
        <v>0</v>
      </c>
    </row>
    <row r="271" spans="1:9" x14ac:dyDescent="0.25">
      <c r="A271" s="18" t="s">
        <v>5795</v>
      </c>
      <c r="B271" s="4" t="s">
        <v>1886</v>
      </c>
      <c r="C271" s="4" t="s">
        <v>428</v>
      </c>
      <c r="D271" s="4" t="s">
        <v>3289</v>
      </c>
      <c r="E271" s="9">
        <v>14.198238341968914</v>
      </c>
      <c r="F271" s="9">
        <v>2740.26</v>
      </c>
      <c r="G271" s="1" t="s">
        <v>5796</v>
      </c>
      <c r="H271" s="1">
        <f>SUMIF([1]Sheet1!$G:$G,A271,[1]Sheet1!$O:$O)</f>
        <v>2740.25</v>
      </c>
      <c r="I271" s="21">
        <f t="shared" si="4"/>
        <v>1.0000000000218279E-2</v>
      </c>
    </row>
    <row r="272" spans="1:9" x14ac:dyDescent="0.25">
      <c r="A272" s="18" t="s">
        <v>9785</v>
      </c>
      <c r="B272" s="4" t="s">
        <v>1887</v>
      </c>
      <c r="C272" s="4" t="s">
        <v>429</v>
      </c>
      <c r="D272" s="4" t="s">
        <v>3290</v>
      </c>
      <c r="E272" s="9">
        <v>3.3835387323943662</v>
      </c>
      <c r="F272" s="9">
        <v>7687.4</v>
      </c>
      <c r="G272" s="1" t="s">
        <v>9786</v>
      </c>
      <c r="H272" s="1">
        <f>SUMIF([1]Sheet1!$G:$G,A272,[1]Sheet1!$O:$O)</f>
        <v>7687.31</v>
      </c>
      <c r="I272" s="21">
        <f t="shared" si="4"/>
        <v>8.9999999999236024E-2</v>
      </c>
    </row>
    <row r="273" spans="1:9" x14ac:dyDescent="0.25">
      <c r="A273" s="18" t="s">
        <v>9611</v>
      </c>
      <c r="B273" s="4" t="s">
        <v>1888</v>
      </c>
      <c r="C273" s="4" t="s">
        <v>430</v>
      </c>
      <c r="D273" s="4" t="s">
        <v>3290</v>
      </c>
      <c r="E273" s="9">
        <v>1.9383809523809523</v>
      </c>
      <c r="F273" s="9">
        <v>203.53</v>
      </c>
      <c r="G273" s="1" t="s">
        <v>9612</v>
      </c>
      <c r="H273" s="1">
        <f>SUMIF([1]Sheet1!$G:$G,A273,[1]Sheet1!$O:$O)</f>
        <v>203.53</v>
      </c>
      <c r="I273" s="21">
        <f t="shared" si="4"/>
        <v>0</v>
      </c>
    </row>
    <row r="274" spans="1:9" x14ac:dyDescent="0.25">
      <c r="A274" s="18" t="s">
        <v>10887</v>
      </c>
      <c r="B274" s="4" t="s">
        <v>1889</v>
      </c>
      <c r="C274" s="4" t="s">
        <v>431</v>
      </c>
      <c r="D274" s="4" t="s">
        <v>3294</v>
      </c>
      <c r="E274" s="9">
        <v>1893.7982905982906</v>
      </c>
      <c r="F274" s="9">
        <v>27696.799999999999</v>
      </c>
      <c r="G274" s="1" t="s">
        <v>10888</v>
      </c>
      <c r="H274" s="1">
        <f>SUMIF([1]Sheet1!$G:$G,A274,[1]Sheet1!$O:$O)</f>
        <v>27696.799999999999</v>
      </c>
      <c r="I274" s="21">
        <f t="shared" si="4"/>
        <v>0</v>
      </c>
    </row>
    <row r="275" spans="1:9" x14ac:dyDescent="0.25">
      <c r="A275" s="18" t="s">
        <v>8955</v>
      </c>
      <c r="B275" s="4" t="s">
        <v>1890</v>
      </c>
      <c r="C275" s="4" t="s">
        <v>432</v>
      </c>
      <c r="D275" s="4" t="s">
        <v>3290</v>
      </c>
      <c r="E275" s="9">
        <v>46.731666666666662</v>
      </c>
      <c r="F275" s="9">
        <v>280.39</v>
      </c>
      <c r="G275" s="1" t="s">
        <v>8956</v>
      </c>
      <c r="H275" s="1">
        <f>SUMIF([1]Sheet1!$G:$G,A275,[1]Sheet1!$O:$O)</f>
        <v>280.39</v>
      </c>
      <c r="I275" s="21">
        <f t="shared" si="4"/>
        <v>0</v>
      </c>
    </row>
    <row r="276" spans="1:9" x14ac:dyDescent="0.25">
      <c r="A276" s="18" t="s">
        <v>6263</v>
      </c>
      <c r="B276" s="4" t="s">
        <v>3112</v>
      </c>
      <c r="C276" s="4" t="s">
        <v>433</v>
      </c>
      <c r="D276" s="4" t="s">
        <v>3290</v>
      </c>
      <c r="E276" s="9">
        <v>500</v>
      </c>
      <c r="F276" s="9">
        <v>3500</v>
      </c>
      <c r="G276" s="1" t="s">
        <v>6266</v>
      </c>
      <c r="H276" s="1">
        <f>SUMIF([1]Sheet1!$G:$G,A276,[1]Sheet1!$O:$O)</f>
        <v>3500</v>
      </c>
      <c r="I276" s="21">
        <f t="shared" si="4"/>
        <v>0</v>
      </c>
    </row>
    <row r="277" spans="1:9" x14ac:dyDescent="0.25">
      <c r="A277" s="18" t="s">
        <v>8237</v>
      </c>
      <c r="B277" s="4" t="s">
        <v>1891</v>
      </c>
      <c r="C277" s="4" t="s">
        <v>434</v>
      </c>
      <c r="D277" s="4" t="s">
        <v>3290</v>
      </c>
      <c r="E277" s="9">
        <v>7.043333333333333</v>
      </c>
      <c r="F277" s="9">
        <v>42.26</v>
      </c>
      <c r="G277" s="1" t="s">
        <v>8238</v>
      </c>
      <c r="H277" s="1">
        <f>SUMIF([1]Sheet1!$G:$G,A277,[1]Sheet1!$O:$O)</f>
        <v>42.26</v>
      </c>
      <c r="I277" s="21">
        <f t="shared" si="4"/>
        <v>0</v>
      </c>
    </row>
    <row r="278" spans="1:9" x14ac:dyDescent="0.25">
      <c r="A278" s="18" t="s">
        <v>9314</v>
      </c>
      <c r="B278" s="4" t="s">
        <v>1892</v>
      </c>
      <c r="C278" s="4" t="s">
        <v>435</v>
      </c>
      <c r="D278" s="4" t="s">
        <v>3290</v>
      </c>
      <c r="E278" s="9">
        <v>7.3449999999999998</v>
      </c>
      <c r="F278" s="9">
        <v>14.69</v>
      </c>
      <c r="G278" s="1" t="s">
        <v>9315</v>
      </c>
      <c r="H278" s="1">
        <f>SUMIF([1]Sheet1!$G:$G,A278,[1]Sheet1!$O:$O)</f>
        <v>14.69</v>
      </c>
      <c r="I278" s="21">
        <f t="shared" si="4"/>
        <v>0</v>
      </c>
    </row>
    <row r="279" spans="1:9" x14ac:dyDescent="0.25">
      <c r="A279" s="18" t="s">
        <v>9819</v>
      </c>
      <c r="B279" s="4" t="s">
        <v>1893</v>
      </c>
      <c r="C279" s="4" t="s">
        <v>436</v>
      </c>
      <c r="D279" s="4" t="s">
        <v>3290</v>
      </c>
      <c r="E279" s="9">
        <v>57.647551020408166</v>
      </c>
      <c r="F279" s="9">
        <v>2824.73</v>
      </c>
      <c r="G279" s="1" t="s">
        <v>9820</v>
      </c>
      <c r="H279" s="1">
        <f>SUMIF([1]Sheet1!$G:$G,A279,[1]Sheet1!$O:$O)</f>
        <v>2824.73</v>
      </c>
      <c r="I279" s="21">
        <f t="shared" si="4"/>
        <v>0</v>
      </c>
    </row>
    <row r="280" spans="1:9" x14ac:dyDescent="0.25">
      <c r="A280" s="18" t="s">
        <v>4301</v>
      </c>
      <c r="B280" s="4" t="s">
        <v>1894</v>
      </c>
      <c r="C280" s="4" t="s">
        <v>437</v>
      </c>
      <c r="D280" s="4" t="s">
        <v>3291</v>
      </c>
      <c r="E280" s="9">
        <v>3.2627027027027027</v>
      </c>
      <c r="F280" s="9">
        <v>603.6</v>
      </c>
      <c r="G280" s="1" t="s">
        <v>4302</v>
      </c>
      <c r="H280" s="1">
        <f>SUMIF([1]Sheet1!$G:$G,A280,[1]Sheet1!$O:$O)</f>
        <v>603.6</v>
      </c>
      <c r="I280" s="21">
        <f t="shared" si="4"/>
        <v>0</v>
      </c>
    </row>
    <row r="281" spans="1:9" x14ac:dyDescent="0.25">
      <c r="A281" s="18" t="s">
        <v>11309</v>
      </c>
      <c r="B281" s="4" t="s">
        <v>1895</v>
      </c>
      <c r="C281" s="4" t="s">
        <v>438</v>
      </c>
      <c r="D281" s="4" t="s">
        <v>3290</v>
      </c>
      <c r="E281" s="9">
        <v>25.263999999999999</v>
      </c>
      <c r="F281" s="9">
        <v>252.64</v>
      </c>
      <c r="G281" s="1" t="s">
        <v>11310</v>
      </c>
      <c r="H281" s="1">
        <f>SUMIF([1]Sheet1!$G:$G,A281,[1]Sheet1!$O:$O)</f>
        <v>252.64</v>
      </c>
      <c r="I281" s="21">
        <f t="shared" si="4"/>
        <v>0</v>
      </c>
    </row>
    <row r="282" spans="1:9" x14ac:dyDescent="0.25">
      <c r="A282" s="18" t="s">
        <v>8247</v>
      </c>
      <c r="B282" s="4" t="s">
        <v>1896</v>
      </c>
      <c r="C282" s="4" t="s">
        <v>439</v>
      </c>
      <c r="D282" s="4" t="s">
        <v>3290</v>
      </c>
      <c r="E282" s="9">
        <v>4.3785714285714281</v>
      </c>
      <c r="F282" s="9">
        <v>61.3</v>
      </c>
      <c r="G282" s="1" t="s">
        <v>8248</v>
      </c>
      <c r="H282" s="1">
        <f>SUMIF([1]Sheet1!$G:$G,A282,[1]Sheet1!$O:$O)</f>
        <v>61.3</v>
      </c>
      <c r="I282" s="21">
        <f t="shared" si="4"/>
        <v>0</v>
      </c>
    </row>
    <row r="283" spans="1:9" x14ac:dyDescent="0.25">
      <c r="A283" s="18" t="s">
        <v>4216</v>
      </c>
      <c r="B283" s="4" t="s">
        <v>1897</v>
      </c>
      <c r="C283" s="4" t="s">
        <v>440</v>
      </c>
      <c r="D283" s="4" t="s">
        <v>3290</v>
      </c>
      <c r="E283" s="9">
        <v>2.1558333333333333</v>
      </c>
      <c r="F283" s="9">
        <v>129.35</v>
      </c>
      <c r="G283" s="1" t="s">
        <v>4217</v>
      </c>
      <c r="H283" s="1">
        <f>SUMIF([1]Sheet1!$G:$G,A283,[1]Sheet1!$O:$O)</f>
        <v>129.35</v>
      </c>
      <c r="I283" s="21">
        <f t="shared" si="4"/>
        <v>0</v>
      </c>
    </row>
    <row r="284" spans="1:9" x14ac:dyDescent="0.25">
      <c r="A284" s="18" t="s">
        <v>7593</v>
      </c>
      <c r="B284" s="4" t="s">
        <v>1898</v>
      </c>
      <c r="C284" s="4" t="s">
        <v>441</v>
      </c>
      <c r="D284" s="4" t="s">
        <v>3289</v>
      </c>
      <c r="E284" s="9">
        <v>22.87857142857143</v>
      </c>
      <c r="F284" s="9">
        <v>32.03</v>
      </c>
      <c r="G284" s="1" t="s">
        <v>7594</v>
      </c>
      <c r="H284" s="1">
        <f>SUMIF([1]Sheet1!$G:$G,A284,[1]Sheet1!$O:$O)</f>
        <v>32.03</v>
      </c>
      <c r="I284" s="21">
        <f t="shared" si="4"/>
        <v>0</v>
      </c>
    </row>
    <row r="285" spans="1:9" x14ac:dyDescent="0.25">
      <c r="A285" s="18" t="s">
        <v>7591</v>
      </c>
      <c r="B285" s="4" t="s">
        <v>1899</v>
      </c>
      <c r="C285" s="4" t="s">
        <v>442</v>
      </c>
      <c r="D285" s="4" t="s">
        <v>3289</v>
      </c>
      <c r="E285" s="9">
        <v>4.66</v>
      </c>
      <c r="F285" s="9">
        <v>4.66</v>
      </c>
      <c r="G285" s="1" t="s">
        <v>7592</v>
      </c>
      <c r="H285" s="1">
        <f>SUMIF([1]Sheet1!$G:$G,A285,[1]Sheet1!$O:$O)</f>
        <v>4.66</v>
      </c>
      <c r="I285" s="21">
        <f t="shared" si="4"/>
        <v>0</v>
      </c>
    </row>
    <row r="286" spans="1:9" x14ac:dyDescent="0.25">
      <c r="A286" s="18" t="s">
        <v>6226</v>
      </c>
      <c r="B286" s="4" t="s">
        <v>1900</v>
      </c>
      <c r="C286" s="4" t="s">
        <v>443</v>
      </c>
      <c r="D286" s="4" t="s">
        <v>3290</v>
      </c>
      <c r="E286" s="9">
        <v>6.0385185185185186</v>
      </c>
      <c r="F286" s="9">
        <v>163.04</v>
      </c>
      <c r="G286" s="1" t="s">
        <v>6227</v>
      </c>
      <c r="H286" s="1">
        <f>SUMIF([1]Sheet1!$G:$G,A286,[1]Sheet1!$O:$O)</f>
        <v>163.04</v>
      </c>
      <c r="I286" s="21">
        <f t="shared" si="4"/>
        <v>0</v>
      </c>
    </row>
    <row r="287" spans="1:9" x14ac:dyDescent="0.25">
      <c r="A287" s="18" t="s">
        <v>8772</v>
      </c>
      <c r="B287" s="4" t="s">
        <v>3113</v>
      </c>
      <c r="C287" s="4" t="s">
        <v>444</v>
      </c>
      <c r="D287" s="4" t="s">
        <v>3290</v>
      </c>
      <c r="E287" s="9">
        <v>50492.22</v>
      </c>
      <c r="F287" s="9">
        <v>50492.22</v>
      </c>
      <c r="G287" s="1" t="s">
        <v>8773</v>
      </c>
      <c r="H287" s="1">
        <f>SUMIF([1]Sheet1!$G:$G,A287,[1]Sheet1!$O:$O)</f>
        <v>50492.22</v>
      </c>
      <c r="I287" s="21">
        <f t="shared" si="4"/>
        <v>0</v>
      </c>
    </row>
    <row r="288" spans="1:9" x14ac:dyDescent="0.25">
      <c r="A288" s="18" t="s">
        <v>5917</v>
      </c>
      <c r="B288" s="4" t="s">
        <v>1901</v>
      </c>
      <c r="C288" s="4" t="s">
        <v>445</v>
      </c>
      <c r="D288" s="4" t="s">
        <v>3290</v>
      </c>
      <c r="E288" s="9">
        <v>8.4700000000000006</v>
      </c>
      <c r="F288" s="9">
        <v>8.4700000000000006</v>
      </c>
      <c r="G288" s="1" t="s">
        <v>5920</v>
      </c>
      <c r="H288" s="1">
        <f>SUMIF([1]Sheet1!$G:$G,A288,[1]Sheet1!$O:$O)</f>
        <v>8.4700000000000006</v>
      </c>
      <c r="I288" s="21">
        <f t="shared" si="4"/>
        <v>0</v>
      </c>
    </row>
    <row r="289" spans="1:9" x14ac:dyDescent="0.25">
      <c r="A289" s="18" t="s">
        <v>6961</v>
      </c>
      <c r="B289" s="4" t="s">
        <v>1902</v>
      </c>
      <c r="C289" s="4" t="s">
        <v>446</v>
      </c>
      <c r="D289" s="4" t="s">
        <v>3290</v>
      </c>
      <c r="E289" s="9">
        <v>167.4</v>
      </c>
      <c r="F289" s="9">
        <v>167.4</v>
      </c>
      <c r="G289" s="1" t="s">
        <v>6962</v>
      </c>
      <c r="H289" s="1">
        <f>SUMIF([1]Sheet1!$G:$G,A289,[1]Sheet1!$O:$O)</f>
        <v>167.4</v>
      </c>
      <c r="I289" s="21">
        <f t="shared" si="4"/>
        <v>0</v>
      </c>
    </row>
    <row r="290" spans="1:9" x14ac:dyDescent="0.25">
      <c r="A290" s="18" t="s">
        <v>5617</v>
      </c>
      <c r="B290" s="4" t="s">
        <v>1903</v>
      </c>
      <c r="C290" s="4" t="s">
        <v>447</v>
      </c>
      <c r="D290" s="4" t="s">
        <v>3290</v>
      </c>
      <c r="E290" s="9">
        <v>4.7495238095238097</v>
      </c>
      <c r="F290" s="9">
        <v>199.48000000000002</v>
      </c>
      <c r="G290" s="1" t="s">
        <v>5620</v>
      </c>
      <c r="H290" s="1">
        <f>SUMIF([1]Sheet1!$G:$G,A290,[1]Sheet1!$O:$O)</f>
        <v>0</v>
      </c>
      <c r="I290" s="21">
        <f t="shared" si="4"/>
        <v>199.48000000000002</v>
      </c>
    </row>
    <row r="291" spans="1:9" x14ac:dyDescent="0.25">
      <c r="A291" s="18" t="s">
        <v>4214</v>
      </c>
      <c r="B291" s="4" t="s">
        <v>1904</v>
      </c>
      <c r="C291" s="4" t="s">
        <v>448</v>
      </c>
      <c r="D291" s="4" t="s">
        <v>3290</v>
      </c>
      <c r="E291" s="9">
        <v>12.654085365853659</v>
      </c>
      <c r="F291" s="9">
        <v>2075.27</v>
      </c>
      <c r="G291" s="1" t="s">
        <v>4215</v>
      </c>
      <c r="H291" s="1">
        <f>SUMIF([1]Sheet1!$G:$G,A291,[1]Sheet1!$O:$O)</f>
        <v>2075.27</v>
      </c>
      <c r="I291" s="21">
        <f t="shared" si="4"/>
        <v>0</v>
      </c>
    </row>
    <row r="292" spans="1:9" x14ac:dyDescent="0.25">
      <c r="A292" s="18" t="s">
        <v>3509</v>
      </c>
      <c r="B292" s="4" t="s">
        <v>1905</v>
      </c>
      <c r="C292" s="4" t="s">
        <v>449</v>
      </c>
      <c r="D292" s="4" t="s">
        <v>3290</v>
      </c>
      <c r="E292" s="9">
        <v>186.75333333333333</v>
      </c>
      <c r="F292" s="9">
        <v>560.26</v>
      </c>
      <c r="G292" s="1" t="s">
        <v>3510</v>
      </c>
      <c r="H292" s="1">
        <f>SUMIF([1]Sheet1!$G:$G,A292,[1]Sheet1!$O:$O)</f>
        <v>560.26</v>
      </c>
      <c r="I292" s="21">
        <f t="shared" si="4"/>
        <v>0</v>
      </c>
    </row>
    <row r="293" spans="1:9" x14ac:dyDescent="0.25">
      <c r="A293" s="18" t="s">
        <v>4269</v>
      </c>
      <c r="B293" s="4" t="s">
        <v>1906</v>
      </c>
      <c r="C293" s="4" t="s">
        <v>450</v>
      </c>
      <c r="D293" s="4" t="s">
        <v>3290</v>
      </c>
      <c r="E293" s="9">
        <v>18.676923076923078</v>
      </c>
      <c r="F293" s="9">
        <v>242.8</v>
      </c>
      <c r="G293" s="1" t="s">
        <v>4270</v>
      </c>
      <c r="H293" s="1">
        <f>SUMIF([1]Sheet1!$G:$G,A293,[1]Sheet1!$O:$O)</f>
        <v>242.8</v>
      </c>
      <c r="I293" s="21">
        <f t="shared" si="4"/>
        <v>0</v>
      </c>
    </row>
    <row r="294" spans="1:9" x14ac:dyDescent="0.25">
      <c r="A294" s="18" t="s">
        <v>6914</v>
      </c>
      <c r="B294" s="4" t="s">
        <v>1907</v>
      </c>
      <c r="C294" s="4" t="s">
        <v>451</v>
      </c>
      <c r="D294" s="4" t="s">
        <v>3290</v>
      </c>
      <c r="E294" s="9">
        <v>33.9</v>
      </c>
      <c r="F294" s="9">
        <v>67.8</v>
      </c>
      <c r="G294" s="1" t="s">
        <v>6915</v>
      </c>
      <c r="H294" s="1">
        <f>SUMIF([1]Sheet1!$G:$G,A294,[1]Sheet1!$O:$O)</f>
        <v>67.8</v>
      </c>
      <c r="I294" s="21">
        <f t="shared" si="4"/>
        <v>0</v>
      </c>
    </row>
    <row r="295" spans="1:9" x14ac:dyDescent="0.25">
      <c r="A295" s="18" t="s">
        <v>12017</v>
      </c>
      <c r="B295" s="4" t="s">
        <v>1908</v>
      </c>
      <c r="C295" s="4" t="s">
        <v>452</v>
      </c>
      <c r="D295" s="4" t="s">
        <v>3296</v>
      </c>
      <c r="E295" s="9">
        <v>42.343406593406591</v>
      </c>
      <c r="F295" s="9">
        <v>770.65</v>
      </c>
      <c r="G295" s="1" t="s">
        <v>12018</v>
      </c>
      <c r="H295" s="1">
        <f>SUMIF([1]Sheet1!$G:$G,A295,[1]Sheet1!$O:$O)</f>
        <v>770.65</v>
      </c>
      <c r="I295" s="21">
        <f t="shared" si="4"/>
        <v>0</v>
      </c>
    </row>
    <row r="296" spans="1:9" x14ac:dyDescent="0.25">
      <c r="A296" s="18" t="s">
        <v>10847</v>
      </c>
      <c r="B296" s="4" t="s">
        <v>1909</v>
      </c>
      <c r="C296" s="4" t="s">
        <v>453</v>
      </c>
      <c r="D296" s="4" t="s">
        <v>3290</v>
      </c>
      <c r="E296" s="9">
        <v>93.22</v>
      </c>
      <c r="F296" s="9">
        <v>652.54</v>
      </c>
      <c r="G296" s="1" t="s">
        <v>10848</v>
      </c>
      <c r="H296" s="1">
        <f>SUMIF([1]Sheet1!$G:$G,A296,[1]Sheet1!$O:$O)</f>
        <v>652.54</v>
      </c>
      <c r="I296" s="21">
        <f t="shared" si="4"/>
        <v>0</v>
      </c>
    </row>
    <row r="297" spans="1:9" x14ac:dyDescent="0.25">
      <c r="A297" s="18" t="s">
        <v>4148</v>
      </c>
      <c r="B297" s="4" t="s">
        <v>1910</v>
      </c>
      <c r="C297" s="4" t="s">
        <v>454</v>
      </c>
      <c r="D297" s="4" t="s">
        <v>3289</v>
      </c>
      <c r="E297" s="9">
        <v>0.84499999999999997</v>
      </c>
      <c r="F297" s="9">
        <v>1.69</v>
      </c>
      <c r="G297" s="1" t="s">
        <v>4149</v>
      </c>
      <c r="H297" s="1">
        <f>SUMIF([1]Sheet1!$G:$G,A297,[1]Sheet1!$O:$O)</f>
        <v>1.69</v>
      </c>
      <c r="I297" s="21">
        <f t="shared" si="4"/>
        <v>0</v>
      </c>
    </row>
    <row r="298" spans="1:9" x14ac:dyDescent="0.25">
      <c r="A298" s="18" t="s">
        <v>4303</v>
      </c>
      <c r="B298" s="4" t="s">
        <v>1911</v>
      </c>
      <c r="C298" s="4" t="s">
        <v>455</v>
      </c>
      <c r="D298" s="4" t="s">
        <v>3292</v>
      </c>
      <c r="E298" s="9">
        <v>5.8684166266218165</v>
      </c>
      <c r="F298" s="9">
        <v>4884.87</v>
      </c>
      <c r="G298" s="1" t="s">
        <v>4304</v>
      </c>
      <c r="H298" s="1">
        <f>SUMIF([1]Sheet1!$G:$G,A298,[1]Sheet1!$O:$O)</f>
        <v>4873.12</v>
      </c>
      <c r="I298" s="21">
        <f t="shared" si="4"/>
        <v>11.75</v>
      </c>
    </row>
    <row r="299" spans="1:9" x14ac:dyDescent="0.25">
      <c r="A299" s="18" t="s">
        <v>7048</v>
      </c>
      <c r="B299" s="4" t="s">
        <v>1912</v>
      </c>
      <c r="C299" s="4" t="s">
        <v>456</v>
      </c>
      <c r="D299" s="4" t="s">
        <v>3289</v>
      </c>
      <c r="E299" s="9">
        <v>12.685714285714287</v>
      </c>
      <c r="F299" s="9">
        <v>35.520000000000003</v>
      </c>
      <c r="G299" s="1" t="s">
        <v>7051</v>
      </c>
      <c r="H299" s="1">
        <f>SUMIF([1]Sheet1!$G:$G,A299,[1]Sheet1!$O:$O)</f>
        <v>35.520000000000003</v>
      </c>
      <c r="I299" s="21">
        <f t="shared" si="4"/>
        <v>0</v>
      </c>
    </row>
    <row r="300" spans="1:9" x14ac:dyDescent="0.25">
      <c r="A300" s="18" t="s">
        <v>10205</v>
      </c>
      <c r="B300" s="4" t="s">
        <v>3114</v>
      </c>
      <c r="C300" s="4" t="s">
        <v>457</v>
      </c>
      <c r="D300" s="4" t="s">
        <v>3290</v>
      </c>
      <c r="E300" s="9">
        <v>611.31499999999994</v>
      </c>
      <c r="F300" s="9">
        <v>17116.82</v>
      </c>
      <c r="G300" s="1" t="s">
        <v>10206</v>
      </c>
      <c r="H300" s="1">
        <f>SUMIF([1]Sheet1!$G:$G,A300,[1]Sheet1!$O:$O)</f>
        <v>0.14000000000000001</v>
      </c>
      <c r="I300" s="21">
        <f t="shared" si="4"/>
        <v>17116.68</v>
      </c>
    </row>
    <row r="301" spans="1:9" x14ac:dyDescent="0.25">
      <c r="A301" s="18" t="s">
        <v>11986</v>
      </c>
      <c r="B301" s="4" t="s">
        <v>1913</v>
      </c>
      <c r="C301" s="4" t="s">
        <v>458</v>
      </c>
      <c r="D301" s="4" t="s">
        <v>3290</v>
      </c>
      <c r="E301" s="9">
        <v>1.7829166666666667</v>
      </c>
      <c r="F301" s="9">
        <v>85.58</v>
      </c>
      <c r="G301" s="1" t="s">
        <v>11987</v>
      </c>
      <c r="H301" s="1">
        <f>SUMIF([1]Sheet1!$G:$G,A301,[1]Sheet1!$O:$O)</f>
        <v>85.58</v>
      </c>
      <c r="I301" s="21">
        <f t="shared" si="4"/>
        <v>0</v>
      </c>
    </row>
    <row r="302" spans="1:9" x14ac:dyDescent="0.25">
      <c r="A302" s="18" t="s">
        <v>5576</v>
      </c>
      <c r="B302" s="4" t="s">
        <v>1914</v>
      </c>
      <c r="C302" s="4" t="s">
        <v>459</v>
      </c>
      <c r="D302" s="4" t="s">
        <v>3290</v>
      </c>
      <c r="E302" s="9">
        <v>700</v>
      </c>
      <c r="F302" s="9">
        <v>700</v>
      </c>
      <c r="G302" s="1" t="s">
        <v>5579</v>
      </c>
      <c r="H302" s="1">
        <f>SUMIF([1]Sheet1!$G:$G,A302,[1]Sheet1!$O:$O)</f>
        <v>700</v>
      </c>
      <c r="I302" s="21">
        <f t="shared" si="4"/>
        <v>0</v>
      </c>
    </row>
    <row r="303" spans="1:9" x14ac:dyDescent="0.25">
      <c r="A303" s="18" t="s">
        <v>6185</v>
      </c>
      <c r="B303" s="4" t="s">
        <v>1915</v>
      </c>
      <c r="C303" s="4" t="s">
        <v>460</v>
      </c>
      <c r="D303" s="4" t="s">
        <v>3289</v>
      </c>
      <c r="E303" s="9">
        <v>0.23061475409836069</v>
      </c>
      <c r="F303" s="9">
        <v>281.35000000000002</v>
      </c>
      <c r="G303" s="1" t="s">
        <v>6186</v>
      </c>
      <c r="H303" s="1">
        <f>SUMIF([1]Sheet1!$G:$G,A303,[1]Sheet1!$O:$O)</f>
        <v>281.33</v>
      </c>
      <c r="I303" s="21">
        <f t="shared" si="4"/>
        <v>2.0000000000038654E-2</v>
      </c>
    </row>
    <row r="304" spans="1:9" x14ac:dyDescent="0.25">
      <c r="A304" s="18" t="s">
        <v>5134</v>
      </c>
      <c r="B304" s="4" t="s">
        <v>1916</v>
      </c>
      <c r="C304" s="4" t="s">
        <v>461</v>
      </c>
      <c r="D304" s="4" t="s">
        <v>3290</v>
      </c>
      <c r="E304" s="9">
        <v>80.887522123893817</v>
      </c>
      <c r="F304" s="9">
        <v>9140.2900000000009</v>
      </c>
      <c r="G304" s="1" t="s">
        <v>5137</v>
      </c>
      <c r="H304" s="1">
        <f>SUMIF([1]Sheet1!$G:$G,A304,[1]Sheet1!$O:$O)</f>
        <v>9140.2900000000009</v>
      </c>
      <c r="I304" s="21">
        <f t="shared" si="4"/>
        <v>0</v>
      </c>
    </row>
    <row r="305" spans="1:9" x14ac:dyDescent="0.25">
      <c r="A305" s="18" t="s">
        <v>11059</v>
      </c>
      <c r="B305" s="4" t="s">
        <v>1917</v>
      </c>
      <c r="C305" s="4" t="s">
        <v>462</v>
      </c>
      <c r="D305" s="4" t="s">
        <v>3290</v>
      </c>
      <c r="E305" s="9">
        <v>225.05607142857141</v>
      </c>
      <c r="F305" s="9">
        <v>6301.57</v>
      </c>
      <c r="G305" s="1" t="s">
        <v>11060</v>
      </c>
      <c r="H305" s="1">
        <f>SUMIF([1]Sheet1!$G:$G,A305,[1]Sheet1!$O:$O)</f>
        <v>6301.57</v>
      </c>
      <c r="I305" s="21">
        <f t="shared" si="4"/>
        <v>0</v>
      </c>
    </row>
    <row r="306" spans="1:9" x14ac:dyDescent="0.25">
      <c r="A306" s="18" t="s">
        <v>4131</v>
      </c>
      <c r="B306" s="4" t="s">
        <v>1918</v>
      </c>
      <c r="C306" s="4" t="s">
        <v>463</v>
      </c>
      <c r="D306" s="4" t="s">
        <v>3289</v>
      </c>
      <c r="E306" s="9">
        <v>0.82447368421052625</v>
      </c>
      <c r="F306" s="9">
        <v>31.33</v>
      </c>
      <c r="G306" s="1" t="s">
        <v>4134</v>
      </c>
      <c r="H306" s="1">
        <f>SUMIF([1]Sheet1!$G:$G,A306,[1]Sheet1!$O:$O)</f>
        <v>31.33</v>
      </c>
      <c r="I306" s="21">
        <f t="shared" si="4"/>
        <v>0</v>
      </c>
    </row>
    <row r="307" spans="1:9" x14ac:dyDescent="0.25">
      <c r="A307" s="18" t="s">
        <v>7992</v>
      </c>
      <c r="B307" s="4" t="s">
        <v>1919</v>
      </c>
      <c r="C307" s="4" t="s">
        <v>464</v>
      </c>
      <c r="D307" s="4" t="s">
        <v>3290</v>
      </c>
      <c r="E307" s="9">
        <v>1.27</v>
      </c>
      <c r="F307" s="9">
        <v>1.27</v>
      </c>
      <c r="G307" s="1" t="s">
        <v>7993</v>
      </c>
      <c r="H307" s="1">
        <f>SUMIF([1]Sheet1!$G:$G,A307,[1]Sheet1!$O:$O)</f>
        <v>1.27</v>
      </c>
      <c r="I307" s="21">
        <f t="shared" si="4"/>
        <v>0</v>
      </c>
    </row>
    <row r="308" spans="1:9" x14ac:dyDescent="0.25">
      <c r="A308" s="18" t="s">
        <v>11683</v>
      </c>
      <c r="B308" s="4" t="s">
        <v>1920</v>
      </c>
      <c r="C308" s="4" t="s">
        <v>465</v>
      </c>
      <c r="D308" s="4" t="s">
        <v>3290</v>
      </c>
      <c r="E308" s="9">
        <v>100.23</v>
      </c>
      <c r="F308" s="9">
        <v>100.23</v>
      </c>
      <c r="G308" s="1" t="s">
        <v>11684</v>
      </c>
      <c r="H308" s="1">
        <f>SUMIF([1]Sheet1!$G:$G,A308,[1]Sheet1!$O:$O)</f>
        <v>100.23</v>
      </c>
      <c r="I308" s="21">
        <f t="shared" si="4"/>
        <v>0</v>
      </c>
    </row>
    <row r="309" spans="1:9" x14ac:dyDescent="0.25">
      <c r="A309" s="18" t="s">
        <v>6693</v>
      </c>
      <c r="B309" s="4" t="s">
        <v>1921</v>
      </c>
      <c r="C309" s="4" t="s">
        <v>466</v>
      </c>
      <c r="D309" s="4" t="s">
        <v>3291</v>
      </c>
      <c r="E309" s="9">
        <v>4.8733333333333331</v>
      </c>
      <c r="F309" s="9">
        <v>29.24</v>
      </c>
      <c r="G309" s="1" t="s">
        <v>6694</v>
      </c>
      <c r="H309" s="1">
        <f>SUMIF([1]Sheet1!$G:$G,A309,[1]Sheet1!$O:$O)</f>
        <v>29.24</v>
      </c>
      <c r="I309" s="21">
        <f t="shared" si="4"/>
        <v>0</v>
      </c>
    </row>
    <row r="310" spans="1:9" x14ac:dyDescent="0.25">
      <c r="A310" s="18" t="s">
        <v>7667</v>
      </c>
      <c r="B310" s="4" t="s">
        <v>1922</v>
      </c>
      <c r="C310" s="4" t="s">
        <v>467</v>
      </c>
      <c r="D310" s="4" t="s">
        <v>3290</v>
      </c>
      <c r="E310" s="9">
        <v>39.893749999999997</v>
      </c>
      <c r="F310" s="9">
        <v>319.14999999999998</v>
      </c>
      <c r="G310" s="1" t="s">
        <v>7668</v>
      </c>
      <c r="H310" s="1">
        <f>SUMIF([1]Sheet1!$G:$G,A310,[1]Sheet1!$O:$O)</f>
        <v>319.14999999999998</v>
      </c>
      <c r="I310" s="21">
        <f t="shared" si="4"/>
        <v>0</v>
      </c>
    </row>
    <row r="311" spans="1:9" x14ac:dyDescent="0.25">
      <c r="A311" s="18" t="s">
        <v>10165</v>
      </c>
      <c r="B311" s="4" t="s">
        <v>1923</v>
      </c>
      <c r="C311" s="4" t="s">
        <v>468</v>
      </c>
      <c r="D311" s="4" t="s">
        <v>3290</v>
      </c>
      <c r="E311" s="9">
        <v>245.44</v>
      </c>
      <c r="F311" s="9">
        <v>245.44</v>
      </c>
      <c r="G311" s="1" t="s">
        <v>10166</v>
      </c>
      <c r="H311" s="1">
        <f>SUMIF([1]Sheet1!$G:$G,A311,[1]Sheet1!$O:$O)</f>
        <v>245.44</v>
      </c>
      <c r="I311" s="21">
        <f t="shared" si="4"/>
        <v>0</v>
      </c>
    </row>
    <row r="312" spans="1:9" x14ac:dyDescent="0.25">
      <c r="A312" s="18" t="s">
        <v>4109</v>
      </c>
      <c r="B312" s="4" t="s">
        <v>1924</v>
      </c>
      <c r="C312" s="4" t="s">
        <v>469</v>
      </c>
      <c r="D312" s="4" t="s">
        <v>3290</v>
      </c>
      <c r="E312" s="9">
        <v>8.3603448275862071</v>
      </c>
      <c r="F312" s="9">
        <v>242.45000000000002</v>
      </c>
      <c r="G312" s="1" t="s">
        <v>4110</v>
      </c>
      <c r="H312" s="1">
        <f>SUMIF([1]Sheet1!$G:$G,A312,[1]Sheet1!$O:$O)</f>
        <v>242.45</v>
      </c>
      <c r="I312" s="21">
        <f t="shared" si="4"/>
        <v>0</v>
      </c>
    </row>
    <row r="313" spans="1:9" x14ac:dyDescent="0.25">
      <c r="A313" s="18" t="s">
        <v>10539</v>
      </c>
      <c r="B313" s="4" t="s">
        <v>1925</v>
      </c>
      <c r="C313" s="4" t="s">
        <v>470</v>
      </c>
      <c r="D313" s="4" t="s">
        <v>3290</v>
      </c>
      <c r="E313" s="9">
        <v>21.347357142857142</v>
      </c>
      <c r="F313" s="9">
        <v>8965.89</v>
      </c>
      <c r="G313" s="1" t="s">
        <v>10540</v>
      </c>
      <c r="H313" s="1">
        <f>SUMIF([1]Sheet1!$G:$G,A313,[1]Sheet1!$O:$O)</f>
        <v>8965.91</v>
      </c>
      <c r="I313" s="21">
        <f t="shared" si="4"/>
        <v>-2.0000000000436557E-2</v>
      </c>
    </row>
    <row r="314" spans="1:9" x14ac:dyDescent="0.25">
      <c r="A314" s="18" t="s">
        <v>8278</v>
      </c>
      <c r="B314" s="4" t="s">
        <v>1926</v>
      </c>
      <c r="C314" s="4" t="s">
        <v>471</v>
      </c>
      <c r="D314" s="4" t="s">
        <v>3290</v>
      </c>
      <c r="E314" s="9">
        <v>660.36749999999995</v>
      </c>
      <c r="F314" s="9">
        <v>2641.47</v>
      </c>
      <c r="G314" s="1" t="s">
        <v>8281</v>
      </c>
      <c r="H314" s="1">
        <f>SUMIF([1]Sheet1!$G:$G,A314,[1]Sheet1!$O:$O)</f>
        <v>2641.47</v>
      </c>
      <c r="I314" s="21">
        <f t="shared" si="4"/>
        <v>0</v>
      </c>
    </row>
    <row r="315" spans="1:9" x14ac:dyDescent="0.25">
      <c r="A315" s="18" t="s">
        <v>5724</v>
      </c>
      <c r="B315" s="4" t="s">
        <v>1927</v>
      </c>
      <c r="C315" s="4" t="s">
        <v>472</v>
      </c>
      <c r="D315" s="4" t="s">
        <v>3289</v>
      </c>
      <c r="E315" s="9">
        <v>1.7454838709677418</v>
      </c>
      <c r="F315" s="9">
        <v>54.11</v>
      </c>
      <c r="G315" s="1" t="s">
        <v>5726</v>
      </c>
      <c r="H315" s="1">
        <f>SUMIF([1]Sheet1!$G:$G,A315,[1]Sheet1!$O:$O)</f>
        <v>54.11</v>
      </c>
      <c r="I315" s="21">
        <f t="shared" si="4"/>
        <v>0</v>
      </c>
    </row>
    <row r="316" spans="1:9" x14ac:dyDescent="0.25">
      <c r="A316" s="18" t="s">
        <v>11725</v>
      </c>
      <c r="B316" s="4" t="s">
        <v>1928</v>
      </c>
      <c r="C316" s="4" t="s">
        <v>473</v>
      </c>
      <c r="D316" s="4" t="s">
        <v>3290</v>
      </c>
      <c r="E316" s="9">
        <v>8.0937037037037047</v>
      </c>
      <c r="F316" s="9">
        <v>1092.6500000000001</v>
      </c>
      <c r="G316" s="1" t="s">
        <v>11726</v>
      </c>
      <c r="H316" s="1">
        <f>SUMIF([1]Sheet1!$G:$G,A316,[1]Sheet1!$O:$O)</f>
        <v>1092.6500000000001</v>
      </c>
      <c r="I316" s="21">
        <f t="shared" si="4"/>
        <v>0</v>
      </c>
    </row>
    <row r="317" spans="1:9" x14ac:dyDescent="0.25">
      <c r="A317" s="18" t="s">
        <v>10535</v>
      </c>
      <c r="B317" s="4" t="s">
        <v>1929</v>
      </c>
      <c r="C317" s="4" t="s">
        <v>474</v>
      </c>
      <c r="D317" s="4" t="s">
        <v>3290</v>
      </c>
      <c r="E317" s="9">
        <v>29.661021897810219</v>
      </c>
      <c r="F317" s="9">
        <v>4063.56</v>
      </c>
      <c r="G317" s="1" t="s">
        <v>10536</v>
      </c>
      <c r="H317" s="1">
        <f>SUMIF([1]Sheet1!$G:$G,A317,[1]Sheet1!$O:$O)</f>
        <v>4063.56</v>
      </c>
      <c r="I317" s="21">
        <f t="shared" si="4"/>
        <v>0</v>
      </c>
    </row>
    <row r="318" spans="1:9" x14ac:dyDescent="0.25">
      <c r="A318" s="18" t="s">
        <v>6691</v>
      </c>
      <c r="B318" s="4" t="s">
        <v>1930</v>
      </c>
      <c r="C318" s="4" t="s">
        <v>475</v>
      </c>
      <c r="D318" s="4" t="s">
        <v>3291</v>
      </c>
      <c r="E318" s="9">
        <v>7.8066666666666675</v>
      </c>
      <c r="F318" s="9">
        <v>11.71</v>
      </c>
      <c r="G318" s="1" t="s">
        <v>6692</v>
      </c>
      <c r="H318" s="1">
        <f>SUMIF([1]Sheet1!$G:$G,A318,[1]Sheet1!$O:$O)</f>
        <v>11.71</v>
      </c>
      <c r="I318" s="21">
        <f t="shared" si="4"/>
        <v>0</v>
      </c>
    </row>
    <row r="319" spans="1:9" x14ac:dyDescent="0.25">
      <c r="A319" s="18" t="s">
        <v>11715</v>
      </c>
      <c r="B319" s="4" t="s">
        <v>1931</v>
      </c>
      <c r="C319" s="4" t="s">
        <v>476</v>
      </c>
      <c r="D319" s="4" t="s">
        <v>3290</v>
      </c>
      <c r="E319" s="9">
        <v>33.898333333333333</v>
      </c>
      <c r="F319" s="9">
        <v>610.16999999999996</v>
      </c>
      <c r="G319" s="1" t="s">
        <v>11718</v>
      </c>
      <c r="H319" s="1">
        <f>SUMIF([1]Sheet1!$G:$G,A319,[1]Sheet1!$O:$O)</f>
        <v>610.16999999999996</v>
      </c>
      <c r="I319" s="21">
        <f t="shared" si="4"/>
        <v>0</v>
      </c>
    </row>
    <row r="320" spans="1:9" x14ac:dyDescent="0.25">
      <c r="A320" s="18" t="s">
        <v>4352</v>
      </c>
      <c r="B320" s="4" t="s">
        <v>1932</v>
      </c>
      <c r="C320" s="4" t="s">
        <v>477</v>
      </c>
      <c r="D320" s="4" t="s">
        <v>3290</v>
      </c>
      <c r="E320" s="9">
        <v>19.62</v>
      </c>
      <c r="F320" s="9">
        <v>39.24</v>
      </c>
      <c r="G320" s="1" t="s">
        <v>4355</v>
      </c>
      <c r="H320" s="1">
        <f>SUMIF([1]Sheet1!$G:$G,A320,[1]Sheet1!$O:$O)</f>
        <v>39.24</v>
      </c>
      <c r="I320" s="21">
        <f t="shared" si="4"/>
        <v>0</v>
      </c>
    </row>
    <row r="321" spans="1:9" x14ac:dyDescent="0.25">
      <c r="A321" s="18" t="s">
        <v>5615</v>
      </c>
      <c r="B321" s="4" t="s">
        <v>1933</v>
      </c>
      <c r="C321" s="4" t="s">
        <v>478</v>
      </c>
      <c r="D321" s="4" t="s">
        <v>3290</v>
      </c>
      <c r="E321" s="9">
        <v>144.07</v>
      </c>
      <c r="F321" s="9">
        <v>144.07</v>
      </c>
      <c r="G321" s="1" t="s">
        <v>5616</v>
      </c>
      <c r="H321" s="1">
        <f>SUMIF([1]Sheet1!$G:$G,A321,[1]Sheet1!$O:$O)</f>
        <v>144.07</v>
      </c>
      <c r="I321" s="21">
        <f t="shared" si="4"/>
        <v>0</v>
      </c>
    </row>
    <row r="322" spans="1:9" x14ac:dyDescent="0.25">
      <c r="A322" s="18" t="s">
        <v>9855</v>
      </c>
      <c r="B322" s="4" t="s">
        <v>1934</v>
      </c>
      <c r="C322" s="4" t="s">
        <v>479</v>
      </c>
      <c r="D322" s="4" t="s">
        <v>3290</v>
      </c>
      <c r="E322" s="9">
        <v>2.4610294117647058</v>
      </c>
      <c r="F322" s="9">
        <v>167.35</v>
      </c>
      <c r="G322" s="1" t="s">
        <v>9856</v>
      </c>
      <c r="H322" s="1">
        <f>SUMIF([1]Sheet1!$G:$G,A322,[1]Sheet1!$O:$O)</f>
        <v>167.35</v>
      </c>
      <c r="I322" s="21">
        <f t="shared" si="4"/>
        <v>0</v>
      </c>
    </row>
    <row r="323" spans="1:9" x14ac:dyDescent="0.25">
      <c r="A323" s="18" t="s">
        <v>7037</v>
      </c>
      <c r="B323" s="4" t="s">
        <v>1935</v>
      </c>
      <c r="C323" s="4" t="s">
        <v>480</v>
      </c>
      <c r="D323" s="4" t="s">
        <v>3289</v>
      </c>
      <c r="E323" s="9">
        <v>19.733571428571427</v>
      </c>
      <c r="F323" s="9">
        <v>1381.35</v>
      </c>
      <c r="G323" s="1" t="s">
        <v>7038</v>
      </c>
      <c r="H323" s="1">
        <f>SUMIF([1]Sheet1!$G:$G,A323,[1]Sheet1!$O:$O)</f>
        <v>1381.35</v>
      </c>
      <c r="I323" s="21">
        <f t="shared" ref="I323:I386" si="5">F323-H323</f>
        <v>0</v>
      </c>
    </row>
    <row r="324" spans="1:9" x14ac:dyDescent="0.25">
      <c r="A324" s="18" t="s">
        <v>10230</v>
      </c>
      <c r="B324" s="4" t="s">
        <v>3115</v>
      </c>
      <c r="C324" s="4" t="s">
        <v>481</v>
      </c>
      <c r="D324" s="4" t="s">
        <v>3290</v>
      </c>
      <c r="E324" s="9">
        <v>1480.1258333333333</v>
      </c>
      <c r="F324" s="9">
        <v>71046.039999999994</v>
      </c>
      <c r="G324" s="1" t="s">
        <v>10231</v>
      </c>
      <c r="H324" s="1">
        <f>SUMIF([1]Sheet1!$G:$G,A324,[1]Sheet1!$O:$O)</f>
        <v>71046.039999999994</v>
      </c>
      <c r="I324" s="21">
        <f t="shared" si="5"/>
        <v>0</v>
      </c>
    </row>
    <row r="325" spans="1:9" x14ac:dyDescent="0.25">
      <c r="A325" s="18" t="s">
        <v>11295</v>
      </c>
      <c r="B325" s="4" t="s">
        <v>1936</v>
      </c>
      <c r="C325" s="4" t="s">
        <v>482</v>
      </c>
      <c r="D325" s="4" t="s">
        <v>3290</v>
      </c>
      <c r="E325" s="9">
        <v>70.969655172413795</v>
      </c>
      <c r="F325" s="9">
        <v>6174.3600000000006</v>
      </c>
      <c r="G325" s="1" t="s">
        <v>11296</v>
      </c>
      <c r="H325" s="1">
        <f>SUMIF([1]Sheet1!$G:$G,A325,[1]Sheet1!$O:$O)</f>
        <v>6174.36</v>
      </c>
      <c r="I325" s="21">
        <f t="shared" si="5"/>
        <v>0</v>
      </c>
    </row>
    <row r="326" spans="1:9" x14ac:dyDescent="0.25">
      <c r="A326" s="18" t="s">
        <v>11737</v>
      </c>
      <c r="B326" s="4" t="s">
        <v>1937</v>
      </c>
      <c r="C326" s="4" t="s">
        <v>483</v>
      </c>
      <c r="D326" s="4" t="s">
        <v>3290</v>
      </c>
      <c r="E326" s="9">
        <v>117.47499999999999</v>
      </c>
      <c r="F326" s="9">
        <v>234.95</v>
      </c>
      <c r="G326" s="1" t="s">
        <v>11738</v>
      </c>
      <c r="H326" s="1">
        <f>SUMIF([1]Sheet1!$G:$G,A326,[1]Sheet1!$O:$O)</f>
        <v>234.95</v>
      </c>
      <c r="I326" s="21">
        <f t="shared" si="5"/>
        <v>0</v>
      </c>
    </row>
    <row r="327" spans="1:9" x14ac:dyDescent="0.25">
      <c r="A327" s="18" t="s">
        <v>7725</v>
      </c>
      <c r="B327" s="4" t="s">
        <v>1938</v>
      </c>
      <c r="C327" s="4" t="s">
        <v>484</v>
      </c>
      <c r="D327" s="4" t="s">
        <v>3290</v>
      </c>
      <c r="E327" s="9">
        <v>6.7799999999999994</v>
      </c>
      <c r="F327" s="9">
        <v>33.9</v>
      </c>
      <c r="G327" s="1" t="s">
        <v>7726</v>
      </c>
      <c r="H327" s="1">
        <f>SUMIF([1]Sheet1!$G:$G,A327,[1]Sheet1!$O:$O)</f>
        <v>33.9</v>
      </c>
      <c r="I327" s="21">
        <f t="shared" si="5"/>
        <v>0</v>
      </c>
    </row>
    <row r="328" spans="1:9" x14ac:dyDescent="0.25">
      <c r="A328" s="18" t="s">
        <v>4122</v>
      </c>
      <c r="B328" s="4" t="s">
        <v>1939</v>
      </c>
      <c r="C328" s="4" t="s">
        <v>485</v>
      </c>
      <c r="D328" s="4" t="s">
        <v>3290</v>
      </c>
      <c r="E328" s="9">
        <v>4.683744292237443</v>
      </c>
      <c r="F328" s="9">
        <v>1025.74</v>
      </c>
      <c r="G328" s="1" t="s">
        <v>4123</v>
      </c>
      <c r="H328" s="1">
        <f>SUMIF([1]Sheet1!$G:$G,A328,[1]Sheet1!$O:$O)</f>
        <v>941.42</v>
      </c>
      <c r="I328" s="21">
        <f t="shared" si="5"/>
        <v>84.32000000000005</v>
      </c>
    </row>
    <row r="329" spans="1:9" x14ac:dyDescent="0.25">
      <c r="A329" s="18" t="s">
        <v>6782</v>
      </c>
      <c r="B329" s="4" t="s">
        <v>1940</v>
      </c>
      <c r="C329" s="4" t="s">
        <v>486</v>
      </c>
      <c r="D329" s="4" t="s">
        <v>3289</v>
      </c>
      <c r="E329" s="9">
        <v>0.21186086956521738</v>
      </c>
      <c r="F329" s="9">
        <v>487.28</v>
      </c>
      <c r="G329" s="1" t="s">
        <v>6783</v>
      </c>
      <c r="H329" s="1">
        <f>SUMIF([1]Sheet1!$G:$G,A329,[1]Sheet1!$O:$O)</f>
        <v>434.4</v>
      </c>
      <c r="I329" s="21">
        <f t="shared" si="5"/>
        <v>52.879999999999995</v>
      </c>
    </row>
    <row r="330" spans="1:9" x14ac:dyDescent="0.25">
      <c r="A330" s="18" t="s">
        <v>6701</v>
      </c>
      <c r="B330" s="4" t="s">
        <v>1941</v>
      </c>
      <c r="C330" s="4" t="s">
        <v>487</v>
      </c>
      <c r="D330" s="4" t="s">
        <v>3290</v>
      </c>
      <c r="E330" s="9">
        <v>0.49261764705882349</v>
      </c>
      <c r="F330" s="9">
        <v>5192.1899999999996</v>
      </c>
      <c r="G330" s="1" t="s">
        <v>6702</v>
      </c>
      <c r="H330" s="1">
        <f>SUMIF([1]Sheet1!$G:$G,A330,[1]Sheet1!$O:$O)</f>
        <v>5142.74</v>
      </c>
      <c r="I330" s="21">
        <f t="shared" si="5"/>
        <v>49.449999999999818</v>
      </c>
    </row>
    <row r="331" spans="1:9" x14ac:dyDescent="0.25">
      <c r="A331" s="18" t="s">
        <v>6267</v>
      </c>
      <c r="B331" s="4" t="s">
        <v>3116</v>
      </c>
      <c r="C331" s="4" t="s">
        <v>488</v>
      </c>
      <c r="D331" s="4" t="s">
        <v>3290</v>
      </c>
      <c r="E331" s="9">
        <v>1228.81</v>
      </c>
      <c r="F331" s="9">
        <v>1228.81</v>
      </c>
      <c r="G331" s="1" t="s">
        <v>6268</v>
      </c>
      <c r="H331" s="1">
        <f>SUMIF([1]Sheet1!$G:$G,A331,[1]Sheet1!$O:$O)</f>
        <v>1228.81</v>
      </c>
      <c r="I331" s="21">
        <f t="shared" si="5"/>
        <v>0</v>
      </c>
    </row>
    <row r="332" spans="1:9" x14ac:dyDescent="0.25">
      <c r="A332" s="18" t="s">
        <v>5701</v>
      </c>
      <c r="B332" s="4" t="s">
        <v>1942</v>
      </c>
      <c r="C332" s="4" t="s">
        <v>489</v>
      </c>
      <c r="D332" s="4" t="s">
        <v>3289</v>
      </c>
      <c r="E332" s="9">
        <v>0.68178787878787883</v>
      </c>
      <c r="F332" s="9">
        <v>224.99</v>
      </c>
      <c r="G332" s="1" t="s">
        <v>5704</v>
      </c>
      <c r="H332" s="1">
        <f>SUMIF([1]Sheet1!$G:$G,A332,[1]Sheet1!$O:$O)</f>
        <v>224.99</v>
      </c>
      <c r="I332" s="21">
        <f t="shared" si="5"/>
        <v>0</v>
      </c>
    </row>
    <row r="333" spans="1:9" x14ac:dyDescent="0.25">
      <c r="A333" s="18" t="s">
        <v>5628</v>
      </c>
      <c r="B333" s="4" t="s">
        <v>1943</v>
      </c>
      <c r="C333" s="4" t="s">
        <v>490</v>
      </c>
      <c r="D333" s="4" t="s">
        <v>3290</v>
      </c>
      <c r="E333" s="9">
        <v>100.31</v>
      </c>
      <c r="F333" s="9">
        <v>902.79</v>
      </c>
      <c r="G333" s="1" t="s">
        <v>5631</v>
      </c>
      <c r="H333" s="1">
        <f>SUMIF([1]Sheet1!$G:$G,A333,[1]Sheet1!$O:$O)</f>
        <v>902.79</v>
      </c>
      <c r="I333" s="21">
        <f t="shared" si="5"/>
        <v>0</v>
      </c>
    </row>
    <row r="334" spans="1:9" x14ac:dyDescent="0.25">
      <c r="A334" s="18" t="s">
        <v>6963</v>
      </c>
      <c r="B334" s="4" t="s">
        <v>1944</v>
      </c>
      <c r="C334" s="4" t="s">
        <v>491</v>
      </c>
      <c r="D334" s="4" t="s">
        <v>3290</v>
      </c>
      <c r="E334" s="9">
        <v>29.224871794871795</v>
      </c>
      <c r="F334" s="9">
        <v>1139.77</v>
      </c>
      <c r="G334" s="1" t="s">
        <v>6964</v>
      </c>
      <c r="H334" s="1">
        <f>SUMIF([1]Sheet1!$G:$G,A334,[1]Sheet1!$O:$O)</f>
        <v>1139.77</v>
      </c>
      <c r="I334" s="21">
        <f t="shared" si="5"/>
        <v>0</v>
      </c>
    </row>
    <row r="335" spans="1:9" x14ac:dyDescent="0.25">
      <c r="A335" s="18" t="s">
        <v>6859</v>
      </c>
      <c r="B335" s="4" t="s">
        <v>3070</v>
      </c>
      <c r="C335" s="4" t="s">
        <v>492</v>
      </c>
      <c r="D335" s="4" t="s">
        <v>3290</v>
      </c>
      <c r="E335" s="9">
        <v>73.948750000000004</v>
      </c>
      <c r="F335" s="9">
        <v>591.59</v>
      </c>
      <c r="G335" s="1" t="s">
        <v>6860</v>
      </c>
      <c r="H335" s="1">
        <f>SUMIF([1]Sheet1!$G:$G,A335,[1]Sheet1!$O:$O)</f>
        <v>591.59</v>
      </c>
      <c r="I335" s="21">
        <f t="shared" si="5"/>
        <v>0</v>
      </c>
    </row>
    <row r="336" spans="1:9" x14ac:dyDescent="0.25">
      <c r="A336" s="18" t="s">
        <v>10676</v>
      </c>
      <c r="B336" s="4" t="s">
        <v>1945</v>
      </c>
      <c r="C336" s="4" t="s">
        <v>493</v>
      </c>
      <c r="D336" s="4" t="s">
        <v>3295</v>
      </c>
      <c r="E336" s="9">
        <v>1096.6953271028037</v>
      </c>
      <c r="F336" s="9">
        <v>8800.98</v>
      </c>
      <c r="G336" s="1" t="s">
        <v>10677</v>
      </c>
      <c r="H336" s="1">
        <f>SUMIF([1]Sheet1!$G:$G,A336,[1]Sheet1!$O:$O)</f>
        <v>8515.84</v>
      </c>
      <c r="I336" s="21">
        <f t="shared" si="5"/>
        <v>285.13999999999942</v>
      </c>
    </row>
    <row r="337" spans="1:9" x14ac:dyDescent="0.25">
      <c r="A337" s="18" t="s">
        <v>7278</v>
      </c>
      <c r="B337" s="4" t="s">
        <v>1946</v>
      </c>
      <c r="C337" s="4" t="s">
        <v>494</v>
      </c>
      <c r="D337" s="4" t="s">
        <v>3289</v>
      </c>
      <c r="E337" s="9">
        <v>4</v>
      </c>
      <c r="F337" s="9">
        <v>6</v>
      </c>
      <c r="G337" s="1" t="s">
        <v>7279</v>
      </c>
      <c r="H337" s="1">
        <f>SUMIF([1]Sheet1!$G:$G,A337,[1]Sheet1!$O:$O)</f>
        <v>6</v>
      </c>
      <c r="I337" s="21">
        <f t="shared" si="5"/>
        <v>0</v>
      </c>
    </row>
    <row r="338" spans="1:9" x14ac:dyDescent="0.25">
      <c r="A338" s="18" t="s">
        <v>5379</v>
      </c>
      <c r="B338" s="4" t="s">
        <v>1947</v>
      </c>
      <c r="C338" s="4" t="s">
        <v>495</v>
      </c>
      <c r="D338" s="4" t="s">
        <v>3290</v>
      </c>
      <c r="E338" s="9">
        <v>1.4833333333333334</v>
      </c>
      <c r="F338" s="9">
        <v>17.8</v>
      </c>
      <c r="G338" s="1" t="s">
        <v>5380</v>
      </c>
      <c r="H338" s="1">
        <f>SUMIF([1]Sheet1!$G:$G,A338,[1]Sheet1!$O:$O)</f>
        <v>17.8</v>
      </c>
      <c r="I338" s="21">
        <f t="shared" si="5"/>
        <v>0</v>
      </c>
    </row>
    <row r="339" spans="1:9" x14ac:dyDescent="0.25">
      <c r="A339" s="18" t="s">
        <v>7543</v>
      </c>
      <c r="B339" s="4" t="s">
        <v>1948</v>
      </c>
      <c r="C339" s="4" t="s">
        <v>496</v>
      </c>
      <c r="D339" s="4" t="s">
        <v>3290</v>
      </c>
      <c r="E339" s="9">
        <v>445.76</v>
      </c>
      <c r="F339" s="9">
        <v>445.76</v>
      </c>
      <c r="G339" s="1" t="s">
        <v>7544</v>
      </c>
      <c r="H339" s="1">
        <f>SUMIF([1]Sheet1!$G:$G,A339,[1]Sheet1!$O:$O)</f>
        <v>445.76</v>
      </c>
      <c r="I339" s="21">
        <f t="shared" si="5"/>
        <v>0</v>
      </c>
    </row>
    <row r="340" spans="1:9" x14ac:dyDescent="0.25">
      <c r="A340" s="18" t="s">
        <v>7547</v>
      </c>
      <c r="B340" s="4" t="s">
        <v>1949</v>
      </c>
      <c r="C340" s="4" t="s">
        <v>497</v>
      </c>
      <c r="D340" s="4" t="s">
        <v>3290</v>
      </c>
      <c r="E340" s="9">
        <v>12.148527607361963</v>
      </c>
      <c r="F340" s="9">
        <v>3960.42</v>
      </c>
      <c r="G340" s="1" t="s">
        <v>7548</v>
      </c>
      <c r="H340" s="1">
        <f>SUMIF([1]Sheet1!$G:$G,A340,[1]Sheet1!$O:$O)</f>
        <v>3960.41</v>
      </c>
      <c r="I340" s="21">
        <f t="shared" si="5"/>
        <v>1.0000000000218279E-2</v>
      </c>
    </row>
    <row r="341" spans="1:9" x14ac:dyDescent="0.25">
      <c r="A341" s="18" t="s">
        <v>5377</v>
      </c>
      <c r="B341" s="4" t="s">
        <v>1950</v>
      </c>
      <c r="C341" s="4" t="s">
        <v>498</v>
      </c>
      <c r="D341" s="4" t="s">
        <v>3290</v>
      </c>
      <c r="E341" s="9">
        <v>19.067499999999999</v>
      </c>
      <c r="F341" s="9">
        <v>228.81</v>
      </c>
      <c r="G341" s="1" t="s">
        <v>5378</v>
      </c>
      <c r="H341" s="1">
        <f>SUMIF([1]Sheet1!$G:$G,A341,[1]Sheet1!$O:$O)</f>
        <v>228.81</v>
      </c>
      <c r="I341" s="21">
        <f t="shared" si="5"/>
        <v>0</v>
      </c>
    </row>
    <row r="342" spans="1:9" x14ac:dyDescent="0.25">
      <c r="A342" s="18" t="s">
        <v>10396</v>
      </c>
      <c r="B342" s="4" t="s">
        <v>1951</v>
      </c>
      <c r="C342" s="4" t="s">
        <v>499</v>
      </c>
      <c r="D342" s="4" t="s">
        <v>3290</v>
      </c>
      <c r="E342" s="9">
        <v>10.338999999999999</v>
      </c>
      <c r="F342" s="9">
        <v>1550.85</v>
      </c>
      <c r="G342" s="1" t="s">
        <v>10397</v>
      </c>
      <c r="H342" s="1">
        <f>SUMIF([1]Sheet1!$G:$G,A342,[1]Sheet1!$O:$O)</f>
        <v>1550.85</v>
      </c>
      <c r="I342" s="21">
        <f t="shared" si="5"/>
        <v>0</v>
      </c>
    </row>
    <row r="343" spans="1:9" x14ac:dyDescent="0.25">
      <c r="A343" s="18" t="s">
        <v>10943</v>
      </c>
      <c r="B343" s="4" t="s">
        <v>1952</v>
      </c>
      <c r="C343" s="4" t="s">
        <v>500</v>
      </c>
      <c r="D343" s="4" t="s">
        <v>3290</v>
      </c>
      <c r="E343" s="9">
        <v>1.6933333333333334</v>
      </c>
      <c r="F343" s="9">
        <v>5.08</v>
      </c>
      <c r="G343" s="1" t="s">
        <v>10944</v>
      </c>
      <c r="H343" s="1">
        <f>SUMIF([1]Sheet1!$G:$G,A343,[1]Sheet1!$O:$O)</f>
        <v>5.08</v>
      </c>
      <c r="I343" s="21">
        <f t="shared" si="5"/>
        <v>0</v>
      </c>
    </row>
    <row r="344" spans="1:9" x14ac:dyDescent="0.25">
      <c r="A344" s="18" t="s">
        <v>8472</v>
      </c>
      <c r="B344" s="4" t="s">
        <v>1953</v>
      </c>
      <c r="C344" s="4" t="s">
        <v>501</v>
      </c>
      <c r="D344" s="4" t="s">
        <v>3290</v>
      </c>
      <c r="E344" s="9">
        <v>14.830615384615385</v>
      </c>
      <c r="F344" s="9">
        <v>963.99</v>
      </c>
      <c r="G344" s="1" t="s">
        <v>8473</v>
      </c>
      <c r="H344" s="1">
        <f>SUMIF([1]Sheet1!$G:$G,A344,[1]Sheet1!$O:$O)</f>
        <v>963.99</v>
      </c>
      <c r="I344" s="21">
        <f t="shared" si="5"/>
        <v>0</v>
      </c>
    </row>
    <row r="345" spans="1:9" x14ac:dyDescent="0.25">
      <c r="A345" s="18" t="s">
        <v>8470</v>
      </c>
      <c r="B345" s="4" t="s">
        <v>1954</v>
      </c>
      <c r="C345" s="4" t="s">
        <v>502</v>
      </c>
      <c r="D345" s="4" t="s">
        <v>3290</v>
      </c>
      <c r="E345" s="9">
        <v>5.7203076923076921</v>
      </c>
      <c r="F345" s="9">
        <v>371.82</v>
      </c>
      <c r="G345" s="1" t="s">
        <v>8471</v>
      </c>
      <c r="H345" s="1">
        <f>SUMIF([1]Sheet1!$G:$G,A345,[1]Sheet1!$O:$O)</f>
        <v>371.82</v>
      </c>
      <c r="I345" s="21">
        <f t="shared" si="5"/>
        <v>0</v>
      </c>
    </row>
    <row r="346" spans="1:9" x14ac:dyDescent="0.25">
      <c r="A346" s="18" t="s">
        <v>11253</v>
      </c>
      <c r="B346" s="4" t="s">
        <v>1955</v>
      </c>
      <c r="C346" s="4" t="s">
        <v>503</v>
      </c>
      <c r="D346" s="4" t="s">
        <v>3292</v>
      </c>
      <c r="E346" s="9">
        <v>20.544937965260548</v>
      </c>
      <c r="F346" s="9">
        <v>8279.61</v>
      </c>
      <c r="G346" s="1" t="s">
        <v>11254</v>
      </c>
      <c r="H346" s="1">
        <f>SUMIF([1]Sheet1!$G:$G,A346,[1]Sheet1!$O:$O)</f>
        <v>8279.59</v>
      </c>
      <c r="I346" s="21">
        <f t="shared" si="5"/>
        <v>2.0000000000436557E-2</v>
      </c>
    </row>
    <row r="347" spans="1:9" x14ac:dyDescent="0.25">
      <c r="A347" s="18" t="s">
        <v>3720</v>
      </c>
      <c r="B347" s="4" t="s">
        <v>1956</v>
      </c>
      <c r="C347" s="4" t="s">
        <v>504</v>
      </c>
      <c r="D347" s="4" t="s">
        <v>3290</v>
      </c>
      <c r="E347" s="9">
        <v>316.05458333333337</v>
      </c>
      <c r="F347" s="9">
        <v>7585.3100000000013</v>
      </c>
      <c r="G347" s="1" t="s">
        <v>3721</v>
      </c>
      <c r="H347" s="1">
        <f>SUMIF([1]Sheet1!$G:$G,A347,[1]Sheet1!$O:$O)</f>
        <v>7585.31</v>
      </c>
      <c r="I347" s="21">
        <f t="shared" si="5"/>
        <v>0</v>
      </c>
    </row>
    <row r="348" spans="1:9" x14ac:dyDescent="0.25">
      <c r="A348" s="18" t="s">
        <v>3754</v>
      </c>
      <c r="B348" s="4" t="s">
        <v>1957</v>
      </c>
      <c r="C348" s="4" t="s">
        <v>505</v>
      </c>
      <c r="D348" s="4" t="s">
        <v>3290</v>
      </c>
      <c r="E348" s="9">
        <v>1294.5273076923077</v>
      </c>
      <c r="F348" s="9">
        <v>33657.71</v>
      </c>
      <c r="G348" s="1" t="s">
        <v>3755</v>
      </c>
      <c r="H348" s="1">
        <f>SUMIF([1]Sheet1!$G:$G,A348,[1]Sheet1!$O:$O)</f>
        <v>32363.18</v>
      </c>
      <c r="I348" s="21">
        <f t="shared" si="5"/>
        <v>1294.5299999999988</v>
      </c>
    </row>
    <row r="349" spans="1:9" x14ac:dyDescent="0.25">
      <c r="A349" s="18" t="s">
        <v>3741</v>
      </c>
      <c r="B349" s="4" t="s">
        <v>1958</v>
      </c>
      <c r="C349" s="4" t="s">
        <v>506</v>
      </c>
      <c r="D349" s="4" t="s">
        <v>3290</v>
      </c>
      <c r="E349" s="9">
        <v>399.0757142857143</v>
      </c>
      <c r="F349" s="9">
        <v>5587.06</v>
      </c>
      <c r="G349" s="1" t="s">
        <v>3742</v>
      </c>
      <c r="H349" s="1">
        <f>SUMIF([1]Sheet1!$G:$G,A349,[1]Sheet1!$O:$O)</f>
        <v>5587.06</v>
      </c>
      <c r="I349" s="21">
        <f t="shared" si="5"/>
        <v>0</v>
      </c>
    </row>
    <row r="350" spans="1:9" x14ac:dyDescent="0.25">
      <c r="A350" s="18" t="s">
        <v>3909</v>
      </c>
      <c r="B350" s="4" t="s">
        <v>1959</v>
      </c>
      <c r="C350" s="4" t="s">
        <v>507</v>
      </c>
      <c r="D350" s="4" t="s">
        <v>3290</v>
      </c>
      <c r="E350" s="9">
        <v>27.12</v>
      </c>
      <c r="F350" s="9">
        <v>27.12</v>
      </c>
      <c r="G350" s="1" t="s">
        <v>3910</v>
      </c>
      <c r="H350" s="1">
        <f>SUMIF([1]Sheet1!$G:$G,A350,[1]Sheet1!$O:$O)</f>
        <v>27.12</v>
      </c>
      <c r="I350" s="21">
        <f t="shared" si="5"/>
        <v>0</v>
      </c>
    </row>
    <row r="351" spans="1:9" x14ac:dyDescent="0.25">
      <c r="A351" s="18" t="s">
        <v>3526</v>
      </c>
      <c r="B351" s="4" t="s">
        <v>1960</v>
      </c>
      <c r="C351" s="4" t="s">
        <v>508</v>
      </c>
      <c r="D351" s="4" t="s">
        <v>3290</v>
      </c>
      <c r="E351" s="9">
        <v>27.1175</v>
      </c>
      <c r="F351" s="9">
        <v>108.47</v>
      </c>
      <c r="G351" s="1" t="s">
        <v>3527</v>
      </c>
      <c r="H351" s="1">
        <f>SUMIF([1]Sheet1!$G:$G,A351,[1]Sheet1!$O:$O)</f>
        <v>108.47</v>
      </c>
      <c r="I351" s="21">
        <f t="shared" si="5"/>
        <v>0</v>
      </c>
    </row>
    <row r="352" spans="1:9" x14ac:dyDescent="0.25">
      <c r="A352" s="18" t="s">
        <v>3623</v>
      </c>
      <c r="B352" s="4" t="s">
        <v>1961</v>
      </c>
      <c r="C352" s="4" t="s">
        <v>509</v>
      </c>
      <c r="D352" s="4" t="s">
        <v>3290</v>
      </c>
      <c r="E352" s="9">
        <v>593.22</v>
      </c>
      <c r="F352" s="9">
        <v>1779.66</v>
      </c>
      <c r="G352" s="1" t="s">
        <v>3624</v>
      </c>
      <c r="H352" s="1">
        <f>SUMIF([1]Sheet1!$G:$G,A352,[1]Sheet1!$O:$O)</f>
        <v>1779.66</v>
      </c>
      <c r="I352" s="21">
        <f t="shared" si="5"/>
        <v>0</v>
      </c>
    </row>
    <row r="353" spans="1:9" x14ac:dyDescent="0.25">
      <c r="A353" s="18" t="s">
        <v>8586</v>
      </c>
      <c r="B353" s="4" t="s">
        <v>1962</v>
      </c>
      <c r="C353" s="4" t="s">
        <v>510</v>
      </c>
      <c r="D353" s="4" t="s">
        <v>3290</v>
      </c>
      <c r="E353" s="9">
        <v>0.57777777777777783</v>
      </c>
      <c r="F353" s="9">
        <v>5.2</v>
      </c>
      <c r="G353" s="1" t="s">
        <v>8587</v>
      </c>
      <c r="H353" s="1">
        <f>SUMIF([1]Sheet1!$G:$G,A353,[1]Sheet1!$O:$O)</f>
        <v>5.2</v>
      </c>
      <c r="I353" s="21">
        <f t="shared" si="5"/>
        <v>0</v>
      </c>
    </row>
    <row r="354" spans="1:9" x14ac:dyDescent="0.25">
      <c r="A354" s="18" t="s">
        <v>8599</v>
      </c>
      <c r="B354" s="4" t="s">
        <v>1963</v>
      </c>
      <c r="C354" s="4" t="s">
        <v>511</v>
      </c>
      <c r="D354" s="4" t="s">
        <v>3290</v>
      </c>
      <c r="E354" s="9">
        <v>0.76</v>
      </c>
      <c r="F354" s="9">
        <v>0.76</v>
      </c>
      <c r="G354" s="1" t="s">
        <v>8600</v>
      </c>
      <c r="H354" s="1">
        <f>SUMIF([1]Sheet1!$G:$G,A354,[1]Sheet1!$O:$O)</f>
        <v>0.76</v>
      </c>
      <c r="I354" s="21">
        <f t="shared" si="5"/>
        <v>0</v>
      </c>
    </row>
    <row r="355" spans="1:9" x14ac:dyDescent="0.25">
      <c r="A355" s="18" t="s">
        <v>8649</v>
      </c>
      <c r="B355" s="4" t="s">
        <v>1964</v>
      </c>
      <c r="C355" s="4" t="s">
        <v>512</v>
      </c>
      <c r="D355" s="4" t="s">
        <v>3290</v>
      </c>
      <c r="E355" s="9">
        <v>0.29749999999999999</v>
      </c>
      <c r="F355" s="9">
        <v>1.19</v>
      </c>
      <c r="G355" s="1" t="s">
        <v>8650</v>
      </c>
      <c r="H355" s="1">
        <f>SUMIF([1]Sheet1!$G:$G,A355,[1]Sheet1!$O:$O)</f>
        <v>1.19</v>
      </c>
      <c r="I355" s="21">
        <f t="shared" si="5"/>
        <v>0</v>
      </c>
    </row>
    <row r="356" spans="1:9" x14ac:dyDescent="0.25">
      <c r="A356" s="18" t="s">
        <v>11848</v>
      </c>
      <c r="B356" s="4" t="s">
        <v>1965</v>
      </c>
      <c r="C356" s="4" t="s">
        <v>513</v>
      </c>
      <c r="D356" s="4" t="s">
        <v>3290</v>
      </c>
      <c r="E356" s="9">
        <v>10.17</v>
      </c>
      <c r="F356" s="9">
        <v>20.34</v>
      </c>
      <c r="G356" s="1" t="s">
        <v>11849</v>
      </c>
      <c r="H356" s="1">
        <f>SUMIF([1]Sheet1!$G:$G,A356,[1]Sheet1!$O:$O)</f>
        <v>20.34</v>
      </c>
      <c r="I356" s="21">
        <f t="shared" si="5"/>
        <v>0</v>
      </c>
    </row>
    <row r="357" spans="1:9" x14ac:dyDescent="0.25">
      <c r="A357" s="18" t="s">
        <v>11802</v>
      </c>
      <c r="B357" s="4" t="s">
        <v>1966</v>
      </c>
      <c r="C357" s="4" t="s">
        <v>514</v>
      </c>
      <c r="D357" s="4" t="s">
        <v>3290</v>
      </c>
      <c r="E357" s="9">
        <v>16.78</v>
      </c>
      <c r="F357" s="9">
        <v>67.12</v>
      </c>
      <c r="G357" s="1" t="s">
        <v>11803</v>
      </c>
      <c r="H357" s="1">
        <f>SUMIF([1]Sheet1!$G:$G,A357,[1]Sheet1!$O:$O)</f>
        <v>67.12</v>
      </c>
      <c r="I357" s="21">
        <f t="shared" si="5"/>
        <v>0</v>
      </c>
    </row>
    <row r="358" spans="1:9" x14ac:dyDescent="0.25">
      <c r="A358" s="18" t="s">
        <v>9015</v>
      </c>
      <c r="B358" s="4" t="s">
        <v>1967</v>
      </c>
      <c r="C358" s="4" t="s">
        <v>515</v>
      </c>
      <c r="D358" s="4" t="s">
        <v>3290</v>
      </c>
      <c r="E358" s="9">
        <v>19.374905660377358</v>
      </c>
      <c r="F358" s="9">
        <v>1026.8699999999999</v>
      </c>
      <c r="G358" s="1" t="s">
        <v>9016</v>
      </c>
      <c r="H358" s="1">
        <f>SUMIF([1]Sheet1!$G:$G,A358,[1]Sheet1!$O:$O)</f>
        <v>1026.8699999999999</v>
      </c>
      <c r="I358" s="21">
        <f t="shared" si="5"/>
        <v>0</v>
      </c>
    </row>
    <row r="359" spans="1:9" x14ac:dyDescent="0.25">
      <c r="A359" s="18" t="s">
        <v>11449</v>
      </c>
      <c r="B359" s="4" t="s">
        <v>1968</v>
      </c>
      <c r="C359" s="4" t="s">
        <v>516</v>
      </c>
      <c r="D359" s="4" t="s">
        <v>3290</v>
      </c>
      <c r="E359" s="9">
        <v>38.135555555555555</v>
      </c>
      <c r="F359" s="9">
        <v>343.22</v>
      </c>
      <c r="G359" s="1" t="s">
        <v>11450</v>
      </c>
      <c r="H359" s="1">
        <f>SUMIF([1]Sheet1!$G:$G,A359,[1]Sheet1!$O:$O)</f>
        <v>343.22</v>
      </c>
      <c r="I359" s="21">
        <f t="shared" si="5"/>
        <v>0</v>
      </c>
    </row>
    <row r="360" spans="1:9" x14ac:dyDescent="0.25">
      <c r="A360" s="18" t="s">
        <v>3671</v>
      </c>
      <c r="B360" s="4" t="s">
        <v>1969</v>
      </c>
      <c r="C360" s="4" t="s">
        <v>517</v>
      </c>
      <c r="D360" s="4" t="s">
        <v>3290</v>
      </c>
      <c r="E360" s="9">
        <v>887.54250000000002</v>
      </c>
      <c r="F360" s="9">
        <v>3550.17</v>
      </c>
      <c r="G360" s="1" t="s">
        <v>3672</v>
      </c>
      <c r="H360" s="1">
        <f>SUMIF([1]Sheet1!$G:$G,A360,[1]Sheet1!$O:$O)</f>
        <v>3550.17</v>
      </c>
      <c r="I360" s="21">
        <f t="shared" si="5"/>
        <v>0</v>
      </c>
    </row>
    <row r="361" spans="1:9" x14ac:dyDescent="0.25">
      <c r="A361" s="18" t="s">
        <v>6129</v>
      </c>
      <c r="B361" s="4" t="s">
        <v>1970</v>
      </c>
      <c r="C361" s="4" t="s">
        <v>518</v>
      </c>
      <c r="D361" s="4" t="s">
        <v>3289</v>
      </c>
      <c r="E361" s="9">
        <v>9.5339999999999989</v>
      </c>
      <c r="F361" s="9">
        <v>286.02</v>
      </c>
      <c r="G361" s="1" t="s">
        <v>6130</v>
      </c>
      <c r="H361" s="1">
        <f>SUMIF([1]Sheet1!$G:$G,A361,[1]Sheet1!$O:$O)</f>
        <v>286.02</v>
      </c>
      <c r="I361" s="21">
        <f t="shared" si="5"/>
        <v>0</v>
      </c>
    </row>
    <row r="362" spans="1:9" x14ac:dyDescent="0.25">
      <c r="A362" s="18" t="s">
        <v>8835</v>
      </c>
      <c r="B362" s="4" t="s">
        <v>1971</v>
      </c>
      <c r="C362" s="4" t="s">
        <v>519</v>
      </c>
      <c r="D362" s="4" t="s">
        <v>3290</v>
      </c>
      <c r="E362" s="9">
        <v>512.4623529411765</v>
      </c>
      <c r="F362" s="9">
        <v>8711.86</v>
      </c>
      <c r="G362" s="1" t="s">
        <v>8836</v>
      </c>
      <c r="H362" s="1">
        <f>SUMIF([1]Sheet1!$G:$G,A362,[1]Sheet1!$O:$O)</f>
        <v>8711.86</v>
      </c>
      <c r="I362" s="21">
        <f t="shared" si="5"/>
        <v>0</v>
      </c>
    </row>
    <row r="363" spans="1:9" x14ac:dyDescent="0.25">
      <c r="A363" s="18" t="s">
        <v>8819</v>
      </c>
      <c r="B363" s="4" t="s">
        <v>1972</v>
      </c>
      <c r="C363" s="4" t="s">
        <v>520</v>
      </c>
      <c r="D363" s="4" t="s">
        <v>3290</v>
      </c>
      <c r="E363" s="9">
        <v>665.255</v>
      </c>
      <c r="F363" s="9">
        <v>5322.04</v>
      </c>
      <c r="G363" s="1" t="s">
        <v>8822</v>
      </c>
      <c r="H363" s="1">
        <f>SUMIF([1]Sheet1!$G:$G,A363,[1]Sheet1!$O:$O)</f>
        <v>5322.04</v>
      </c>
      <c r="I363" s="21">
        <f t="shared" si="5"/>
        <v>0</v>
      </c>
    </row>
    <row r="364" spans="1:9" x14ac:dyDescent="0.25">
      <c r="A364" s="18" t="s">
        <v>9959</v>
      </c>
      <c r="B364" s="4" t="s">
        <v>1973</v>
      </c>
      <c r="C364" s="4" t="s">
        <v>521</v>
      </c>
      <c r="D364" s="4" t="s">
        <v>3290</v>
      </c>
      <c r="E364" s="9">
        <v>39.4148</v>
      </c>
      <c r="F364" s="9">
        <v>985.37</v>
      </c>
      <c r="G364" s="1" t="s">
        <v>9960</v>
      </c>
      <c r="H364" s="1">
        <f>SUMIF([1]Sheet1!$G:$G,A364,[1]Sheet1!$O:$O)</f>
        <v>985.37</v>
      </c>
      <c r="I364" s="21">
        <f t="shared" si="5"/>
        <v>0</v>
      </c>
    </row>
    <row r="365" spans="1:9" x14ac:dyDescent="0.25">
      <c r="A365" s="18" t="s">
        <v>5939</v>
      </c>
      <c r="B365" s="4" t="s">
        <v>1974</v>
      </c>
      <c r="C365" s="4" t="s">
        <v>522</v>
      </c>
      <c r="D365" s="4" t="s">
        <v>3290</v>
      </c>
      <c r="E365" s="9">
        <v>91.053749999999994</v>
      </c>
      <c r="F365" s="9">
        <v>728.43</v>
      </c>
      <c r="G365" s="1" t="s">
        <v>5940</v>
      </c>
      <c r="H365" s="1">
        <f>SUMIF([1]Sheet1!$G:$G,A365,[1]Sheet1!$O:$O)</f>
        <v>728.43</v>
      </c>
      <c r="I365" s="21">
        <f t="shared" si="5"/>
        <v>0</v>
      </c>
    </row>
    <row r="366" spans="1:9" x14ac:dyDescent="0.25">
      <c r="A366" s="18" t="s">
        <v>5210</v>
      </c>
      <c r="B366" s="4" t="s">
        <v>1975</v>
      </c>
      <c r="C366" s="4" t="s">
        <v>523</v>
      </c>
      <c r="D366" s="4" t="s">
        <v>3292</v>
      </c>
      <c r="E366" s="9">
        <v>13.77125</v>
      </c>
      <c r="F366" s="9">
        <v>330.51</v>
      </c>
      <c r="G366" s="1" t="s">
        <v>5211</v>
      </c>
      <c r="H366" s="1">
        <f>SUMIF([1]Sheet1!$G:$G,A366,[1]Sheet1!$O:$O)</f>
        <v>330.51</v>
      </c>
      <c r="I366" s="21">
        <f t="shared" si="5"/>
        <v>0</v>
      </c>
    </row>
    <row r="367" spans="1:9" x14ac:dyDescent="0.25">
      <c r="A367" s="18" t="s">
        <v>4787</v>
      </c>
      <c r="B367" s="4" t="s">
        <v>1976</v>
      </c>
      <c r="C367" s="4" t="s">
        <v>524</v>
      </c>
      <c r="D367" s="4" t="s">
        <v>3290</v>
      </c>
      <c r="E367" s="9">
        <v>20</v>
      </c>
      <c r="F367" s="9">
        <v>60</v>
      </c>
      <c r="G367" s="1" t="s">
        <v>4789</v>
      </c>
      <c r="H367" s="1">
        <f>SUMIF([1]Sheet1!$G:$G,A367,[1]Sheet1!$O:$O)</f>
        <v>60</v>
      </c>
      <c r="I367" s="21">
        <f t="shared" si="5"/>
        <v>0</v>
      </c>
    </row>
    <row r="368" spans="1:9" x14ac:dyDescent="0.25">
      <c r="A368" s="18" t="s">
        <v>4023</v>
      </c>
      <c r="B368" s="4" t="s">
        <v>1977</v>
      </c>
      <c r="C368" s="4" t="s">
        <v>525</v>
      </c>
      <c r="D368" s="4" t="s">
        <v>3290</v>
      </c>
      <c r="E368" s="9">
        <v>358.51307692307694</v>
      </c>
      <c r="F368" s="9">
        <v>4660.67</v>
      </c>
      <c r="G368" s="1" t="s">
        <v>4026</v>
      </c>
      <c r="H368" s="1">
        <f>SUMIF([1]Sheet1!$G:$G,A368,[1]Sheet1!$O:$O)</f>
        <v>4660.67</v>
      </c>
      <c r="I368" s="21">
        <f t="shared" si="5"/>
        <v>0</v>
      </c>
    </row>
    <row r="369" spans="1:9" x14ac:dyDescent="0.25">
      <c r="A369" s="18" t="s">
        <v>6139</v>
      </c>
      <c r="B369" s="4" t="s">
        <v>1978</v>
      </c>
      <c r="C369" s="4" t="s">
        <v>526</v>
      </c>
      <c r="D369" s="4" t="s">
        <v>3290</v>
      </c>
      <c r="E369" s="9">
        <v>122.63833333333334</v>
      </c>
      <c r="F369" s="9">
        <v>735.83</v>
      </c>
      <c r="G369" s="1" t="s">
        <v>6140</v>
      </c>
      <c r="H369" s="1">
        <f>SUMIF([1]Sheet1!$G:$G,A369,[1]Sheet1!$O:$O)</f>
        <v>735.83</v>
      </c>
      <c r="I369" s="21">
        <f t="shared" si="5"/>
        <v>0</v>
      </c>
    </row>
    <row r="370" spans="1:9" x14ac:dyDescent="0.25">
      <c r="A370" s="18" t="s">
        <v>8715</v>
      </c>
      <c r="B370" s="4" t="s">
        <v>1979</v>
      </c>
      <c r="C370" s="4" t="s">
        <v>527</v>
      </c>
      <c r="D370" s="4" t="s">
        <v>3290</v>
      </c>
      <c r="E370" s="9">
        <v>352.98916666666668</v>
      </c>
      <c r="F370" s="9">
        <v>4235.87</v>
      </c>
      <c r="G370" s="1" t="s">
        <v>8716</v>
      </c>
      <c r="H370" s="1">
        <f>SUMIF([1]Sheet1!$G:$G,A370,[1]Sheet1!$O:$O)</f>
        <v>4235.87</v>
      </c>
      <c r="I370" s="21">
        <f t="shared" si="5"/>
        <v>0</v>
      </c>
    </row>
    <row r="371" spans="1:9" x14ac:dyDescent="0.25">
      <c r="A371" s="18" t="s">
        <v>3998</v>
      </c>
      <c r="B371" s="4" t="s">
        <v>1980</v>
      </c>
      <c r="C371" s="4" t="s">
        <v>528</v>
      </c>
      <c r="D371" s="4" t="s">
        <v>3290</v>
      </c>
      <c r="E371" s="9">
        <v>70.34</v>
      </c>
      <c r="F371" s="9">
        <v>70.34</v>
      </c>
      <c r="G371" s="1" t="s">
        <v>3999</v>
      </c>
      <c r="H371" s="1">
        <f>SUMIF([1]Sheet1!$G:$G,A371,[1]Sheet1!$O:$O)</f>
        <v>70.34</v>
      </c>
      <c r="I371" s="21">
        <f t="shared" si="5"/>
        <v>0</v>
      </c>
    </row>
    <row r="372" spans="1:9" x14ac:dyDescent="0.25">
      <c r="A372" s="18" t="s">
        <v>10665</v>
      </c>
      <c r="B372" s="4" t="s">
        <v>1981</v>
      </c>
      <c r="C372" s="4" t="s">
        <v>529</v>
      </c>
      <c r="D372" s="4" t="s">
        <v>3295</v>
      </c>
      <c r="E372" s="9">
        <v>457.27032136105862</v>
      </c>
      <c r="F372" s="9">
        <v>1209.48</v>
      </c>
      <c r="G372" s="1" t="s">
        <v>10666</v>
      </c>
      <c r="H372" s="1">
        <f>SUMIF([1]Sheet1!$G:$G,A372,[1]Sheet1!$O:$O)</f>
        <v>957.98</v>
      </c>
      <c r="I372" s="21">
        <f t="shared" si="5"/>
        <v>251.5</v>
      </c>
    </row>
    <row r="373" spans="1:9" x14ac:dyDescent="0.25">
      <c r="A373" s="18" t="s">
        <v>6176</v>
      </c>
      <c r="B373" s="4" t="s">
        <v>1982</v>
      </c>
      <c r="C373" s="4" t="s">
        <v>530</v>
      </c>
      <c r="D373" s="4" t="s">
        <v>3289</v>
      </c>
      <c r="E373" s="9">
        <v>1.9495648389904265</v>
      </c>
      <c r="F373" s="9">
        <v>2240.0500000000002</v>
      </c>
      <c r="G373" s="1" t="s">
        <v>6177</v>
      </c>
      <c r="H373" s="1">
        <f>SUMIF([1]Sheet1!$G:$G,A373,[1]Sheet1!$O:$O)</f>
        <v>2240.09</v>
      </c>
      <c r="I373" s="21">
        <f t="shared" si="5"/>
        <v>-3.999999999996362E-2</v>
      </c>
    </row>
    <row r="374" spans="1:9" x14ac:dyDescent="0.25">
      <c r="A374" s="18" t="s">
        <v>7381</v>
      </c>
      <c r="B374" s="4" t="s">
        <v>1983</v>
      </c>
      <c r="C374" s="4" t="s">
        <v>531</v>
      </c>
      <c r="D374" s="4" t="s">
        <v>3289</v>
      </c>
      <c r="E374" s="9">
        <v>9.1947368421052627</v>
      </c>
      <c r="F374" s="9">
        <v>17.47</v>
      </c>
      <c r="G374" s="1" t="s">
        <v>7382</v>
      </c>
      <c r="H374" s="1">
        <f>SUMIF([1]Sheet1!$G:$G,A374,[1]Sheet1!$O:$O)</f>
        <v>17.47</v>
      </c>
      <c r="I374" s="21">
        <f t="shared" si="5"/>
        <v>0</v>
      </c>
    </row>
    <row r="375" spans="1:9" x14ac:dyDescent="0.25">
      <c r="A375" s="18" t="s">
        <v>7549</v>
      </c>
      <c r="B375" s="4" t="s">
        <v>1984</v>
      </c>
      <c r="C375" s="4" t="s">
        <v>532</v>
      </c>
      <c r="D375" s="4" t="s">
        <v>3290</v>
      </c>
      <c r="E375" s="9">
        <v>254.23666666666668</v>
      </c>
      <c r="F375" s="9">
        <v>3813.55</v>
      </c>
      <c r="G375" s="1" t="s">
        <v>7550</v>
      </c>
      <c r="H375" s="1">
        <f>SUMIF([1]Sheet1!$G:$G,A375,[1]Sheet1!$O:$O)</f>
        <v>3813.55</v>
      </c>
      <c r="I375" s="21">
        <f t="shared" si="5"/>
        <v>0</v>
      </c>
    </row>
    <row r="376" spans="1:9" x14ac:dyDescent="0.25">
      <c r="A376" s="18" t="s">
        <v>7554</v>
      </c>
      <c r="B376" s="4" t="s">
        <v>1985</v>
      </c>
      <c r="C376" s="4" t="s">
        <v>533</v>
      </c>
      <c r="D376" s="4" t="s">
        <v>3290</v>
      </c>
      <c r="E376" s="9">
        <v>29.66114285714286</v>
      </c>
      <c r="F376" s="9">
        <v>1038.1400000000001</v>
      </c>
      <c r="G376" s="1" t="s">
        <v>7555</v>
      </c>
      <c r="H376" s="1">
        <f>SUMIF([1]Sheet1!$G:$G,A376,[1]Sheet1!$O:$O)</f>
        <v>1038.1400000000001</v>
      </c>
      <c r="I376" s="21">
        <f t="shared" si="5"/>
        <v>0</v>
      </c>
    </row>
    <row r="377" spans="1:9" x14ac:dyDescent="0.25">
      <c r="A377" s="18" t="s">
        <v>11109</v>
      </c>
      <c r="B377" s="4" t="s">
        <v>1986</v>
      </c>
      <c r="C377" s="4" t="s">
        <v>534</v>
      </c>
      <c r="D377" s="4" t="s">
        <v>3289</v>
      </c>
      <c r="E377" s="9">
        <v>12.63816631130064</v>
      </c>
      <c r="F377" s="9">
        <v>592.73</v>
      </c>
      <c r="G377" s="1" t="s">
        <v>11110</v>
      </c>
      <c r="H377" s="1">
        <f>SUMIF([1]Sheet1!$G:$G,A377,[1]Sheet1!$O:$O)</f>
        <v>592.73</v>
      </c>
      <c r="I377" s="21">
        <f t="shared" si="5"/>
        <v>0</v>
      </c>
    </row>
    <row r="378" spans="1:9" x14ac:dyDescent="0.25">
      <c r="A378" s="18" t="s">
        <v>10049</v>
      </c>
      <c r="B378" s="4" t="s">
        <v>3117</v>
      </c>
      <c r="C378" s="4" t="s">
        <v>535</v>
      </c>
      <c r="D378" s="4" t="s">
        <v>3290</v>
      </c>
      <c r="E378" s="9">
        <v>4303.4619047619044</v>
      </c>
      <c r="F378" s="9">
        <v>90372.7</v>
      </c>
      <c r="G378" s="1" t="s">
        <v>10050</v>
      </c>
      <c r="H378" s="1">
        <f>SUMIF([1]Sheet1!$G:$G,A378,[1]Sheet1!$O:$O)</f>
        <v>90372.7</v>
      </c>
      <c r="I378" s="21">
        <f t="shared" si="5"/>
        <v>0</v>
      </c>
    </row>
    <row r="379" spans="1:9" x14ac:dyDescent="0.25">
      <c r="A379" s="18" t="s">
        <v>9005</v>
      </c>
      <c r="B379" s="4" t="s">
        <v>1987</v>
      </c>
      <c r="C379" s="4" t="s">
        <v>536</v>
      </c>
      <c r="D379" s="4" t="s">
        <v>3290</v>
      </c>
      <c r="E379" s="9">
        <v>69.754999999999995</v>
      </c>
      <c r="F379" s="9">
        <v>139.51</v>
      </c>
      <c r="G379" s="1" t="s">
        <v>9006</v>
      </c>
      <c r="H379" s="1">
        <f>SUMIF([1]Sheet1!$G:$G,A379,[1]Sheet1!$O:$O)</f>
        <v>139.51</v>
      </c>
      <c r="I379" s="21">
        <f t="shared" si="5"/>
        <v>0</v>
      </c>
    </row>
    <row r="380" spans="1:9" x14ac:dyDescent="0.25">
      <c r="A380" s="18" t="s">
        <v>5501</v>
      </c>
      <c r="B380" s="4" t="s">
        <v>1988</v>
      </c>
      <c r="C380" s="4" t="s">
        <v>537</v>
      </c>
      <c r="D380" s="4" t="s">
        <v>3290</v>
      </c>
      <c r="E380" s="9">
        <v>10.167200000000001</v>
      </c>
      <c r="F380" s="9">
        <v>508.36000000000007</v>
      </c>
      <c r="G380" s="1" t="s">
        <v>5504</v>
      </c>
      <c r="H380" s="1">
        <f>SUMIF([1]Sheet1!$G:$G,A380,[1]Sheet1!$O:$O)</f>
        <v>508.36</v>
      </c>
      <c r="I380" s="21">
        <f t="shared" si="5"/>
        <v>0</v>
      </c>
    </row>
    <row r="381" spans="1:9" x14ac:dyDescent="0.25">
      <c r="A381" s="18" t="s">
        <v>6276</v>
      </c>
      <c r="B381" s="4" t="s">
        <v>1989</v>
      </c>
      <c r="C381" s="4" t="s">
        <v>538</v>
      </c>
      <c r="D381" s="4" t="s">
        <v>3290</v>
      </c>
      <c r="E381" s="9">
        <v>151.095</v>
      </c>
      <c r="F381" s="9">
        <v>604.38</v>
      </c>
      <c r="G381" s="1" t="s">
        <v>6277</v>
      </c>
      <c r="H381" s="1">
        <f>SUMIF([1]Sheet1!$G:$G,A381,[1]Sheet1!$O:$O)</f>
        <v>604.38</v>
      </c>
      <c r="I381" s="21">
        <f t="shared" si="5"/>
        <v>0</v>
      </c>
    </row>
    <row r="382" spans="1:9" x14ac:dyDescent="0.25">
      <c r="A382" s="18" t="s">
        <v>6959</v>
      </c>
      <c r="B382" s="4" t="s">
        <v>1990</v>
      </c>
      <c r="C382" s="4" t="s">
        <v>539</v>
      </c>
      <c r="D382" s="4" t="s">
        <v>3290</v>
      </c>
      <c r="E382" s="9">
        <v>151.09</v>
      </c>
      <c r="F382" s="9">
        <v>151.09</v>
      </c>
      <c r="G382" s="1" t="s">
        <v>6960</v>
      </c>
      <c r="H382" s="1">
        <f>SUMIF([1]Sheet1!$G:$G,A382,[1]Sheet1!$O:$O)</f>
        <v>151.09</v>
      </c>
      <c r="I382" s="21">
        <f t="shared" si="5"/>
        <v>0</v>
      </c>
    </row>
    <row r="383" spans="1:9" x14ac:dyDescent="0.25">
      <c r="A383" s="18" t="s">
        <v>7484</v>
      </c>
      <c r="B383" s="4" t="s">
        <v>1991</v>
      </c>
      <c r="C383" s="4" t="s">
        <v>540</v>
      </c>
      <c r="D383" s="4" t="s">
        <v>3289</v>
      </c>
      <c r="E383" s="9">
        <v>135.50961125099795</v>
      </c>
      <c r="F383" s="9">
        <v>22065.03</v>
      </c>
      <c r="G383" s="1" t="s">
        <v>7485</v>
      </c>
      <c r="H383" s="1">
        <f>SUMIF([1]Sheet1!$G:$G,A383,[1]Sheet1!$O:$O)</f>
        <v>22065.03</v>
      </c>
      <c r="I383" s="21">
        <f t="shared" si="5"/>
        <v>0</v>
      </c>
    </row>
    <row r="384" spans="1:9" x14ac:dyDescent="0.25">
      <c r="A384" s="18" t="s">
        <v>7216</v>
      </c>
      <c r="B384" s="4" t="s">
        <v>1992</v>
      </c>
      <c r="C384" s="4" t="s">
        <v>541</v>
      </c>
      <c r="D384" s="4" t="s">
        <v>3289</v>
      </c>
      <c r="E384" s="9">
        <v>402.54185022026434</v>
      </c>
      <c r="F384" s="9">
        <v>4568.8500000000004</v>
      </c>
      <c r="G384" s="1" t="s">
        <v>7217</v>
      </c>
      <c r="H384" s="1">
        <f>SUMIF([1]Sheet1!$G:$G,A384,[1]Sheet1!$O:$O)</f>
        <v>4568.8500000000004</v>
      </c>
      <c r="I384" s="21">
        <f t="shared" si="5"/>
        <v>0</v>
      </c>
    </row>
    <row r="385" spans="1:9" x14ac:dyDescent="0.25">
      <c r="A385" s="18" t="s">
        <v>9836</v>
      </c>
      <c r="B385" s="4" t="s">
        <v>1993</v>
      </c>
      <c r="C385" s="4" t="s">
        <v>542</v>
      </c>
      <c r="D385" s="4" t="s">
        <v>3295</v>
      </c>
      <c r="E385" s="9">
        <v>3.9830513884455794</v>
      </c>
      <c r="F385" s="9">
        <v>9983.1200000000008</v>
      </c>
      <c r="G385" s="1" t="s">
        <v>9837</v>
      </c>
      <c r="H385" s="1">
        <f>SUMIF([1]Sheet1!$G:$G,A385,[1]Sheet1!$O:$O)</f>
        <v>9983.24</v>
      </c>
      <c r="I385" s="21">
        <f t="shared" si="5"/>
        <v>-0.11999999999898137</v>
      </c>
    </row>
    <row r="386" spans="1:9" x14ac:dyDescent="0.25">
      <c r="A386" s="18" t="s">
        <v>4646</v>
      </c>
      <c r="B386" s="4" t="s">
        <v>1994</v>
      </c>
      <c r="C386" s="4" t="s">
        <v>543</v>
      </c>
      <c r="D386" s="4" t="s">
        <v>3290</v>
      </c>
      <c r="E386" s="9">
        <v>70.290000000000006</v>
      </c>
      <c r="F386" s="9">
        <v>70.290000000000006</v>
      </c>
      <c r="G386" s="1" t="s">
        <v>4647</v>
      </c>
      <c r="H386" s="1">
        <f>SUMIF([1]Sheet1!$G:$G,A386,[1]Sheet1!$O:$O)</f>
        <v>70.290000000000006</v>
      </c>
      <c r="I386" s="21">
        <f t="shared" si="5"/>
        <v>0</v>
      </c>
    </row>
    <row r="387" spans="1:9" x14ac:dyDescent="0.25">
      <c r="A387" s="18" t="s">
        <v>7479</v>
      </c>
      <c r="B387" s="4" t="s">
        <v>1995</v>
      </c>
      <c r="C387" s="4" t="s">
        <v>544</v>
      </c>
      <c r="D387" s="4" t="s">
        <v>3289</v>
      </c>
      <c r="E387" s="9">
        <v>24.576000000000001</v>
      </c>
      <c r="F387" s="9">
        <v>122.88</v>
      </c>
      <c r="G387" s="1" t="s">
        <v>7480</v>
      </c>
      <c r="H387" s="1">
        <f>SUMIF([1]Sheet1!$G:$G,A387,[1]Sheet1!$O:$O)</f>
        <v>122.88</v>
      </c>
      <c r="I387" s="21">
        <f t="shared" ref="I387:I450" si="6">F387-H387</f>
        <v>0</v>
      </c>
    </row>
    <row r="388" spans="1:9" x14ac:dyDescent="0.25">
      <c r="A388" s="18" t="s">
        <v>7607</v>
      </c>
      <c r="B388" s="4" t="s">
        <v>1996</v>
      </c>
      <c r="C388" s="4" t="s">
        <v>545</v>
      </c>
      <c r="D388" s="4" t="s">
        <v>3290</v>
      </c>
      <c r="E388" s="9">
        <v>0.9</v>
      </c>
      <c r="F388" s="9">
        <v>5.4</v>
      </c>
      <c r="G388" s="1" t="s">
        <v>7608</v>
      </c>
      <c r="H388" s="1">
        <f>SUMIF([1]Sheet1!$G:$G,A388,[1]Sheet1!$O:$O)</f>
        <v>5.4</v>
      </c>
      <c r="I388" s="21">
        <f t="shared" si="6"/>
        <v>0</v>
      </c>
    </row>
    <row r="389" spans="1:9" x14ac:dyDescent="0.25">
      <c r="A389" s="18" t="s">
        <v>6486</v>
      </c>
      <c r="B389" s="4" t="s">
        <v>1997</v>
      </c>
      <c r="C389" s="4" t="s">
        <v>546</v>
      </c>
      <c r="D389" s="4" t="s">
        <v>3289</v>
      </c>
      <c r="E389" s="9">
        <v>2.5433333333333334</v>
      </c>
      <c r="F389" s="9">
        <v>7.6300000000000008</v>
      </c>
      <c r="G389" s="1" t="s">
        <v>6487</v>
      </c>
      <c r="H389" s="1">
        <f>SUMIF([1]Sheet1!$G:$G,A389,[1]Sheet1!$O:$O)</f>
        <v>7.63</v>
      </c>
      <c r="I389" s="21">
        <f t="shared" si="6"/>
        <v>0</v>
      </c>
    </row>
    <row r="390" spans="1:9" x14ac:dyDescent="0.25">
      <c r="A390" s="18" t="s">
        <v>6912</v>
      </c>
      <c r="B390" s="4" t="s">
        <v>1998</v>
      </c>
      <c r="C390" s="4" t="s">
        <v>547</v>
      </c>
      <c r="D390" s="4" t="s">
        <v>3290</v>
      </c>
      <c r="E390" s="9">
        <v>22.222307692307691</v>
      </c>
      <c r="F390" s="9">
        <v>288.89</v>
      </c>
      <c r="G390" s="1" t="s">
        <v>6913</v>
      </c>
      <c r="H390" s="1">
        <f>SUMIF([1]Sheet1!$G:$G,A390,[1]Sheet1!$O:$O)</f>
        <v>288.89</v>
      </c>
      <c r="I390" s="21">
        <f t="shared" si="6"/>
        <v>0</v>
      </c>
    </row>
    <row r="391" spans="1:9" x14ac:dyDescent="0.25">
      <c r="A391" s="18" t="s">
        <v>7227</v>
      </c>
      <c r="B391" s="4" t="s">
        <v>1999</v>
      </c>
      <c r="C391" s="4" t="s">
        <v>548</v>
      </c>
      <c r="D391" s="4" t="s">
        <v>3289</v>
      </c>
      <c r="E391" s="9">
        <v>233.15463917525773</v>
      </c>
      <c r="F391" s="9">
        <v>1130.8</v>
      </c>
      <c r="G391" s="1" t="s">
        <v>7228</v>
      </c>
      <c r="H391" s="1">
        <f>SUMIF([1]Sheet1!$G:$G,A391,[1]Sheet1!$O:$O)</f>
        <v>1130.8</v>
      </c>
      <c r="I391" s="21">
        <f t="shared" si="6"/>
        <v>0</v>
      </c>
    </row>
    <row r="392" spans="1:9" x14ac:dyDescent="0.25">
      <c r="A392" s="18" t="s">
        <v>7087</v>
      </c>
      <c r="B392" s="4" t="s">
        <v>2000</v>
      </c>
      <c r="C392" s="4" t="s">
        <v>549</v>
      </c>
      <c r="D392" s="4" t="s">
        <v>3289</v>
      </c>
      <c r="E392" s="9">
        <v>127.04727272727273</v>
      </c>
      <c r="F392" s="9">
        <v>698.76</v>
      </c>
      <c r="G392" s="1" t="s">
        <v>7088</v>
      </c>
      <c r="H392" s="1">
        <f>SUMIF([1]Sheet1!$G:$G,A392,[1]Sheet1!$O:$O)</f>
        <v>698.76</v>
      </c>
      <c r="I392" s="21">
        <f t="shared" si="6"/>
        <v>0</v>
      </c>
    </row>
    <row r="393" spans="1:9" x14ac:dyDescent="0.25">
      <c r="A393" s="18" t="s">
        <v>10398</v>
      </c>
      <c r="B393" s="4" t="s">
        <v>2001</v>
      </c>
      <c r="C393" s="4" t="s">
        <v>550</v>
      </c>
      <c r="D393" s="4" t="s">
        <v>3289</v>
      </c>
      <c r="E393" s="9">
        <v>1.0957142857142856</v>
      </c>
      <c r="F393" s="9">
        <v>7.67</v>
      </c>
      <c r="G393" s="1" t="s">
        <v>10399</v>
      </c>
      <c r="H393" s="1">
        <f>SUMIF([1]Sheet1!$G:$G,A393,[1]Sheet1!$O:$O)</f>
        <v>7.67</v>
      </c>
      <c r="I393" s="21">
        <f t="shared" si="6"/>
        <v>0</v>
      </c>
    </row>
    <row r="394" spans="1:9" x14ac:dyDescent="0.25">
      <c r="A394" s="18" t="s">
        <v>10659</v>
      </c>
      <c r="B394" s="4" t="s">
        <v>2002</v>
      </c>
      <c r="C394" s="4" t="s">
        <v>551</v>
      </c>
      <c r="D394" s="4" t="s">
        <v>3295</v>
      </c>
      <c r="E394" s="9">
        <v>414.41059602649005</v>
      </c>
      <c r="F394" s="9">
        <v>625.76</v>
      </c>
      <c r="G394" s="1" t="s">
        <v>10660</v>
      </c>
      <c r="H394" s="1">
        <f>SUMIF([1]Sheet1!$G:$G,A394,[1]Sheet1!$O:$O)</f>
        <v>625.76</v>
      </c>
      <c r="I394" s="21">
        <f t="shared" si="6"/>
        <v>0</v>
      </c>
    </row>
    <row r="395" spans="1:9" x14ac:dyDescent="0.25">
      <c r="A395" s="18" t="s">
        <v>9117</v>
      </c>
      <c r="B395" s="4" t="s">
        <v>2003</v>
      </c>
      <c r="C395" s="4" t="s">
        <v>552</v>
      </c>
      <c r="D395" s="4" t="s">
        <v>3290</v>
      </c>
      <c r="E395" s="9">
        <v>9.0173803526448368E-2</v>
      </c>
      <c r="F395" s="9">
        <v>357.99</v>
      </c>
      <c r="G395" s="1" t="s">
        <v>9118</v>
      </c>
      <c r="H395" s="1">
        <f>SUMIF([1]Sheet1!$G:$G,A395,[1]Sheet1!$O:$O)</f>
        <v>358.09</v>
      </c>
      <c r="I395" s="21">
        <f t="shared" si="6"/>
        <v>-9.9999999999965894E-2</v>
      </c>
    </row>
    <row r="396" spans="1:9" x14ac:dyDescent="0.25">
      <c r="A396" s="18" t="s">
        <v>7146</v>
      </c>
      <c r="B396" s="4" t="s">
        <v>2004</v>
      </c>
      <c r="C396" s="4" t="s">
        <v>553</v>
      </c>
      <c r="D396" s="4" t="s">
        <v>3289</v>
      </c>
      <c r="E396" s="9">
        <v>27.04326923076923</v>
      </c>
      <c r="F396" s="9">
        <v>562.5</v>
      </c>
      <c r="G396" s="1" t="s">
        <v>7147</v>
      </c>
      <c r="H396" s="1">
        <f>SUMIF([1]Sheet1!$G:$G,A396,[1]Sheet1!$O:$O)</f>
        <v>562.5</v>
      </c>
      <c r="I396" s="21">
        <f t="shared" si="6"/>
        <v>0</v>
      </c>
    </row>
    <row r="397" spans="1:9" x14ac:dyDescent="0.25">
      <c r="A397" s="18" t="s">
        <v>8529</v>
      </c>
      <c r="B397" s="4" t="s">
        <v>2005</v>
      </c>
      <c r="C397" s="4" t="s">
        <v>554</v>
      </c>
      <c r="D397" s="4" t="s">
        <v>3289</v>
      </c>
      <c r="E397" s="9">
        <v>14.618611111111111</v>
      </c>
      <c r="F397" s="9">
        <v>526.27</v>
      </c>
      <c r="G397" s="1" t="s">
        <v>8530</v>
      </c>
      <c r="H397" s="1">
        <f>SUMIF([1]Sheet1!$G:$G,A397,[1]Sheet1!$O:$O)</f>
        <v>526.27</v>
      </c>
      <c r="I397" s="21">
        <f t="shared" si="6"/>
        <v>0</v>
      </c>
    </row>
    <row r="398" spans="1:9" x14ac:dyDescent="0.25">
      <c r="A398" s="18" t="s">
        <v>7589</v>
      </c>
      <c r="B398" s="4" t="s">
        <v>2006</v>
      </c>
      <c r="C398" s="4" t="s">
        <v>555</v>
      </c>
      <c r="D398" s="4" t="s">
        <v>3289</v>
      </c>
      <c r="E398" s="9">
        <v>14.244173728813561</v>
      </c>
      <c r="F398" s="9">
        <v>268.93</v>
      </c>
      <c r="G398" s="1" t="s">
        <v>7590</v>
      </c>
      <c r="H398" s="1">
        <f>SUMIF([1]Sheet1!$G:$G,A398,[1]Sheet1!$O:$O)</f>
        <v>268.93</v>
      </c>
      <c r="I398" s="21">
        <f t="shared" si="6"/>
        <v>0</v>
      </c>
    </row>
    <row r="399" spans="1:9" x14ac:dyDescent="0.25">
      <c r="A399" s="18" t="s">
        <v>10466</v>
      </c>
      <c r="B399" s="4" t="s">
        <v>2007</v>
      </c>
      <c r="C399" s="4" t="s">
        <v>556</v>
      </c>
      <c r="D399" s="4" t="s">
        <v>3290</v>
      </c>
      <c r="E399" s="9">
        <v>5.9325000000000001</v>
      </c>
      <c r="F399" s="9">
        <v>118.65</v>
      </c>
      <c r="G399" s="1" t="s">
        <v>10467</v>
      </c>
      <c r="H399" s="1">
        <f>SUMIF([1]Sheet1!$G:$G,A399,[1]Sheet1!$O:$O)</f>
        <v>118.65</v>
      </c>
      <c r="I399" s="21">
        <f t="shared" si="6"/>
        <v>0</v>
      </c>
    </row>
    <row r="400" spans="1:9" x14ac:dyDescent="0.25">
      <c r="A400" s="18" t="s">
        <v>6600</v>
      </c>
      <c r="B400" s="4" t="s">
        <v>2008</v>
      </c>
      <c r="C400" s="4" t="s">
        <v>557</v>
      </c>
      <c r="D400" s="4" t="s">
        <v>3291</v>
      </c>
      <c r="E400" s="9">
        <v>2.5426966292134829</v>
      </c>
      <c r="F400" s="9">
        <v>22.63</v>
      </c>
      <c r="G400" s="1" t="s">
        <v>6601</v>
      </c>
      <c r="H400" s="1">
        <f>SUMIF([1]Sheet1!$G:$G,A400,[1]Sheet1!$O:$O)</f>
        <v>12.46</v>
      </c>
      <c r="I400" s="21">
        <f t="shared" si="6"/>
        <v>10.169999999999998</v>
      </c>
    </row>
    <row r="401" spans="1:9" x14ac:dyDescent="0.25">
      <c r="A401" s="18" t="s">
        <v>11541</v>
      </c>
      <c r="B401" s="4" t="s">
        <v>2009</v>
      </c>
      <c r="C401" s="4" t="s">
        <v>558</v>
      </c>
      <c r="D401" s="4" t="s">
        <v>3291</v>
      </c>
      <c r="E401" s="9">
        <v>3.9235569422776906</v>
      </c>
      <c r="F401" s="9">
        <v>100.6</v>
      </c>
      <c r="G401" s="1" t="s">
        <v>11542</v>
      </c>
      <c r="H401" s="1">
        <f>SUMIF([1]Sheet1!$G:$G,A401,[1]Sheet1!$O:$O)</f>
        <v>100.6</v>
      </c>
      <c r="I401" s="21">
        <f t="shared" si="6"/>
        <v>0</v>
      </c>
    </row>
    <row r="402" spans="1:9" x14ac:dyDescent="0.25">
      <c r="A402" s="18" t="s">
        <v>11503</v>
      </c>
      <c r="B402" s="4" t="s">
        <v>2010</v>
      </c>
      <c r="C402" s="4" t="s">
        <v>559</v>
      </c>
      <c r="D402" s="4" t="s">
        <v>3291</v>
      </c>
      <c r="E402" s="9">
        <v>4.2374631268436573</v>
      </c>
      <c r="F402" s="9">
        <v>28.729999999999997</v>
      </c>
      <c r="G402" s="1" t="s">
        <v>11504</v>
      </c>
      <c r="H402" s="1">
        <f>SUMIF([1]Sheet1!$G:$G,A402,[1]Sheet1!$O:$O)</f>
        <v>28.73</v>
      </c>
      <c r="I402" s="21">
        <f t="shared" si="6"/>
        <v>0</v>
      </c>
    </row>
    <row r="403" spans="1:9" x14ac:dyDescent="0.25">
      <c r="A403" s="18" t="s">
        <v>10728</v>
      </c>
      <c r="B403" s="4" t="s">
        <v>2011</v>
      </c>
      <c r="C403" s="4" t="s">
        <v>560</v>
      </c>
      <c r="D403" s="4" t="s">
        <v>3291</v>
      </c>
      <c r="E403" s="9">
        <v>4.236559139784946</v>
      </c>
      <c r="F403" s="9">
        <v>7.88</v>
      </c>
      <c r="G403" s="1" t="s">
        <v>10729</v>
      </c>
      <c r="H403" s="1">
        <f>SUMIF([1]Sheet1!$G:$G,A403,[1]Sheet1!$O:$O)</f>
        <v>7.88</v>
      </c>
      <c r="I403" s="21">
        <f t="shared" si="6"/>
        <v>0</v>
      </c>
    </row>
    <row r="404" spans="1:9" x14ac:dyDescent="0.25">
      <c r="A404" s="18" t="s">
        <v>11099</v>
      </c>
      <c r="B404" s="4" t="s">
        <v>2012</v>
      </c>
      <c r="C404" s="4" t="s">
        <v>561</v>
      </c>
      <c r="D404" s="4" t="s">
        <v>3289</v>
      </c>
      <c r="E404" s="9">
        <v>11.864864864864863</v>
      </c>
      <c r="F404" s="9">
        <v>87.8</v>
      </c>
      <c r="G404" s="1" t="s">
        <v>11100</v>
      </c>
      <c r="H404" s="1">
        <f>SUMIF([1]Sheet1!$G:$G,A404,[1]Sheet1!$O:$O)</f>
        <v>87.8</v>
      </c>
      <c r="I404" s="21">
        <f t="shared" si="6"/>
        <v>0</v>
      </c>
    </row>
    <row r="405" spans="1:9" x14ac:dyDescent="0.25">
      <c r="A405" s="18" t="s">
        <v>5384</v>
      </c>
      <c r="B405" s="4" t="s">
        <v>2013</v>
      </c>
      <c r="C405" s="4" t="s">
        <v>562</v>
      </c>
      <c r="D405" s="4" t="s">
        <v>3290</v>
      </c>
      <c r="E405" s="9">
        <v>12.71</v>
      </c>
      <c r="F405" s="9">
        <v>25.42</v>
      </c>
      <c r="G405" s="1" t="s">
        <v>5385</v>
      </c>
      <c r="H405" s="1">
        <f>SUMIF([1]Sheet1!$G:$G,A405,[1]Sheet1!$O:$O)</f>
        <v>25.42</v>
      </c>
      <c r="I405" s="21">
        <f t="shared" si="6"/>
        <v>0</v>
      </c>
    </row>
    <row r="406" spans="1:9" x14ac:dyDescent="0.25">
      <c r="A406" s="18" t="s">
        <v>8462</v>
      </c>
      <c r="B406" s="4" t="s">
        <v>2014</v>
      </c>
      <c r="C406" s="4" t="s">
        <v>563</v>
      </c>
      <c r="D406" s="4" t="s">
        <v>3296</v>
      </c>
      <c r="E406" s="9">
        <v>84.74666666666667</v>
      </c>
      <c r="F406" s="9">
        <v>63.56</v>
      </c>
      <c r="G406" s="1" t="s">
        <v>8463</v>
      </c>
      <c r="H406" s="1">
        <f>SUMIF([1]Sheet1!$G:$G,A406,[1]Sheet1!$O:$O)</f>
        <v>63.56</v>
      </c>
      <c r="I406" s="21">
        <f t="shared" si="6"/>
        <v>0</v>
      </c>
    </row>
    <row r="407" spans="1:9" x14ac:dyDescent="0.25">
      <c r="A407" s="18" t="s">
        <v>11395</v>
      </c>
      <c r="B407" s="4" t="s">
        <v>2015</v>
      </c>
      <c r="C407" s="4" t="s">
        <v>564</v>
      </c>
      <c r="D407" s="4" t="s">
        <v>3290</v>
      </c>
      <c r="E407" s="9">
        <v>2.2334946236559139</v>
      </c>
      <c r="F407" s="9">
        <v>415.43</v>
      </c>
      <c r="G407" s="1" t="s">
        <v>11398</v>
      </c>
      <c r="H407" s="1">
        <f>SUMIF([1]Sheet1!$G:$G,A407,[1]Sheet1!$O:$O)</f>
        <v>415.43</v>
      </c>
      <c r="I407" s="21">
        <f t="shared" si="6"/>
        <v>0</v>
      </c>
    </row>
    <row r="408" spans="1:9" x14ac:dyDescent="0.25">
      <c r="A408" s="18" t="s">
        <v>9451</v>
      </c>
      <c r="B408" s="4" t="s">
        <v>2016</v>
      </c>
      <c r="C408" s="4" t="s">
        <v>565</v>
      </c>
      <c r="D408" s="4" t="s">
        <v>3290</v>
      </c>
      <c r="E408" s="9">
        <v>0.21061855670103091</v>
      </c>
      <c r="F408" s="9">
        <v>20.43</v>
      </c>
      <c r="G408" s="1" t="s">
        <v>9452</v>
      </c>
      <c r="H408" s="1">
        <f>SUMIF([1]Sheet1!$G:$G,A408,[1]Sheet1!$O:$O)</f>
        <v>20.43</v>
      </c>
      <c r="I408" s="21">
        <f t="shared" si="6"/>
        <v>0</v>
      </c>
    </row>
    <row r="409" spans="1:9" x14ac:dyDescent="0.25">
      <c r="A409" s="18" t="s">
        <v>11772</v>
      </c>
      <c r="B409" s="4" t="s">
        <v>2017</v>
      </c>
      <c r="C409" s="4" t="s">
        <v>566</v>
      </c>
      <c r="D409" s="4" t="s">
        <v>3290</v>
      </c>
      <c r="E409" s="9">
        <v>25.42</v>
      </c>
      <c r="F409" s="9">
        <v>50.84</v>
      </c>
      <c r="G409" s="1" t="s">
        <v>11773</v>
      </c>
      <c r="H409" s="1">
        <f>SUMIF([1]Sheet1!$G:$G,A409,[1]Sheet1!$O:$O)</f>
        <v>50.84</v>
      </c>
      <c r="I409" s="21">
        <f t="shared" si="6"/>
        <v>0</v>
      </c>
    </row>
    <row r="410" spans="1:9" x14ac:dyDescent="0.25">
      <c r="A410" s="18" t="s">
        <v>10750</v>
      </c>
      <c r="B410" s="4" t="s">
        <v>2018</v>
      </c>
      <c r="C410" s="4" t="s">
        <v>567</v>
      </c>
      <c r="D410" s="4" t="s">
        <v>3291</v>
      </c>
      <c r="E410" s="9">
        <v>4.1657810839532416</v>
      </c>
      <c r="F410" s="9">
        <v>23.520000000000003</v>
      </c>
      <c r="G410" s="1" t="s">
        <v>10751</v>
      </c>
      <c r="H410" s="1">
        <f>SUMIF([1]Sheet1!$G:$G,A410,[1]Sheet1!$O:$O)</f>
        <v>23.52</v>
      </c>
      <c r="I410" s="21">
        <f t="shared" si="6"/>
        <v>0</v>
      </c>
    </row>
    <row r="411" spans="1:9" x14ac:dyDescent="0.25">
      <c r="A411" s="18" t="s">
        <v>9520</v>
      </c>
      <c r="B411" s="4" t="s">
        <v>2019</v>
      </c>
      <c r="C411" s="4" t="s">
        <v>568</v>
      </c>
      <c r="D411" s="4" t="s">
        <v>3291</v>
      </c>
      <c r="E411" s="9">
        <v>4.9249999999999998</v>
      </c>
      <c r="F411" s="9">
        <v>1.97</v>
      </c>
      <c r="G411" s="1" t="s">
        <v>9521</v>
      </c>
      <c r="H411" s="1">
        <f>SUMIF([1]Sheet1!$G:$G,A411,[1]Sheet1!$O:$O)</f>
        <v>1.97</v>
      </c>
      <c r="I411" s="21">
        <f t="shared" si="6"/>
        <v>0</v>
      </c>
    </row>
    <row r="412" spans="1:9" x14ac:dyDescent="0.25">
      <c r="A412" s="18" t="s">
        <v>6579</v>
      </c>
      <c r="B412" s="4" t="s">
        <v>2020</v>
      </c>
      <c r="C412" s="4" t="s">
        <v>569</v>
      </c>
      <c r="D412" s="4" t="s">
        <v>3291</v>
      </c>
      <c r="E412" s="9">
        <v>1.99</v>
      </c>
      <c r="F412" s="9">
        <v>23.88</v>
      </c>
      <c r="G412" s="1" t="s">
        <v>6580</v>
      </c>
      <c r="H412" s="1">
        <f>SUMIF([1]Sheet1!$G:$G,A412,[1]Sheet1!$O:$O)</f>
        <v>23.88</v>
      </c>
      <c r="I412" s="21">
        <f t="shared" si="6"/>
        <v>0</v>
      </c>
    </row>
    <row r="413" spans="1:9" x14ac:dyDescent="0.25">
      <c r="A413" s="18" t="s">
        <v>5897</v>
      </c>
      <c r="B413" s="4" t="s">
        <v>2021</v>
      </c>
      <c r="C413" s="4" t="s">
        <v>570</v>
      </c>
      <c r="D413" s="4" t="s">
        <v>3291</v>
      </c>
      <c r="E413" s="9">
        <v>2.6725326560232223</v>
      </c>
      <c r="F413" s="9">
        <v>147.31</v>
      </c>
      <c r="G413" s="1" t="s">
        <v>5898</v>
      </c>
      <c r="H413" s="1">
        <f>SUMIF([1]Sheet1!$G:$G,A413,[1]Sheet1!$O:$O)</f>
        <v>147.31</v>
      </c>
      <c r="I413" s="21">
        <f t="shared" si="6"/>
        <v>0</v>
      </c>
    </row>
    <row r="414" spans="1:9" x14ac:dyDescent="0.25">
      <c r="A414" s="18" t="s">
        <v>11485</v>
      </c>
      <c r="B414" s="4" t="s">
        <v>2022</v>
      </c>
      <c r="C414" s="4" t="s">
        <v>571</v>
      </c>
      <c r="D414" s="4" t="s">
        <v>3290</v>
      </c>
      <c r="E414" s="9">
        <v>338.98</v>
      </c>
      <c r="F414" s="9">
        <v>338.98</v>
      </c>
      <c r="G414" s="1" t="s">
        <v>11488</v>
      </c>
      <c r="H414" s="1">
        <f>SUMIF([1]Sheet1!$G:$G,A414,[1]Sheet1!$O:$O)</f>
        <v>338.98</v>
      </c>
      <c r="I414" s="21">
        <f t="shared" si="6"/>
        <v>0</v>
      </c>
    </row>
    <row r="415" spans="1:9" x14ac:dyDescent="0.25">
      <c r="A415" s="18" t="s">
        <v>5926</v>
      </c>
      <c r="B415" s="4" t="s">
        <v>2023</v>
      </c>
      <c r="C415" s="4" t="s">
        <v>572</v>
      </c>
      <c r="D415" s="4" t="s">
        <v>3290</v>
      </c>
      <c r="E415" s="9">
        <v>7.0100000000000007</v>
      </c>
      <c r="F415" s="9">
        <v>21.03</v>
      </c>
      <c r="G415" s="1" t="s">
        <v>5927</v>
      </c>
      <c r="H415" s="1">
        <f>SUMIF([1]Sheet1!$G:$G,A415,[1]Sheet1!$O:$O)</f>
        <v>21.03</v>
      </c>
      <c r="I415" s="21">
        <f t="shared" si="6"/>
        <v>0</v>
      </c>
    </row>
    <row r="416" spans="1:9" x14ac:dyDescent="0.25">
      <c r="A416" s="18" t="s">
        <v>5980</v>
      </c>
      <c r="B416" s="4" t="s">
        <v>2024</v>
      </c>
      <c r="C416" s="4" t="s">
        <v>573</v>
      </c>
      <c r="D416" s="4" t="s">
        <v>3289</v>
      </c>
      <c r="E416" s="9">
        <v>2.1522962962962962</v>
      </c>
      <c r="F416" s="9">
        <v>145.28</v>
      </c>
      <c r="G416" s="1" t="s">
        <v>5981</v>
      </c>
      <c r="H416" s="1">
        <f>SUMIF([1]Sheet1!$G:$G,A416,[1]Sheet1!$O:$O)</f>
        <v>145.28</v>
      </c>
      <c r="I416" s="21">
        <f t="shared" si="6"/>
        <v>0</v>
      </c>
    </row>
    <row r="417" spans="1:9" x14ac:dyDescent="0.25">
      <c r="A417" s="18" t="s">
        <v>7276</v>
      </c>
      <c r="B417" s="4" t="s">
        <v>2025</v>
      </c>
      <c r="C417" s="4" t="s">
        <v>574</v>
      </c>
      <c r="D417" s="4" t="s">
        <v>3289</v>
      </c>
      <c r="E417" s="9">
        <v>3.6035294117647059</v>
      </c>
      <c r="F417" s="9">
        <v>30.63</v>
      </c>
      <c r="G417" s="1" t="s">
        <v>7277</v>
      </c>
      <c r="H417" s="1">
        <f>SUMIF([1]Sheet1!$G:$G,A417,[1]Sheet1!$O:$O)</f>
        <v>30.63</v>
      </c>
      <c r="I417" s="21">
        <f t="shared" si="6"/>
        <v>0</v>
      </c>
    </row>
    <row r="418" spans="1:9" x14ac:dyDescent="0.25">
      <c r="A418" s="18" t="s">
        <v>6083</v>
      </c>
      <c r="B418" s="4" t="s">
        <v>2026</v>
      </c>
      <c r="C418" s="4" t="s">
        <v>575</v>
      </c>
      <c r="D418" s="4" t="s">
        <v>3290</v>
      </c>
      <c r="E418" s="9">
        <v>169.5</v>
      </c>
      <c r="F418" s="9">
        <v>169.5</v>
      </c>
      <c r="G418" s="1" t="s">
        <v>6084</v>
      </c>
      <c r="H418" s="1">
        <f>SUMIF([1]Sheet1!$G:$G,A418,[1]Sheet1!$O:$O)</f>
        <v>169.5</v>
      </c>
      <c r="I418" s="21">
        <f t="shared" si="6"/>
        <v>0</v>
      </c>
    </row>
    <row r="419" spans="1:9" x14ac:dyDescent="0.25">
      <c r="A419" s="18" t="s">
        <v>4976</v>
      </c>
      <c r="B419" s="4" t="s">
        <v>3118</v>
      </c>
      <c r="C419" s="4" t="s">
        <v>576</v>
      </c>
      <c r="D419" s="4" t="s">
        <v>3290</v>
      </c>
      <c r="E419" s="9">
        <v>4563</v>
      </c>
      <c r="F419" s="9">
        <v>9126</v>
      </c>
      <c r="G419" s="1" t="s">
        <v>4977</v>
      </c>
      <c r="H419" s="1">
        <f>SUMIF([1]Sheet1!$G:$G,A419,[1]Sheet1!$O:$O)</f>
        <v>9126</v>
      </c>
      <c r="I419" s="21">
        <f t="shared" si="6"/>
        <v>0</v>
      </c>
    </row>
    <row r="420" spans="1:9" x14ac:dyDescent="0.25">
      <c r="A420" s="18" t="s">
        <v>10127</v>
      </c>
      <c r="B420" s="4" t="s">
        <v>3119</v>
      </c>
      <c r="C420" s="4" t="s">
        <v>577</v>
      </c>
      <c r="D420" s="4" t="s">
        <v>3290</v>
      </c>
      <c r="E420" s="9">
        <v>8888.4811111111121</v>
      </c>
      <c r="F420" s="9">
        <v>79996.330000000016</v>
      </c>
      <c r="G420" s="1" t="s">
        <v>10128</v>
      </c>
      <c r="H420" s="1">
        <f>SUMIF([1]Sheet1!$G:$G,A420,[1]Sheet1!$O:$O)</f>
        <v>79996.33</v>
      </c>
      <c r="I420" s="21">
        <f t="shared" si="6"/>
        <v>0</v>
      </c>
    </row>
    <row r="421" spans="1:9" x14ac:dyDescent="0.25">
      <c r="A421" s="18" t="s">
        <v>10072</v>
      </c>
      <c r="B421" s="4" t="s">
        <v>3120</v>
      </c>
      <c r="C421" s="4" t="s">
        <v>578</v>
      </c>
      <c r="D421" s="4" t="s">
        <v>3290</v>
      </c>
      <c r="E421" s="9">
        <v>6436.6027272727279</v>
      </c>
      <c r="F421" s="9">
        <v>70802.63</v>
      </c>
      <c r="G421" s="1" t="s">
        <v>10075</v>
      </c>
      <c r="H421" s="1">
        <f>SUMIF([1]Sheet1!$G:$G,A421,[1]Sheet1!$O:$O)</f>
        <v>70802.63</v>
      </c>
      <c r="I421" s="21">
        <f t="shared" si="6"/>
        <v>0</v>
      </c>
    </row>
    <row r="422" spans="1:9" x14ac:dyDescent="0.25">
      <c r="A422" s="18" t="s">
        <v>4887</v>
      </c>
      <c r="B422" s="4" t="s">
        <v>3121</v>
      </c>
      <c r="C422" s="4" t="s">
        <v>579</v>
      </c>
      <c r="D422" s="4" t="s">
        <v>3290</v>
      </c>
      <c r="E422" s="9">
        <v>3394.0660000000003</v>
      </c>
      <c r="F422" s="9">
        <v>16970.330000000002</v>
      </c>
      <c r="G422" s="1" t="s">
        <v>4888</v>
      </c>
      <c r="H422" s="1">
        <f>SUMIF([1]Sheet1!$G:$G,A422,[1]Sheet1!$O:$O)</f>
        <v>0</v>
      </c>
      <c r="I422" s="21">
        <f t="shared" si="6"/>
        <v>16970.330000000002</v>
      </c>
    </row>
    <row r="423" spans="1:9" x14ac:dyDescent="0.25">
      <c r="A423" s="18" t="s">
        <v>4933</v>
      </c>
      <c r="B423" s="4" t="s">
        <v>3122</v>
      </c>
      <c r="C423" s="4" t="s">
        <v>580</v>
      </c>
      <c r="D423" s="4" t="s">
        <v>3290</v>
      </c>
      <c r="E423" s="9">
        <v>6668.1150000000007</v>
      </c>
      <c r="F423" s="9">
        <v>40008.69</v>
      </c>
      <c r="G423" s="1" t="s">
        <v>4934</v>
      </c>
      <c r="H423" s="1">
        <f>SUMIF([1]Sheet1!$G:$G,A423,[1]Sheet1!$O:$O)</f>
        <v>40008.69</v>
      </c>
      <c r="I423" s="21">
        <f t="shared" si="6"/>
        <v>0</v>
      </c>
    </row>
    <row r="424" spans="1:9" x14ac:dyDescent="0.25">
      <c r="A424" s="18" t="s">
        <v>4915</v>
      </c>
      <c r="B424" s="4" t="s">
        <v>3123</v>
      </c>
      <c r="C424" s="4" t="s">
        <v>581</v>
      </c>
      <c r="D424" s="4" t="s">
        <v>3290</v>
      </c>
      <c r="E424" s="9">
        <v>11005.934999999999</v>
      </c>
      <c r="F424" s="9">
        <v>44023.74</v>
      </c>
      <c r="G424" s="1" t="s">
        <v>4916</v>
      </c>
      <c r="H424" s="1">
        <f>SUMIF([1]Sheet1!$G:$G,A424,[1]Sheet1!$O:$O)</f>
        <v>44023.74</v>
      </c>
      <c r="I424" s="21">
        <f t="shared" si="6"/>
        <v>0</v>
      </c>
    </row>
    <row r="425" spans="1:9" x14ac:dyDescent="0.25">
      <c r="A425" s="18" t="s">
        <v>10161</v>
      </c>
      <c r="B425" s="4" t="s">
        <v>3124</v>
      </c>
      <c r="C425" s="4" t="s">
        <v>582</v>
      </c>
      <c r="D425" s="4" t="s">
        <v>3290</v>
      </c>
      <c r="E425" s="9">
        <v>69783.47099999999</v>
      </c>
      <c r="F425" s="9">
        <v>697834.71</v>
      </c>
      <c r="G425" s="1" t="s">
        <v>10162</v>
      </c>
      <c r="H425" s="1">
        <f>SUMIF([1]Sheet1!$G:$G,A425,[1]Sheet1!$O:$O)</f>
        <v>697834.71</v>
      </c>
      <c r="I425" s="21">
        <f t="shared" si="6"/>
        <v>0</v>
      </c>
    </row>
    <row r="426" spans="1:9" x14ac:dyDescent="0.25">
      <c r="A426" s="18" t="s">
        <v>7025</v>
      </c>
      <c r="B426" s="4" t="s">
        <v>3125</v>
      </c>
      <c r="C426" s="4" t="s">
        <v>583</v>
      </c>
      <c r="D426" s="4" t="s">
        <v>3290</v>
      </c>
      <c r="E426" s="9">
        <v>93.22032258064516</v>
      </c>
      <c r="F426" s="9">
        <v>8669.49</v>
      </c>
      <c r="G426" s="1" t="s">
        <v>7026</v>
      </c>
      <c r="H426" s="1">
        <f>SUMIF([1]Sheet1!$G:$G,A426,[1]Sheet1!$O:$O)</f>
        <v>8576.27</v>
      </c>
      <c r="I426" s="21">
        <f t="shared" si="6"/>
        <v>93.219999999999345</v>
      </c>
    </row>
    <row r="427" spans="1:9" x14ac:dyDescent="0.25">
      <c r="A427" s="18" t="s">
        <v>7021</v>
      </c>
      <c r="B427" s="4" t="s">
        <v>3126</v>
      </c>
      <c r="C427" s="4" t="s">
        <v>584</v>
      </c>
      <c r="D427" s="4" t="s">
        <v>3290</v>
      </c>
      <c r="E427" s="9">
        <v>74.374134078212293</v>
      </c>
      <c r="F427" s="9">
        <v>13312.970000000001</v>
      </c>
      <c r="G427" s="1" t="s">
        <v>7022</v>
      </c>
      <c r="H427" s="1">
        <f>SUMIF([1]Sheet1!$G:$G,A427,[1]Sheet1!$O:$O)</f>
        <v>13312.96</v>
      </c>
      <c r="I427" s="21">
        <f t="shared" si="6"/>
        <v>1.0000000002037268E-2</v>
      </c>
    </row>
    <row r="428" spans="1:9" x14ac:dyDescent="0.25">
      <c r="A428" s="18" t="s">
        <v>4980</v>
      </c>
      <c r="B428" s="4" t="s">
        <v>3127</v>
      </c>
      <c r="C428" s="4" t="s">
        <v>585</v>
      </c>
      <c r="D428" s="4" t="s">
        <v>3290</v>
      </c>
      <c r="E428" s="9">
        <v>3246.75</v>
      </c>
      <c r="F428" s="9">
        <v>3246.75</v>
      </c>
      <c r="G428" s="1" t="s">
        <v>4981</v>
      </c>
      <c r="H428" s="1">
        <f>SUMIF([1]Sheet1!$G:$G,A428,[1]Sheet1!$O:$O)</f>
        <v>3246.75</v>
      </c>
      <c r="I428" s="21">
        <f t="shared" si="6"/>
        <v>0</v>
      </c>
    </row>
    <row r="429" spans="1:9" x14ac:dyDescent="0.25">
      <c r="A429" s="18" t="s">
        <v>4972</v>
      </c>
      <c r="B429" s="4" t="s">
        <v>3128</v>
      </c>
      <c r="C429" s="4" t="s">
        <v>586</v>
      </c>
      <c r="D429" s="4" t="s">
        <v>3290</v>
      </c>
      <c r="E429" s="9">
        <v>3653.2999999999997</v>
      </c>
      <c r="F429" s="9">
        <v>10959.9</v>
      </c>
      <c r="G429" s="1" t="s">
        <v>4973</v>
      </c>
      <c r="H429" s="1">
        <f>SUMIF([1]Sheet1!$G:$G,A429,[1]Sheet1!$O:$O)</f>
        <v>10959.9</v>
      </c>
      <c r="I429" s="21">
        <f t="shared" si="6"/>
        <v>0</v>
      </c>
    </row>
    <row r="430" spans="1:9" x14ac:dyDescent="0.25">
      <c r="A430" s="18" t="s">
        <v>7799</v>
      </c>
      <c r="B430" s="4" t="s">
        <v>3129</v>
      </c>
      <c r="C430" s="4" t="s">
        <v>587</v>
      </c>
      <c r="D430" s="4" t="s">
        <v>3290</v>
      </c>
      <c r="E430" s="9">
        <v>237.43432432432431</v>
      </c>
      <c r="F430" s="9">
        <v>8785.07</v>
      </c>
      <c r="G430" s="1" t="s">
        <v>7800</v>
      </c>
      <c r="H430" s="1">
        <f>SUMIF([1]Sheet1!$G:$G,A430,[1]Sheet1!$O:$O)</f>
        <v>0.16</v>
      </c>
      <c r="I430" s="21">
        <f t="shared" si="6"/>
        <v>8784.91</v>
      </c>
    </row>
    <row r="431" spans="1:9" x14ac:dyDescent="0.25">
      <c r="A431" s="18" t="s">
        <v>8997</v>
      </c>
      <c r="B431" s="4" t="s">
        <v>3130</v>
      </c>
      <c r="C431" s="4" t="s">
        <v>588</v>
      </c>
      <c r="D431" s="4" t="s">
        <v>3290</v>
      </c>
      <c r="E431" s="9">
        <v>193.66499999999999</v>
      </c>
      <c r="F431" s="9">
        <v>3098.64</v>
      </c>
      <c r="G431" s="1" t="s">
        <v>8998</v>
      </c>
      <c r="H431" s="1">
        <f>SUMIF([1]Sheet1!$G:$G,A431,[1]Sheet1!$O:$O)</f>
        <v>0</v>
      </c>
      <c r="I431" s="21">
        <f t="shared" si="6"/>
        <v>3098.64</v>
      </c>
    </row>
    <row r="432" spans="1:9" x14ac:dyDescent="0.25">
      <c r="A432" s="18" t="s">
        <v>7023</v>
      </c>
      <c r="B432" s="4" t="s">
        <v>3131</v>
      </c>
      <c r="C432" s="4" t="s">
        <v>589</v>
      </c>
      <c r="D432" s="4" t="s">
        <v>3290</v>
      </c>
      <c r="E432" s="9">
        <v>119.80296610169492</v>
      </c>
      <c r="F432" s="9">
        <v>14136.75</v>
      </c>
      <c r="G432" s="1" t="s">
        <v>7024</v>
      </c>
      <c r="H432" s="1">
        <f>SUMIF([1]Sheet1!$G:$G,A432,[1]Sheet1!$O:$O)</f>
        <v>14136.75</v>
      </c>
      <c r="I432" s="21">
        <f t="shared" si="6"/>
        <v>0</v>
      </c>
    </row>
    <row r="433" spans="1:9" x14ac:dyDescent="0.25">
      <c r="A433" s="18" t="s">
        <v>8761</v>
      </c>
      <c r="B433" s="4" t="s">
        <v>3132</v>
      </c>
      <c r="C433" s="4" t="s">
        <v>590</v>
      </c>
      <c r="D433" s="4" t="s">
        <v>3290</v>
      </c>
      <c r="E433" s="9">
        <v>134521.59461538462</v>
      </c>
      <c r="F433" s="9">
        <v>1748780.73</v>
      </c>
      <c r="G433" s="1" t="s">
        <v>8762</v>
      </c>
      <c r="H433" s="1">
        <f>SUMIF([1]Sheet1!$G:$G,A433,[1]Sheet1!$O:$O)</f>
        <v>1748780.73</v>
      </c>
      <c r="I433" s="21">
        <f t="shared" si="6"/>
        <v>0</v>
      </c>
    </row>
    <row r="434" spans="1:9" x14ac:dyDescent="0.25">
      <c r="A434" s="18" t="s">
        <v>4978</v>
      </c>
      <c r="B434" s="4" t="s">
        <v>3133</v>
      </c>
      <c r="C434" s="4" t="s">
        <v>591</v>
      </c>
      <c r="D434" s="4" t="s">
        <v>3290</v>
      </c>
      <c r="E434" s="9">
        <v>5001.75</v>
      </c>
      <c r="F434" s="9">
        <v>5001.75</v>
      </c>
      <c r="G434" s="1" t="s">
        <v>4979</v>
      </c>
      <c r="H434" s="1">
        <f>SUMIF([1]Sheet1!$G:$G,A434,[1]Sheet1!$O:$O)</f>
        <v>5001.75</v>
      </c>
      <c r="I434" s="21">
        <f t="shared" si="6"/>
        <v>0</v>
      </c>
    </row>
    <row r="435" spans="1:9" x14ac:dyDescent="0.25">
      <c r="A435" s="18" t="s">
        <v>8763</v>
      </c>
      <c r="B435" s="4" t="s">
        <v>3134</v>
      </c>
      <c r="C435" s="4" t="s">
        <v>592</v>
      </c>
      <c r="D435" s="4" t="s">
        <v>3290</v>
      </c>
      <c r="E435" s="9">
        <v>186383.42666666667</v>
      </c>
      <c r="F435" s="9">
        <v>2795751.4</v>
      </c>
      <c r="G435" s="1" t="s">
        <v>8764</v>
      </c>
      <c r="H435" s="1">
        <f>SUMIF([1]Sheet1!$G:$G,A435,[1]Sheet1!$O:$O)</f>
        <v>2795751.4</v>
      </c>
      <c r="I435" s="21">
        <f t="shared" si="6"/>
        <v>0</v>
      </c>
    </row>
    <row r="436" spans="1:9" x14ac:dyDescent="0.25">
      <c r="A436" s="18" t="s">
        <v>7795</v>
      </c>
      <c r="B436" s="4" t="s">
        <v>2027</v>
      </c>
      <c r="C436" s="4" t="s">
        <v>593</v>
      </c>
      <c r="D436" s="4" t="s">
        <v>3290</v>
      </c>
      <c r="E436" s="9">
        <v>94.515000000000001</v>
      </c>
      <c r="F436" s="9">
        <v>1512.24</v>
      </c>
      <c r="G436" s="1" t="s">
        <v>7798</v>
      </c>
      <c r="H436" s="1">
        <f>SUMIF([1]Sheet1!$G:$G,A436,[1]Sheet1!$O:$O)</f>
        <v>1512.24</v>
      </c>
      <c r="I436" s="21">
        <f t="shared" si="6"/>
        <v>0</v>
      </c>
    </row>
    <row r="437" spans="1:9" x14ac:dyDescent="0.25">
      <c r="A437" s="18" t="s">
        <v>10201</v>
      </c>
      <c r="B437" s="4" t="s">
        <v>3135</v>
      </c>
      <c r="C437" s="4" t="s">
        <v>594</v>
      </c>
      <c r="D437" s="4" t="s">
        <v>3290</v>
      </c>
      <c r="E437" s="9">
        <v>2421.3051515151519</v>
      </c>
      <c r="F437" s="9">
        <v>79903.070000000007</v>
      </c>
      <c r="G437" s="1" t="s">
        <v>10204</v>
      </c>
      <c r="H437" s="1">
        <f>SUMIF([1]Sheet1!$G:$G,A437,[1]Sheet1!$O:$O)</f>
        <v>79903.070000000007</v>
      </c>
      <c r="I437" s="21">
        <f t="shared" si="6"/>
        <v>0</v>
      </c>
    </row>
    <row r="438" spans="1:9" x14ac:dyDescent="0.25">
      <c r="A438" s="18" t="s">
        <v>10226</v>
      </c>
      <c r="B438" s="4" t="s">
        <v>3136</v>
      </c>
      <c r="C438" s="4" t="s">
        <v>595</v>
      </c>
      <c r="D438" s="4" t="s">
        <v>3290</v>
      </c>
      <c r="E438" s="9">
        <v>580.7409090909091</v>
      </c>
      <c r="F438" s="9">
        <v>6388.15</v>
      </c>
      <c r="G438" s="1" t="s">
        <v>10229</v>
      </c>
      <c r="H438" s="1">
        <f>SUMIF([1]Sheet1!$G:$G,A438,[1]Sheet1!$O:$O)</f>
        <v>6388.15</v>
      </c>
      <c r="I438" s="21">
        <f t="shared" si="6"/>
        <v>0</v>
      </c>
    </row>
    <row r="439" spans="1:9" x14ac:dyDescent="0.25">
      <c r="A439" s="18" t="s">
        <v>10042</v>
      </c>
      <c r="B439" s="4" t="s">
        <v>3137</v>
      </c>
      <c r="C439" s="4" t="s">
        <v>596</v>
      </c>
      <c r="D439" s="4" t="s">
        <v>3290</v>
      </c>
      <c r="E439" s="9">
        <v>7146.8981818181819</v>
      </c>
      <c r="F439" s="9">
        <v>78615.88</v>
      </c>
      <c r="G439" s="1" t="s">
        <v>10045</v>
      </c>
      <c r="H439" s="1">
        <f>SUMIF([1]Sheet1!$G:$G,A439,[1]Sheet1!$O:$O)</f>
        <v>78615.88</v>
      </c>
      <c r="I439" s="21">
        <f t="shared" si="6"/>
        <v>0</v>
      </c>
    </row>
    <row r="440" spans="1:9" x14ac:dyDescent="0.25">
      <c r="A440" s="18" t="s">
        <v>10084</v>
      </c>
      <c r="B440" s="4" t="s">
        <v>3138</v>
      </c>
      <c r="C440" s="4" t="s">
        <v>597</v>
      </c>
      <c r="D440" s="4" t="s">
        <v>3290</v>
      </c>
      <c r="E440" s="9">
        <v>6215.9633333333331</v>
      </c>
      <c r="F440" s="9">
        <v>55943.67</v>
      </c>
      <c r="G440" s="1" t="s">
        <v>10087</v>
      </c>
      <c r="H440" s="1">
        <f>SUMIF([1]Sheet1!$G:$G,A440,[1]Sheet1!$O:$O)</f>
        <v>55943.67</v>
      </c>
      <c r="I440" s="21">
        <f t="shared" si="6"/>
        <v>0</v>
      </c>
    </row>
    <row r="441" spans="1:9" x14ac:dyDescent="0.25">
      <c r="A441" s="18" t="s">
        <v>10150</v>
      </c>
      <c r="B441" s="4" t="s">
        <v>3139</v>
      </c>
      <c r="C441" s="4" t="s">
        <v>598</v>
      </c>
      <c r="D441" s="4" t="s">
        <v>3290</v>
      </c>
      <c r="E441" s="9">
        <v>20420.492727272729</v>
      </c>
      <c r="F441" s="9">
        <v>224625.42</v>
      </c>
      <c r="G441" s="1" t="s">
        <v>10153</v>
      </c>
      <c r="H441" s="1">
        <f>SUMIF([1]Sheet1!$G:$G,A441,[1]Sheet1!$O:$O)</f>
        <v>224625.42</v>
      </c>
      <c r="I441" s="21">
        <f t="shared" si="6"/>
        <v>0</v>
      </c>
    </row>
    <row r="442" spans="1:9" x14ac:dyDescent="0.25">
      <c r="A442" s="18" t="s">
        <v>4974</v>
      </c>
      <c r="B442" s="4" t="s">
        <v>3140</v>
      </c>
      <c r="C442" s="4" t="s">
        <v>599</v>
      </c>
      <c r="D442" s="4" t="s">
        <v>3290</v>
      </c>
      <c r="E442" s="9">
        <v>4036.5</v>
      </c>
      <c r="F442" s="9">
        <v>8073</v>
      </c>
      <c r="G442" s="1" t="s">
        <v>4975</v>
      </c>
      <c r="H442" s="1">
        <f>SUMIF([1]Sheet1!$G:$G,A442,[1]Sheet1!$O:$O)</f>
        <v>8073</v>
      </c>
      <c r="I442" s="21">
        <f t="shared" si="6"/>
        <v>0</v>
      </c>
    </row>
    <row r="443" spans="1:9" x14ac:dyDescent="0.25">
      <c r="A443" s="18" t="s">
        <v>4905</v>
      </c>
      <c r="B443" s="4" t="s">
        <v>3141</v>
      </c>
      <c r="C443" s="4" t="s">
        <v>600</v>
      </c>
      <c r="D443" s="4" t="s">
        <v>3290</v>
      </c>
      <c r="E443" s="9">
        <v>138216.1</v>
      </c>
      <c r="F443" s="9">
        <v>138216.1</v>
      </c>
      <c r="G443" s="1" t="s">
        <v>4908</v>
      </c>
      <c r="H443" s="1">
        <f>SUMIF([1]Sheet1!$G:$G,A443,[1]Sheet1!$O:$O)</f>
        <v>138216.1</v>
      </c>
      <c r="I443" s="21">
        <f t="shared" si="6"/>
        <v>0</v>
      </c>
    </row>
    <row r="444" spans="1:9" x14ac:dyDescent="0.25">
      <c r="A444" s="18" t="s">
        <v>10195</v>
      </c>
      <c r="B444" s="4" t="s">
        <v>3142</v>
      </c>
      <c r="C444" s="4" t="s">
        <v>601</v>
      </c>
      <c r="D444" s="4" t="s">
        <v>3290</v>
      </c>
      <c r="E444" s="9">
        <v>71.243448275862065</v>
      </c>
      <c r="F444" s="9">
        <v>2066.06</v>
      </c>
      <c r="G444" s="1" t="s">
        <v>10196</v>
      </c>
      <c r="H444" s="1">
        <f>SUMIF([1]Sheet1!$G:$G,A444,[1]Sheet1!$O:$O)</f>
        <v>2066.06</v>
      </c>
      <c r="I444" s="21">
        <f t="shared" si="6"/>
        <v>0</v>
      </c>
    </row>
    <row r="445" spans="1:9" x14ac:dyDescent="0.25">
      <c r="A445" s="18" t="s">
        <v>11447</v>
      </c>
      <c r="B445" s="4" t="s">
        <v>2028</v>
      </c>
      <c r="C445" s="4" t="s">
        <v>602</v>
      </c>
      <c r="D445" s="4" t="s">
        <v>3290</v>
      </c>
      <c r="E445" s="9">
        <v>805.08</v>
      </c>
      <c r="F445" s="9">
        <v>805.08</v>
      </c>
      <c r="G445" s="1" t="s">
        <v>11448</v>
      </c>
      <c r="H445" s="1">
        <f>SUMIF([1]Sheet1!$G:$G,A445,[1]Sheet1!$O:$O)</f>
        <v>805.08</v>
      </c>
      <c r="I445" s="21">
        <f t="shared" si="6"/>
        <v>0</v>
      </c>
    </row>
    <row r="446" spans="1:9" x14ac:dyDescent="0.25">
      <c r="A446" s="18" t="s">
        <v>6806</v>
      </c>
      <c r="B446" s="4" t="s">
        <v>3143</v>
      </c>
      <c r="C446" s="4" t="s">
        <v>603</v>
      </c>
      <c r="D446" s="4" t="s">
        <v>3290</v>
      </c>
      <c r="E446" s="9">
        <v>2711.86</v>
      </c>
      <c r="F446" s="9">
        <v>2711.86</v>
      </c>
      <c r="G446" s="1" t="s">
        <v>6809</v>
      </c>
      <c r="H446" s="1">
        <f>SUMIF([1]Sheet1!$G:$G,A446,[1]Sheet1!$O:$O)</f>
        <v>2711.86</v>
      </c>
      <c r="I446" s="21">
        <f t="shared" si="6"/>
        <v>0</v>
      </c>
    </row>
    <row r="447" spans="1:9" x14ac:dyDescent="0.25">
      <c r="A447" s="18" t="s">
        <v>11132</v>
      </c>
      <c r="B447" s="4" t="s">
        <v>2029</v>
      </c>
      <c r="C447" s="4" t="s">
        <v>604</v>
      </c>
      <c r="D447" s="4" t="s">
        <v>3290</v>
      </c>
      <c r="E447" s="9">
        <v>292.185</v>
      </c>
      <c r="F447" s="9">
        <v>584.37</v>
      </c>
      <c r="G447" s="1" t="s">
        <v>11133</v>
      </c>
      <c r="H447" s="1">
        <f>SUMIF([1]Sheet1!$G:$G,A447,[1]Sheet1!$O:$O)</f>
        <v>584.37</v>
      </c>
      <c r="I447" s="21">
        <f t="shared" si="6"/>
        <v>0</v>
      </c>
    </row>
    <row r="448" spans="1:9" x14ac:dyDescent="0.25">
      <c r="A448" s="18" t="s">
        <v>3467</v>
      </c>
      <c r="B448" s="4" t="s">
        <v>2030</v>
      </c>
      <c r="C448" s="4" t="s">
        <v>605</v>
      </c>
      <c r="D448" s="4" t="s">
        <v>3290</v>
      </c>
      <c r="E448" s="9">
        <v>164.578</v>
      </c>
      <c r="F448" s="9">
        <v>822.89</v>
      </c>
      <c r="G448" s="1" t="s">
        <v>3468</v>
      </c>
      <c r="H448" s="1">
        <f>SUMIF([1]Sheet1!$G:$G,A448,[1]Sheet1!$O:$O)</f>
        <v>822.89</v>
      </c>
      <c r="I448" s="21">
        <f t="shared" si="6"/>
        <v>0</v>
      </c>
    </row>
    <row r="449" spans="1:9" x14ac:dyDescent="0.25">
      <c r="A449" s="18" t="s">
        <v>4335</v>
      </c>
      <c r="B449" s="4" t="s">
        <v>2031</v>
      </c>
      <c r="C449" s="4" t="s">
        <v>606</v>
      </c>
      <c r="D449" s="4" t="s">
        <v>3290</v>
      </c>
      <c r="E449" s="9">
        <v>4.9716129032258065</v>
      </c>
      <c r="F449" s="9">
        <v>308.24</v>
      </c>
      <c r="G449" s="1" t="s">
        <v>4336</v>
      </c>
      <c r="H449" s="1">
        <f>SUMIF([1]Sheet1!$G:$G,A449,[1]Sheet1!$O:$O)</f>
        <v>298.3</v>
      </c>
      <c r="I449" s="21">
        <f t="shared" si="6"/>
        <v>9.9399999999999977</v>
      </c>
    </row>
    <row r="450" spans="1:9" x14ac:dyDescent="0.25">
      <c r="A450" s="18" t="s">
        <v>5963</v>
      </c>
      <c r="B450" s="4" t="s">
        <v>2032</v>
      </c>
      <c r="C450" s="4" t="s">
        <v>607</v>
      </c>
      <c r="D450" s="4" t="s">
        <v>3291</v>
      </c>
      <c r="E450" s="9">
        <v>2</v>
      </c>
      <c r="F450" s="9">
        <v>88</v>
      </c>
      <c r="G450" s="1" t="s">
        <v>5964</v>
      </c>
      <c r="H450" s="1">
        <f>SUMIF([1]Sheet1!$G:$G,A450,[1]Sheet1!$O:$O)</f>
        <v>88</v>
      </c>
      <c r="I450" s="21">
        <f t="shared" si="6"/>
        <v>0</v>
      </c>
    </row>
    <row r="451" spans="1:9" x14ac:dyDescent="0.25">
      <c r="A451" s="18" t="s">
        <v>5899</v>
      </c>
      <c r="B451" s="4" t="s">
        <v>2033</v>
      </c>
      <c r="C451" s="4" t="s">
        <v>570</v>
      </c>
      <c r="D451" s="4" t="s">
        <v>3289</v>
      </c>
      <c r="E451" s="9">
        <v>6</v>
      </c>
      <c r="F451" s="9">
        <v>6.3000000000000007</v>
      </c>
      <c r="G451" s="1" t="s">
        <v>5900</v>
      </c>
      <c r="H451" s="1">
        <f>SUMIF([1]Sheet1!$G:$G,A451,[1]Sheet1!$O:$O)</f>
        <v>6.3</v>
      </c>
      <c r="I451" s="21">
        <f t="shared" ref="I451:I514" si="7">F451-H451</f>
        <v>0</v>
      </c>
    </row>
    <row r="452" spans="1:9" x14ac:dyDescent="0.25">
      <c r="A452" s="18" t="s">
        <v>5961</v>
      </c>
      <c r="B452" s="4" t="s">
        <v>2034</v>
      </c>
      <c r="C452" s="4" t="s">
        <v>608</v>
      </c>
      <c r="D452" s="4" t="s">
        <v>3291</v>
      </c>
      <c r="E452" s="9">
        <v>2.5423611111111111</v>
      </c>
      <c r="F452" s="9">
        <v>36.61</v>
      </c>
      <c r="G452" s="1" t="s">
        <v>5962</v>
      </c>
      <c r="H452" s="1">
        <f>SUMIF([1]Sheet1!$G:$G,A452,[1]Sheet1!$O:$O)</f>
        <v>36.61</v>
      </c>
      <c r="I452" s="21">
        <f t="shared" si="7"/>
        <v>0</v>
      </c>
    </row>
    <row r="453" spans="1:9" x14ac:dyDescent="0.25">
      <c r="A453" s="18" t="s">
        <v>5997</v>
      </c>
      <c r="B453" s="4" t="s">
        <v>2035</v>
      </c>
      <c r="C453" s="4" t="s">
        <v>609</v>
      </c>
      <c r="D453" s="4" t="s">
        <v>3289</v>
      </c>
      <c r="E453" s="9">
        <v>45</v>
      </c>
      <c r="F453" s="9">
        <v>54</v>
      </c>
      <c r="G453" s="1" t="s">
        <v>5998</v>
      </c>
      <c r="H453" s="1">
        <f>SUMIF([1]Sheet1!$G:$G,A453,[1]Sheet1!$O:$O)</f>
        <v>54</v>
      </c>
      <c r="I453" s="21">
        <f t="shared" si="7"/>
        <v>0</v>
      </c>
    </row>
    <row r="454" spans="1:9" x14ac:dyDescent="0.25">
      <c r="A454" s="18" t="s">
        <v>10746</v>
      </c>
      <c r="B454" s="4" t="s">
        <v>2036</v>
      </c>
      <c r="C454" s="4" t="s">
        <v>610</v>
      </c>
      <c r="D454" s="4" t="s">
        <v>3291</v>
      </c>
      <c r="E454" s="9">
        <v>3.7262165347701632</v>
      </c>
      <c r="F454" s="9">
        <v>22.13</v>
      </c>
      <c r="G454" s="1" t="s">
        <v>10747</v>
      </c>
      <c r="H454" s="1">
        <f>SUMIF([1]Sheet1!$G:$G,A454,[1]Sheet1!$O:$O)</f>
        <v>22.13</v>
      </c>
      <c r="I454" s="21">
        <f t="shared" si="7"/>
        <v>0</v>
      </c>
    </row>
    <row r="455" spans="1:9" x14ac:dyDescent="0.25">
      <c r="A455" s="18" t="s">
        <v>11557</v>
      </c>
      <c r="B455" s="4" t="s">
        <v>2037</v>
      </c>
      <c r="C455" s="4" t="s">
        <v>611</v>
      </c>
      <c r="D455" s="4" t="s">
        <v>3291</v>
      </c>
      <c r="E455" s="9">
        <v>4.7321428571428577</v>
      </c>
      <c r="F455" s="9">
        <v>13.25</v>
      </c>
      <c r="G455" s="1" t="s">
        <v>11558</v>
      </c>
      <c r="H455" s="1">
        <f>SUMIF([1]Sheet1!$G:$G,A455,[1]Sheet1!$O:$O)</f>
        <v>13.25</v>
      </c>
      <c r="I455" s="21">
        <f t="shared" si="7"/>
        <v>0</v>
      </c>
    </row>
    <row r="456" spans="1:9" x14ac:dyDescent="0.25">
      <c r="A456" s="18" t="s">
        <v>11760</v>
      </c>
      <c r="B456" s="4" t="s">
        <v>2038</v>
      </c>
      <c r="C456" s="4" t="s">
        <v>612</v>
      </c>
      <c r="D456" s="4" t="s">
        <v>3289</v>
      </c>
      <c r="E456" s="9">
        <v>3.5346325428504337</v>
      </c>
      <c r="F456" s="9">
        <v>75.27</v>
      </c>
      <c r="G456" s="1" t="s">
        <v>11763</v>
      </c>
      <c r="H456" s="1">
        <f>SUMIF([1]Sheet1!$G:$G,A456,[1]Sheet1!$O:$O)</f>
        <v>75.27</v>
      </c>
      <c r="I456" s="21">
        <f t="shared" si="7"/>
        <v>0</v>
      </c>
    </row>
    <row r="457" spans="1:9" x14ac:dyDescent="0.25">
      <c r="A457" s="18" t="s">
        <v>10738</v>
      </c>
      <c r="B457" s="4" t="s">
        <v>2039</v>
      </c>
      <c r="C457" s="4" t="s">
        <v>613</v>
      </c>
      <c r="D457" s="4" t="s">
        <v>3291</v>
      </c>
      <c r="E457" s="9">
        <v>3.9841449603624008</v>
      </c>
      <c r="F457" s="9">
        <v>35.18</v>
      </c>
      <c r="G457" s="1" t="s">
        <v>10739</v>
      </c>
      <c r="H457" s="1">
        <f>SUMIF([1]Sheet1!$G:$G,A457,[1]Sheet1!$O:$O)</f>
        <v>35.18</v>
      </c>
      <c r="I457" s="21">
        <f t="shared" si="7"/>
        <v>0</v>
      </c>
    </row>
    <row r="458" spans="1:9" x14ac:dyDescent="0.25">
      <c r="A458" s="18" t="s">
        <v>9821</v>
      </c>
      <c r="B458" s="4" t="s">
        <v>2040</v>
      </c>
      <c r="C458" s="4" t="s">
        <v>614</v>
      </c>
      <c r="D458" s="4" t="s">
        <v>3290</v>
      </c>
      <c r="E458" s="9">
        <v>67.493333333333325</v>
      </c>
      <c r="F458" s="9">
        <v>202.47999999999996</v>
      </c>
      <c r="G458" s="1" t="s">
        <v>9822</v>
      </c>
      <c r="H458" s="1">
        <f>SUMIF([1]Sheet1!$G:$G,A458,[1]Sheet1!$O:$O)</f>
        <v>202.48</v>
      </c>
      <c r="I458" s="21">
        <f t="shared" si="7"/>
        <v>0</v>
      </c>
    </row>
    <row r="459" spans="1:9" x14ac:dyDescent="0.25">
      <c r="A459" s="18" t="s">
        <v>11505</v>
      </c>
      <c r="B459" s="4" t="s">
        <v>2041</v>
      </c>
      <c r="C459" s="4" t="s">
        <v>615</v>
      </c>
      <c r="D459" s="4" t="s">
        <v>3291</v>
      </c>
      <c r="E459" s="9">
        <v>4.1201716738197431</v>
      </c>
      <c r="F459" s="9">
        <v>34.56</v>
      </c>
      <c r="G459" s="1" t="s">
        <v>11506</v>
      </c>
      <c r="H459" s="1">
        <f>SUMIF([1]Sheet1!$G:$G,A459,[1]Sheet1!$O:$O)</f>
        <v>34.56</v>
      </c>
      <c r="I459" s="21">
        <f t="shared" si="7"/>
        <v>0</v>
      </c>
    </row>
    <row r="460" spans="1:9" x14ac:dyDescent="0.25">
      <c r="A460" s="18" t="s">
        <v>10734</v>
      </c>
      <c r="B460" s="4" t="s">
        <v>2042</v>
      </c>
      <c r="C460" s="4" t="s">
        <v>616</v>
      </c>
      <c r="D460" s="4" t="s">
        <v>3291</v>
      </c>
      <c r="E460" s="9">
        <v>4.1369351002378529</v>
      </c>
      <c r="F460" s="9">
        <v>24.35</v>
      </c>
      <c r="G460" s="1" t="s">
        <v>10735</v>
      </c>
      <c r="H460" s="1">
        <f>SUMIF([1]Sheet1!$G:$G,A460,[1]Sheet1!$O:$O)</f>
        <v>24.35</v>
      </c>
      <c r="I460" s="21">
        <f t="shared" si="7"/>
        <v>0</v>
      </c>
    </row>
    <row r="461" spans="1:9" x14ac:dyDescent="0.25">
      <c r="A461" s="18" t="s">
        <v>11515</v>
      </c>
      <c r="B461" s="4" t="s">
        <v>2043</v>
      </c>
      <c r="C461" s="4" t="s">
        <v>617</v>
      </c>
      <c r="D461" s="4" t="s">
        <v>3291</v>
      </c>
      <c r="E461" s="9">
        <v>4.075968992248062</v>
      </c>
      <c r="F461" s="9">
        <v>26.29</v>
      </c>
      <c r="G461" s="1" t="s">
        <v>11516</v>
      </c>
      <c r="H461" s="1">
        <f>SUMIF([1]Sheet1!$G:$G,A461,[1]Sheet1!$O:$O)</f>
        <v>26.29</v>
      </c>
      <c r="I461" s="21">
        <f t="shared" si="7"/>
        <v>0</v>
      </c>
    </row>
    <row r="462" spans="1:9" x14ac:dyDescent="0.25">
      <c r="A462" s="18" t="s">
        <v>11498</v>
      </c>
      <c r="B462" s="4" t="s">
        <v>2044</v>
      </c>
      <c r="C462" s="4" t="s">
        <v>618</v>
      </c>
      <c r="D462" s="4" t="s">
        <v>3291</v>
      </c>
      <c r="E462" s="9">
        <v>4.2380952380952381</v>
      </c>
      <c r="F462" s="9">
        <v>3.56</v>
      </c>
      <c r="G462" s="1" t="s">
        <v>11499</v>
      </c>
      <c r="H462" s="1">
        <f>SUMIF([1]Sheet1!$G:$G,A462,[1]Sheet1!$O:$O)</f>
        <v>3.56</v>
      </c>
      <c r="I462" s="21">
        <f t="shared" si="7"/>
        <v>0</v>
      </c>
    </row>
    <row r="463" spans="1:9" x14ac:dyDescent="0.25">
      <c r="A463" s="18" t="s">
        <v>5586</v>
      </c>
      <c r="B463" s="4" t="s">
        <v>2045</v>
      </c>
      <c r="C463" s="4" t="s">
        <v>619</v>
      </c>
      <c r="D463" s="4" t="s">
        <v>3290</v>
      </c>
      <c r="E463" s="9">
        <v>3.8531249999999999</v>
      </c>
      <c r="F463" s="9">
        <v>61.65</v>
      </c>
      <c r="G463" s="1" t="s">
        <v>5587</v>
      </c>
      <c r="H463" s="1">
        <f>SUMIF([1]Sheet1!$G:$G,A463,[1]Sheet1!$O:$O)</f>
        <v>61.65</v>
      </c>
      <c r="I463" s="21">
        <f t="shared" si="7"/>
        <v>0</v>
      </c>
    </row>
    <row r="464" spans="1:9" x14ac:dyDescent="0.25">
      <c r="A464" s="18" t="s">
        <v>10672</v>
      </c>
      <c r="B464" s="4" t="s">
        <v>2046</v>
      </c>
      <c r="C464" s="4" t="s">
        <v>620</v>
      </c>
      <c r="D464" s="4" t="s">
        <v>3295</v>
      </c>
      <c r="E464" s="9">
        <v>60.314999999999998</v>
      </c>
      <c r="F464" s="9">
        <v>361.89</v>
      </c>
      <c r="G464" s="1" t="s">
        <v>10673</v>
      </c>
      <c r="H464" s="1">
        <f>SUMIF([1]Sheet1!$G:$G,A464,[1]Sheet1!$O:$O)</f>
        <v>361.89</v>
      </c>
      <c r="I464" s="21">
        <f t="shared" si="7"/>
        <v>0</v>
      </c>
    </row>
    <row r="465" spans="1:9" x14ac:dyDescent="0.25">
      <c r="A465" s="18" t="s">
        <v>3991</v>
      </c>
      <c r="B465" s="4" t="s">
        <v>2047</v>
      </c>
      <c r="C465" s="4" t="s">
        <v>621</v>
      </c>
      <c r="D465" s="4" t="s">
        <v>3290</v>
      </c>
      <c r="E465" s="9">
        <v>70.974999999999994</v>
      </c>
      <c r="F465" s="9">
        <v>283.89999999999998</v>
      </c>
      <c r="G465" s="1" t="s">
        <v>3992</v>
      </c>
      <c r="H465" s="1">
        <f>SUMIF([1]Sheet1!$G:$G,A465,[1]Sheet1!$O:$O)</f>
        <v>283.89999999999998</v>
      </c>
      <c r="I465" s="21">
        <f t="shared" si="7"/>
        <v>0</v>
      </c>
    </row>
    <row r="466" spans="1:9" x14ac:dyDescent="0.25">
      <c r="A466" s="18" t="s">
        <v>9503</v>
      </c>
      <c r="B466" s="4" t="s">
        <v>2048</v>
      </c>
      <c r="C466" s="4" t="s">
        <v>622</v>
      </c>
      <c r="D466" s="4" t="s">
        <v>3291</v>
      </c>
      <c r="E466" s="9">
        <v>3.8888888888888888</v>
      </c>
      <c r="F466" s="9">
        <v>1.26</v>
      </c>
      <c r="G466" s="1" t="s">
        <v>9504</v>
      </c>
      <c r="H466" s="1">
        <f>SUMIF([1]Sheet1!$G:$G,A466,[1]Sheet1!$O:$O)</f>
        <v>1.26</v>
      </c>
      <c r="I466" s="21">
        <f t="shared" si="7"/>
        <v>0</v>
      </c>
    </row>
    <row r="467" spans="1:9" x14ac:dyDescent="0.25">
      <c r="A467" s="18" t="s">
        <v>10724</v>
      </c>
      <c r="B467" s="4" t="s">
        <v>2049</v>
      </c>
      <c r="C467" s="4" t="s">
        <v>623</v>
      </c>
      <c r="D467" s="4" t="s">
        <v>3291</v>
      </c>
      <c r="E467" s="9">
        <v>4.2643391521197005</v>
      </c>
      <c r="F467" s="9">
        <v>1.71</v>
      </c>
      <c r="G467" s="1" t="s">
        <v>10725</v>
      </c>
      <c r="H467" s="1">
        <f>SUMIF([1]Sheet1!$G:$G,A467,[1]Sheet1!$O:$O)</f>
        <v>1.71</v>
      </c>
      <c r="I467" s="21">
        <f t="shared" si="7"/>
        <v>0</v>
      </c>
    </row>
    <row r="468" spans="1:9" x14ac:dyDescent="0.25">
      <c r="A468" s="18" t="s">
        <v>9495</v>
      </c>
      <c r="B468" s="4" t="s">
        <v>2050</v>
      </c>
      <c r="C468" s="4" t="s">
        <v>624</v>
      </c>
      <c r="D468" s="4" t="s">
        <v>3291</v>
      </c>
      <c r="E468" s="9">
        <v>4.1392405063291138</v>
      </c>
      <c r="F468" s="9">
        <v>3.27</v>
      </c>
      <c r="G468" s="1" t="s">
        <v>9496</v>
      </c>
      <c r="H468" s="1">
        <f>SUMIF([1]Sheet1!$G:$G,A468,[1]Sheet1!$O:$O)</f>
        <v>3.27</v>
      </c>
      <c r="I468" s="21">
        <f t="shared" si="7"/>
        <v>0</v>
      </c>
    </row>
    <row r="469" spans="1:9" x14ac:dyDescent="0.25">
      <c r="A469" s="18" t="s">
        <v>9449</v>
      </c>
      <c r="B469" s="4" t="s">
        <v>2051</v>
      </c>
      <c r="C469" s="4" t="s">
        <v>625</v>
      </c>
      <c r="D469" s="4" t="s">
        <v>3291</v>
      </c>
      <c r="E469" s="9">
        <v>4.416666666666667</v>
      </c>
      <c r="F469" s="9">
        <v>0.53</v>
      </c>
      <c r="G469" s="1" t="s">
        <v>9450</v>
      </c>
      <c r="H469" s="1">
        <f>SUMIF([1]Sheet1!$G:$G,A469,[1]Sheet1!$O:$O)</f>
        <v>0.53</v>
      </c>
      <c r="I469" s="21">
        <f t="shared" si="7"/>
        <v>0</v>
      </c>
    </row>
    <row r="470" spans="1:9" x14ac:dyDescent="0.25">
      <c r="A470" s="18" t="s">
        <v>9499</v>
      </c>
      <c r="B470" s="4" t="s">
        <v>2052</v>
      </c>
      <c r="C470" s="4" t="s">
        <v>626</v>
      </c>
      <c r="D470" s="4" t="s">
        <v>3291</v>
      </c>
      <c r="E470" s="9">
        <v>4.6363636363636367</v>
      </c>
      <c r="F470" s="9">
        <v>1.02</v>
      </c>
      <c r="G470" s="1" t="s">
        <v>9500</v>
      </c>
      <c r="H470" s="1">
        <f>SUMIF([1]Sheet1!$G:$G,A470,[1]Sheet1!$O:$O)</f>
        <v>1.02</v>
      </c>
      <c r="I470" s="21">
        <f t="shared" si="7"/>
        <v>0</v>
      </c>
    </row>
    <row r="471" spans="1:9" x14ac:dyDescent="0.25">
      <c r="A471" s="18" t="s">
        <v>9554</v>
      </c>
      <c r="B471" s="4" t="s">
        <v>2053</v>
      </c>
      <c r="C471" s="4" t="s">
        <v>627</v>
      </c>
      <c r="D471" s="4" t="s">
        <v>3291</v>
      </c>
      <c r="E471" s="9">
        <v>4.249613202681795</v>
      </c>
      <c r="F471" s="9">
        <v>8.24</v>
      </c>
      <c r="G471" s="1" t="s">
        <v>9555</v>
      </c>
      <c r="H471" s="1">
        <f>SUMIF([1]Sheet1!$G:$G,A471,[1]Sheet1!$O:$O)</f>
        <v>8.24</v>
      </c>
      <c r="I471" s="21">
        <f t="shared" si="7"/>
        <v>0</v>
      </c>
    </row>
    <row r="472" spans="1:9" x14ac:dyDescent="0.25">
      <c r="A472" s="18" t="s">
        <v>9489</v>
      </c>
      <c r="B472" s="4" t="s">
        <v>2054</v>
      </c>
      <c r="C472" s="4" t="s">
        <v>628</v>
      </c>
      <c r="D472" s="4" t="s">
        <v>3291</v>
      </c>
      <c r="E472" s="9">
        <v>5</v>
      </c>
      <c r="F472" s="9">
        <v>0.05</v>
      </c>
      <c r="G472" s="1" t="s">
        <v>9490</v>
      </c>
      <c r="H472" s="1">
        <f>SUMIF([1]Sheet1!$G:$G,A472,[1]Sheet1!$O:$O)</f>
        <v>0.05</v>
      </c>
      <c r="I472" s="21">
        <f t="shared" si="7"/>
        <v>0</v>
      </c>
    </row>
    <row r="473" spans="1:9" x14ac:dyDescent="0.25">
      <c r="A473" s="18" t="s">
        <v>5903</v>
      </c>
      <c r="B473" s="4" t="s">
        <v>2055</v>
      </c>
      <c r="C473" s="4" t="s">
        <v>629</v>
      </c>
      <c r="D473" s="4" t="s">
        <v>3291</v>
      </c>
      <c r="E473" s="9">
        <v>5.5989445910290234</v>
      </c>
      <c r="F473" s="9">
        <v>21.22</v>
      </c>
      <c r="G473" s="1" t="s">
        <v>5904</v>
      </c>
      <c r="H473" s="1">
        <f>SUMIF([1]Sheet1!$G:$G,A473,[1]Sheet1!$O:$O)</f>
        <v>21.22</v>
      </c>
      <c r="I473" s="21">
        <f t="shared" si="7"/>
        <v>0</v>
      </c>
    </row>
    <row r="474" spans="1:9" x14ac:dyDescent="0.25">
      <c r="A474" s="18" t="s">
        <v>7603</v>
      </c>
      <c r="B474" s="4" t="s">
        <v>2056</v>
      </c>
      <c r="C474" s="4" t="s">
        <v>630</v>
      </c>
      <c r="D474" s="4" t="s">
        <v>3290</v>
      </c>
      <c r="E474" s="9">
        <v>14.404999999999999</v>
      </c>
      <c r="F474" s="9">
        <v>57.62</v>
      </c>
      <c r="G474" s="1" t="s">
        <v>7604</v>
      </c>
      <c r="H474" s="1">
        <f>SUMIF([1]Sheet1!$G:$G,A474,[1]Sheet1!$O:$O)</f>
        <v>57.62</v>
      </c>
      <c r="I474" s="21">
        <f t="shared" si="7"/>
        <v>0</v>
      </c>
    </row>
    <row r="475" spans="1:9" x14ac:dyDescent="0.25">
      <c r="A475" s="18" t="s">
        <v>4229</v>
      </c>
      <c r="B475" s="4" t="s">
        <v>2057</v>
      </c>
      <c r="C475" s="4" t="s">
        <v>631</v>
      </c>
      <c r="D475" s="4" t="s">
        <v>3290</v>
      </c>
      <c r="E475" s="9">
        <v>295.00493150684935</v>
      </c>
      <c r="F475" s="9">
        <v>21535.360000000001</v>
      </c>
      <c r="G475" s="1" t="s">
        <v>4232</v>
      </c>
      <c r="H475" s="1">
        <f>SUMIF([1]Sheet1!$G:$G,A475,[1]Sheet1!$O:$O)</f>
        <v>20650.34</v>
      </c>
      <c r="I475" s="21">
        <f t="shared" si="7"/>
        <v>885.02000000000044</v>
      </c>
    </row>
    <row r="476" spans="1:9" x14ac:dyDescent="0.25">
      <c r="A476" s="18" t="s">
        <v>7318</v>
      </c>
      <c r="B476" s="4" t="s">
        <v>2058</v>
      </c>
      <c r="C476" s="4" t="s">
        <v>632</v>
      </c>
      <c r="D476" s="4" t="s">
        <v>3289</v>
      </c>
      <c r="E476" s="9">
        <v>3.8128745837957818</v>
      </c>
      <c r="F476" s="9">
        <v>515.30999999999995</v>
      </c>
      <c r="G476" s="1" t="s">
        <v>7319</v>
      </c>
      <c r="H476" s="1">
        <f>SUMIF([1]Sheet1!$G:$G,A476,[1]Sheet1!$O:$O)</f>
        <v>477.18</v>
      </c>
      <c r="I476" s="21">
        <f t="shared" si="7"/>
        <v>38.129999999999939</v>
      </c>
    </row>
    <row r="477" spans="1:9" x14ac:dyDescent="0.25">
      <c r="A477" s="18" t="s">
        <v>4221</v>
      </c>
      <c r="B477" s="4" t="s">
        <v>2059</v>
      </c>
      <c r="C477" s="4" t="s">
        <v>633</v>
      </c>
      <c r="D477" s="4" t="s">
        <v>3295</v>
      </c>
      <c r="E477" s="9">
        <v>11.849143610013176</v>
      </c>
      <c r="F477" s="9">
        <v>179.87</v>
      </c>
      <c r="G477" s="1" t="s">
        <v>4222</v>
      </c>
      <c r="H477" s="1">
        <f>SUMIF([1]Sheet1!$G:$G,A477,[1]Sheet1!$O:$O)</f>
        <v>179.87</v>
      </c>
      <c r="I477" s="21">
        <f t="shared" si="7"/>
        <v>0</v>
      </c>
    </row>
    <row r="478" spans="1:9" x14ac:dyDescent="0.25">
      <c r="A478" s="18" t="s">
        <v>6934</v>
      </c>
      <c r="B478" s="4" t="s">
        <v>2060</v>
      </c>
      <c r="C478" s="4" t="s">
        <v>634</v>
      </c>
      <c r="D478" s="4" t="s">
        <v>3290</v>
      </c>
      <c r="E478" s="9">
        <v>42.896666666666668</v>
      </c>
      <c r="F478" s="9">
        <v>128.69</v>
      </c>
      <c r="G478" s="1" t="s">
        <v>6935</v>
      </c>
      <c r="H478" s="1">
        <f>SUMIF([1]Sheet1!$G:$G,A478,[1]Sheet1!$O:$O)</f>
        <v>128.69</v>
      </c>
      <c r="I478" s="21">
        <f t="shared" si="7"/>
        <v>0</v>
      </c>
    </row>
    <row r="479" spans="1:9" x14ac:dyDescent="0.25">
      <c r="A479" s="18" t="s">
        <v>5744</v>
      </c>
      <c r="B479" s="4" t="s">
        <v>2061</v>
      </c>
      <c r="C479" s="4" t="s">
        <v>635</v>
      </c>
      <c r="D479" s="4" t="s">
        <v>3289</v>
      </c>
      <c r="E479" s="9">
        <v>2.7062037037037037</v>
      </c>
      <c r="F479" s="9">
        <v>584.54</v>
      </c>
      <c r="G479" s="1" t="s">
        <v>5745</v>
      </c>
      <c r="H479" s="1">
        <f>SUMIF([1]Sheet1!$G:$G,A479,[1]Sheet1!$O:$O)</f>
        <v>584.54</v>
      </c>
      <c r="I479" s="21">
        <f t="shared" si="7"/>
        <v>0</v>
      </c>
    </row>
    <row r="480" spans="1:9" x14ac:dyDescent="0.25">
      <c r="A480" s="18" t="s">
        <v>6566</v>
      </c>
      <c r="B480" s="4" t="s">
        <v>2062</v>
      </c>
      <c r="C480" s="4" t="s">
        <v>636</v>
      </c>
      <c r="D480" s="4" t="s">
        <v>3291</v>
      </c>
      <c r="E480" s="9">
        <v>3.2333333333333334</v>
      </c>
      <c r="F480" s="9">
        <v>0.97</v>
      </c>
      <c r="G480" s="1" t="s">
        <v>6567</v>
      </c>
      <c r="H480" s="1">
        <f>SUMIF([1]Sheet1!$G:$G,A480,[1]Sheet1!$O:$O)</f>
        <v>0.97</v>
      </c>
      <c r="I480" s="21">
        <f t="shared" si="7"/>
        <v>0</v>
      </c>
    </row>
    <row r="481" spans="1:9" x14ac:dyDescent="0.25">
      <c r="A481" s="18" t="s">
        <v>6295</v>
      </c>
      <c r="B481" s="4" t="s">
        <v>2063</v>
      </c>
      <c r="C481" s="4" t="s">
        <v>637</v>
      </c>
      <c r="D481" s="4" t="s">
        <v>3290</v>
      </c>
      <c r="E481" s="9">
        <v>12.015000000000001</v>
      </c>
      <c r="F481" s="9">
        <v>288.36</v>
      </c>
      <c r="G481" s="1" t="s">
        <v>6297</v>
      </c>
      <c r="H481" s="1">
        <f>SUMIF([1]Sheet1!$G:$G,A481,[1]Sheet1!$O:$O)</f>
        <v>288.36</v>
      </c>
      <c r="I481" s="21">
        <f t="shared" si="7"/>
        <v>0</v>
      </c>
    </row>
    <row r="482" spans="1:9" x14ac:dyDescent="0.25">
      <c r="A482" s="18" t="s">
        <v>9425</v>
      </c>
      <c r="B482" s="4" t="s">
        <v>2064</v>
      </c>
      <c r="C482" s="4" t="s">
        <v>638</v>
      </c>
      <c r="D482" s="4" t="s">
        <v>3291</v>
      </c>
      <c r="E482" s="9">
        <v>3.1346153846153846</v>
      </c>
      <c r="F482" s="9">
        <v>8.15</v>
      </c>
      <c r="G482" s="1" t="s">
        <v>9426</v>
      </c>
      <c r="H482" s="1">
        <f>SUMIF([1]Sheet1!$G:$G,A482,[1]Sheet1!$O:$O)</f>
        <v>8.15</v>
      </c>
      <c r="I482" s="21">
        <f t="shared" si="7"/>
        <v>0</v>
      </c>
    </row>
    <row r="483" spans="1:9" x14ac:dyDescent="0.25">
      <c r="A483" s="18" t="s">
        <v>7320</v>
      </c>
      <c r="B483" s="4" t="s">
        <v>2065</v>
      </c>
      <c r="C483" s="4" t="s">
        <v>639</v>
      </c>
      <c r="D483" s="4" t="s">
        <v>3289</v>
      </c>
      <c r="E483" s="9">
        <v>14.407299270072993</v>
      </c>
      <c r="F483" s="9">
        <v>98.69</v>
      </c>
      <c r="G483" s="1" t="s">
        <v>7321</v>
      </c>
      <c r="H483" s="1">
        <f>SUMIF([1]Sheet1!$G:$G,A483,[1]Sheet1!$O:$O)</f>
        <v>98.69</v>
      </c>
      <c r="I483" s="21">
        <f t="shared" si="7"/>
        <v>0</v>
      </c>
    </row>
    <row r="484" spans="1:9" x14ac:dyDescent="0.25">
      <c r="A484" s="18" t="s">
        <v>7369</v>
      </c>
      <c r="B484" s="4" t="s">
        <v>2066</v>
      </c>
      <c r="C484" s="4" t="s">
        <v>640</v>
      </c>
      <c r="D484" s="4" t="s">
        <v>3289</v>
      </c>
      <c r="E484" s="9">
        <v>53.452289023717597</v>
      </c>
      <c r="F484" s="9">
        <v>969.09</v>
      </c>
      <c r="G484" s="1" t="s">
        <v>7370</v>
      </c>
      <c r="H484" s="1">
        <f>SUMIF([1]Sheet1!$G:$G,A484,[1]Sheet1!$O:$O)</f>
        <v>969.09</v>
      </c>
      <c r="I484" s="21">
        <f t="shared" si="7"/>
        <v>0</v>
      </c>
    </row>
    <row r="485" spans="1:9" x14ac:dyDescent="0.25">
      <c r="A485" s="18" t="s">
        <v>7155</v>
      </c>
      <c r="B485" s="4" t="s">
        <v>2067</v>
      </c>
      <c r="C485" s="4" t="s">
        <v>641</v>
      </c>
      <c r="D485" s="4" t="s">
        <v>3289</v>
      </c>
      <c r="E485" s="9">
        <v>188.49047141424271</v>
      </c>
      <c r="F485" s="9">
        <v>1879.25</v>
      </c>
      <c r="G485" s="1" t="s">
        <v>7156</v>
      </c>
      <c r="H485" s="1">
        <f>SUMIF([1]Sheet1!$G:$G,A485,[1]Sheet1!$O:$O)</f>
        <v>1879.25</v>
      </c>
      <c r="I485" s="21">
        <f t="shared" si="7"/>
        <v>0</v>
      </c>
    </row>
    <row r="486" spans="1:9" x14ac:dyDescent="0.25">
      <c r="A486" s="18" t="s">
        <v>7314</v>
      </c>
      <c r="B486" s="4" t="s">
        <v>2068</v>
      </c>
      <c r="C486" s="4" t="s">
        <v>642</v>
      </c>
      <c r="D486" s="4" t="s">
        <v>3289</v>
      </c>
      <c r="E486" s="9">
        <v>415.88897804054051</v>
      </c>
      <c r="F486" s="9">
        <v>98482.51</v>
      </c>
      <c r="G486" s="1" t="s">
        <v>7315</v>
      </c>
      <c r="H486" s="1">
        <f>SUMIF([1]Sheet1!$G:$G,A486,[1]Sheet1!$O:$O)</f>
        <v>98482.52</v>
      </c>
      <c r="I486" s="21">
        <f t="shared" si="7"/>
        <v>-1.0000000009313226E-2</v>
      </c>
    </row>
    <row r="487" spans="1:9" x14ac:dyDescent="0.25">
      <c r="A487" s="18" t="s">
        <v>11311</v>
      </c>
      <c r="B487" s="4" t="s">
        <v>2069</v>
      </c>
      <c r="C487" s="4" t="s">
        <v>643</v>
      </c>
      <c r="D487" s="4" t="s">
        <v>3295</v>
      </c>
      <c r="E487" s="9">
        <v>0.32307692307692309</v>
      </c>
      <c r="F487" s="9">
        <v>71.400000000000006</v>
      </c>
      <c r="G487" s="1" t="s">
        <v>11312</v>
      </c>
      <c r="H487" s="1">
        <f>SUMIF([1]Sheet1!$G:$G,A487,[1]Sheet1!$O:$O)</f>
        <v>71.41</v>
      </c>
      <c r="I487" s="21">
        <f t="shared" si="7"/>
        <v>-9.9999999999909051E-3</v>
      </c>
    </row>
    <row r="488" spans="1:9" x14ac:dyDescent="0.25">
      <c r="A488" s="18" t="s">
        <v>11097</v>
      </c>
      <c r="B488" s="4" t="s">
        <v>2070</v>
      </c>
      <c r="C488" s="4" t="s">
        <v>644</v>
      </c>
      <c r="D488" s="4" t="s">
        <v>3290</v>
      </c>
      <c r="E488" s="9">
        <v>38.134999999999998</v>
      </c>
      <c r="F488" s="9">
        <v>305.08</v>
      </c>
      <c r="G488" s="1" t="s">
        <v>11098</v>
      </c>
      <c r="H488" s="1">
        <f>SUMIF([1]Sheet1!$G:$G,A488,[1]Sheet1!$O:$O)</f>
        <v>305.08</v>
      </c>
      <c r="I488" s="21">
        <f t="shared" si="7"/>
        <v>0</v>
      </c>
    </row>
    <row r="489" spans="1:9" x14ac:dyDescent="0.25">
      <c r="A489" s="18" t="s">
        <v>7057</v>
      </c>
      <c r="B489" s="4" t="s">
        <v>2071</v>
      </c>
      <c r="C489" s="4" t="s">
        <v>645</v>
      </c>
      <c r="D489" s="4" t="s">
        <v>3289</v>
      </c>
      <c r="E489" s="9">
        <v>11.38</v>
      </c>
      <c r="F489" s="9">
        <v>34.14</v>
      </c>
      <c r="G489" s="1" t="s">
        <v>7058</v>
      </c>
      <c r="H489" s="1">
        <f>SUMIF([1]Sheet1!$G:$G,A489,[1]Sheet1!$O:$O)</f>
        <v>34.14</v>
      </c>
      <c r="I489" s="21">
        <f t="shared" si="7"/>
        <v>0</v>
      </c>
    </row>
    <row r="490" spans="1:9" x14ac:dyDescent="0.25">
      <c r="A490" s="18" t="s">
        <v>10021</v>
      </c>
      <c r="B490" s="4" t="s">
        <v>2072</v>
      </c>
      <c r="C490" s="4" t="s">
        <v>646</v>
      </c>
      <c r="D490" s="4" t="s">
        <v>3290</v>
      </c>
      <c r="E490" s="9">
        <v>10.17</v>
      </c>
      <c r="F490" s="9">
        <v>30.509999999999998</v>
      </c>
      <c r="G490" s="1" t="s">
        <v>10022</v>
      </c>
      <c r="H490" s="1">
        <f>SUMIF([1]Sheet1!$G:$G,A490,[1]Sheet1!$O:$O)</f>
        <v>30.51</v>
      </c>
      <c r="I490" s="21">
        <f t="shared" si="7"/>
        <v>0</v>
      </c>
    </row>
    <row r="491" spans="1:9" x14ac:dyDescent="0.25">
      <c r="A491" s="18" t="s">
        <v>7621</v>
      </c>
      <c r="B491" s="4" t="s">
        <v>2073</v>
      </c>
      <c r="C491" s="4" t="s">
        <v>647</v>
      </c>
      <c r="D491" s="4" t="s">
        <v>3290</v>
      </c>
      <c r="E491" s="9">
        <v>0.84917926565874735</v>
      </c>
      <c r="F491" s="9">
        <v>786.34</v>
      </c>
      <c r="G491" s="1" t="s">
        <v>7622</v>
      </c>
      <c r="H491" s="1">
        <f>SUMIF([1]Sheet1!$G:$G,A491,[1]Sheet1!$O:$O)</f>
        <v>786.36</v>
      </c>
      <c r="I491" s="21">
        <f t="shared" si="7"/>
        <v>-1.999999999998181E-2</v>
      </c>
    </row>
    <row r="492" spans="1:9" x14ac:dyDescent="0.25">
      <c r="A492" s="18" t="s">
        <v>4803</v>
      </c>
      <c r="B492" s="4" t="s">
        <v>2074</v>
      </c>
      <c r="C492" s="4" t="s">
        <v>648</v>
      </c>
      <c r="D492" s="4" t="s">
        <v>3290</v>
      </c>
      <c r="E492" s="9">
        <v>211.86500000000001</v>
      </c>
      <c r="F492" s="9">
        <v>847.46</v>
      </c>
      <c r="G492" s="1" t="s">
        <v>4804</v>
      </c>
      <c r="H492" s="1">
        <f>SUMIF([1]Sheet1!$G:$G,A492,[1]Sheet1!$O:$O)</f>
        <v>847.46</v>
      </c>
      <c r="I492" s="21">
        <f t="shared" si="7"/>
        <v>0</v>
      </c>
    </row>
    <row r="493" spans="1:9" x14ac:dyDescent="0.25">
      <c r="A493" s="18" t="s">
        <v>8521</v>
      </c>
      <c r="B493" s="4" t="s">
        <v>2075</v>
      </c>
      <c r="C493" s="4" t="s">
        <v>649</v>
      </c>
      <c r="D493" s="4" t="s">
        <v>3289</v>
      </c>
      <c r="E493" s="9">
        <v>5.1131436802304648</v>
      </c>
      <c r="F493" s="9">
        <v>1419.92</v>
      </c>
      <c r="G493" s="1" t="s">
        <v>8522</v>
      </c>
      <c r="H493" s="1">
        <f>SUMIF([1]Sheet1!$G:$G,A493,[1]Sheet1!$O:$O)</f>
        <v>1419.91</v>
      </c>
      <c r="I493" s="21">
        <f t="shared" si="7"/>
        <v>9.9999999999909051E-3</v>
      </c>
    </row>
    <row r="494" spans="1:9" x14ac:dyDescent="0.25">
      <c r="A494" s="18" t="s">
        <v>11766</v>
      </c>
      <c r="B494" s="4" t="s">
        <v>2076</v>
      </c>
      <c r="C494" s="4" t="s">
        <v>650</v>
      </c>
      <c r="D494" s="4" t="s">
        <v>3289</v>
      </c>
      <c r="E494" s="9">
        <v>5.085</v>
      </c>
      <c r="F494" s="9">
        <v>30.509999999999998</v>
      </c>
      <c r="G494" s="1" t="s">
        <v>11767</v>
      </c>
      <c r="H494" s="1">
        <f>SUMIF([1]Sheet1!$G:$G,A494,[1]Sheet1!$O:$O)</f>
        <v>30.51</v>
      </c>
      <c r="I494" s="21">
        <f t="shared" si="7"/>
        <v>0</v>
      </c>
    </row>
    <row r="495" spans="1:9" x14ac:dyDescent="0.25">
      <c r="A495" s="18" t="s">
        <v>10754</v>
      </c>
      <c r="B495" s="4" t="s">
        <v>2077</v>
      </c>
      <c r="C495" s="4" t="s">
        <v>651</v>
      </c>
      <c r="D495" s="4" t="s">
        <v>3291</v>
      </c>
      <c r="E495" s="9">
        <v>4.8784313725490192</v>
      </c>
      <c r="F495" s="9">
        <v>74.64</v>
      </c>
      <c r="G495" s="1" t="s">
        <v>10755</v>
      </c>
      <c r="H495" s="1">
        <f>SUMIF([1]Sheet1!$G:$G,A495,[1]Sheet1!$O:$O)</f>
        <v>74.64</v>
      </c>
      <c r="I495" s="21">
        <f t="shared" si="7"/>
        <v>0</v>
      </c>
    </row>
    <row r="496" spans="1:9" x14ac:dyDescent="0.25">
      <c r="A496" s="18" t="s">
        <v>11768</v>
      </c>
      <c r="B496" s="4" t="s">
        <v>2078</v>
      </c>
      <c r="C496" s="4" t="s">
        <v>652</v>
      </c>
      <c r="D496" s="4" t="s">
        <v>3289</v>
      </c>
      <c r="E496" s="9">
        <v>10.533846153846154</v>
      </c>
      <c r="F496" s="9">
        <v>547.76</v>
      </c>
      <c r="G496" s="1" t="s">
        <v>11769</v>
      </c>
      <c r="H496" s="1">
        <f>SUMIF([1]Sheet1!$G:$G,A496,[1]Sheet1!$O:$O)</f>
        <v>547.76</v>
      </c>
      <c r="I496" s="21">
        <f t="shared" si="7"/>
        <v>0</v>
      </c>
    </row>
    <row r="497" spans="1:9" x14ac:dyDescent="0.25">
      <c r="A497" s="18" t="s">
        <v>11779</v>
      </c>
      <c r="B497" s="4" t="s">
        <v>2079</v>
      </c>
      <c r="C497" s="4" t="s">
        <v>653</v>
      </c>
      <c r="D497" s="4" t="s">
        <v>3289</v>
      </c>
      <c r="E497" s="9">
        <v>30.504999999999999</v>
      </c>
      <c r="F497" s="9">
        <v>61.01</v>
      </c>
      <c r="G497" s="1" t="s">
        <v>11780</v>
      </c>
      <c r="H497" s="1">
        <f>SUMIF([1]Sheet1!$G:$G,A497,[1]Sheet1!$O:$O)</f>
        <v>61.01</v>
      </c>
      <c r="I497" s="21">
        <f t="shared" si="7"/>
        <v>0</v>
      </c>
    </row>
    <row r="498" spans="1:9" x14ac:dyDescent="0.25">
      <c r="A498" s="18" t="s">
        <v>9516</v>
      </c>
      <c r="B498" s="4" t="s">
        <v>2080</v>
      </c>
      <c r="C498" s="4" t="s">
        <v>654</v>
      </c>
      <c r="D498" s="4" t="s">
        <v>3291</v>
      </c>
      <c r="E498" s="9">
        <v>3.7335414301929619</v>
      </c>
      <c r="F498" s="9">
        <v>131.57</v>
      </c>
      <c r="G498" s="1" t="s">
        <v>9517</v>
      </c>
      <c r="H498" s="1">
        <f>SUMIF([1]Sheet1!$G:$G,A498,[1]Sheet1!$O:$O)</f>
        <v>131.57</v>
      </c>
      <c r="I498" s="21">
        <f t="shared" si="7"/>
        <v>0</v>
      </c>
    </row>
    <row r="499" spans="1:9" x14ac:dyDescent="0.25">
      <c r="A499" s="18" t="s">
        <v>9455</v>
      </c>
      <c r="B499" s="4" t="s">
        <v>2081</v>
      </c>
      <c r="C499" s="4" t="s">
        <v>655</v>
      </c>
      <c r="D499" s="4" t="s">
        <v>3291</v>
      </c>
      <c r="E499" s="9">
        <v>4.3591711435149652</v>
      </c>
      <c r="F499" s="9">
        <v>5.68</v>
      </c>
      <c r="G499" s="1" t="s">
        <v>9456</v>
      </c>
      <c r="H499" s="1">
        <f>SUMIF([1]Sheet1!$G:$G,A499,[1]Sheet1!$O:$O)</f>
        <v>5.68</v>
      </c>
      <c r="I499" s="21">
        <f t="shared" si="7"/>
        <v>0</v>
      </c>
    </row>
    <row r="500" spans="1:9" x14ac:dyDescent="0.25">
      <c r="A500" s="18" t="s">
        <v>10742</v>
      </c>
      <c r="B500" s="4" t="s">
        <v>2082</v>
      </c>
      <c r="C500" s="4" t="s">
        <v>656</v>
      </c>
      <c r="D500" s="4" t="s">
        <v>3291</v>
      </c>
      <c r="E500" s="9">
        <v>4.3227529855436835</v>
      </c>
      <c r="F500" s="9">
        <v>55.02</v>
      </c>
      <c r="G500" s="1" t="s">
        <v>10743</v>
      </c>
      <c r="H500" s="1">
        <f>SUMIF([1]Sheet1!$G:$G,A500,[1]Sheet1!$O:$O)</f>
        <v>55.02</v>
      </c>
      <c r="I500" s="21">
        <f t="shared" si="7"/>
        <v>0</v>
      </c>
    </row>
    <row r="501" spans="1:9" x14ac:dyDescent="0.25">
      <c r="A501" s="18" t="s">
        <v>6572</v>
      </c>
      <c r="B501" s="4" t="s">
        <v>2083</v>
      </c>
      <c r="C501" s="4" t="s">
        <v>657</v>
      </c>
      <c r="D501" s="4" t="s">
        <v>3291</v>
      </c>
      <c r="E501" s="9">
        <v>2.1185915492957745</v>
      </c>
      <c r="F501" s="9">
        <v>150.41999999999999</v>
      </c>
      <c r="G501" s="1" t="s">
        <v>6573</v>
      </c>
      <c r="H501" s="1">
        <f>SUMIF([1]Sheet1!$G:$G,A501,[1]Sheet1!$O:$O)</f>
        <v>150.41999999999999</v>
      </c>
      <c r="I501" s="21">
        <f t="shared" si="7"/>
        <v>0</v>
      </c>
    </row>
    <row r="502" spans="1:9" x14ac:dyDescent="0.25">
      <c r="A502" s="18" t="s">
        <v>6581</v>
      </c>
      <c r="B502" s="4" t="s">
        <v>2084</v>
      </c>
      <c r="C502" s="4" t="s">
        <v>658</v>
      </c>
      <c r="D502" s="4" t="s">
        <v>3291</v>
      </c>
      <c r="E502" s="9">
        <v>21.26748923959828</v>
      </c>
      <c r="F502" s="9">
        <v>1852.93</v>
      </c>
      <c r="G502" s="1" t="s">
        <v>6582</v>
      </c>
      <c r="H502" s="1">
        <f>SUMIF([1]Sheet1!$G:$G,A502,[1]Sheet1!$O:$O)</f>
        <v>1852.93</v>
      </c>
      <c r="I502" s="21">
        <f t="shared" si="7"/>
        <v>0</v>
      </c>
    </row>
    <row r="503" spans="1:9" x14ac:dyDescent="0.25">
      <c r="A503" s="18" t="s">
        <v>5907</v>
      </c>
      <c r="B503" s="4" t="s">
        <v>2085</v>
      </c>
      <c r="C503" s="4" t="s">
        <v>659</v>
      </c>
      <c r="D503" s="4" t="s">
        <v>3291</v>
      </c>
      <c r="E503" s="9">
        <v>6.3977599515665204</v>
      </c>
      <c r="F503" s="9">
        <v>84.54</v>
      </c>
      <c r="G503" s="1" t="s">
        <v>5908</v>
      </c>
      <c r="H503" s="1">
        <f>SUMIF([1]Sheet1!$G:$G,A503,[1]Sheet1!$O:$O)</f>
        <v>81.34</v>
      </c>
      <c r="I503" s="21">
        <f t="shared" si="7"/>
        <v>3.2000000000000028</v>
      </c>
    </row>
    <row r="504" spans="1:9" x14ac:dyDescent="0.25">
      <c r="A504" s="18" t="s">
        <v>4651</v>
      </c>
      <c r="B504" s="4" t="s">
        <v>2086</v>
      </c>
      <c r="C504" s="4" t="s">
        <v>145</v>
      </c>
      <c r="D504" s="4" t="s">
        <v>3290</v>
      </c>
      <c r="E504" s="9">
        <v>6.6651612903225805</v>
      </c>
      <c r="F504" s="9">
        <v>206.62</v>
      </c>
      <c r="G504" s="1" t="s">
        <v>4652</v>
      </c>
      <c r="H504" s="1">
        <f>SUMIF([1]Sheet1!$G:$G,A504,[1]Sheet1!$O:$O)</f>
        <v>206.62</v>
      </c>
      <c r="I504" s="21">
        <f t="shared" si="7"/>
        <v>0</v>
      </c>
    </row>
    <row r="505" spans="1:9" x14ac:dyDescent="0.25">
      <c r="A505" s="18" t="s">
        <v>11758</v>
      </c>
      <c r="B505" s="4" t="s">
        <v>2087</v>
      </c>
      <c r="C505" s="4" t="s">
        <v>660</v>
      </c>
      <c r="D505" s="4" t="s">
        <v>3290</v>
      </c>
      <c r="E505" s="9">
        <v>5.3633333333333333</v>
      </c>
      <c r="F505" s="9">
        <v>16.09</v>
      </c>
      <c r="G505" s="1" t="s">
        <v>11759</v>
      </c>
      <c r="H505" s="1">
        <f>SUMIF([1]Sheet1!$G:$G,A505,[1]Sheet1!$O:$O)</f>
        <v>16.09</v>
      </c>
      <c r="I505" s="21">
        <f t="shared" si="7"/>
        <v>0</v>
      </c>
    </row>
    <row r="506" spans="1:9" x14ac:dyDescent="0.25">
      <c r="A506" s="18" t="s">
        <v>6093</v>
      </c>
      <c r="B506" s="4" t="s">
        <v>2088</v>
      </c>
      <c r="C506" s="4" t="s">
        <v>661</v>
      </c>
      <c r="D506" s="4" t="s">
        <v>3290</v>
      </c>
      <c r="E506" s="9">
        <v>11.74</v>
      </c>
      <c r="F506" s="9">
        <v>46.96</v>
      </c>
      <c r="G506" s="1" t="s">
        <v>6094</v>
      </c>
      <c r="H506" s="1">
        <f>SUMIF([1]Sheet1!$G:$G,A506,[1]Sheet1!$O:$O)</f>
        <v>46.96</v>
      </c>
      <c r="I506" s="21">
        <f t="shared" si="7"/>
        <v>0</v>
      </c>
    </row>
    <row r="507" spans="1:9" x14ac:dyDescent="0.25">
      <c r="A507" s="18" t="s">
        <v>10298</v>
      </c>
      <c r="B507" s="4" t="s">
        <v>2089</v>
      </c>
      <c r="C507" s="4" t="s">
        <v>662</v>
      </c>
      <c r="D507" s="4" t="s">
        <v>3290</v>
      </c>
      <c r="E507" s="9">
        <v>175.57666666666668</v>
      </c>
      <c r="F507" s="9">
        <v>526.73</v>
      </c>
      <c r="G507" s="1" t="s">
        <v>10299</v>
      </c>
      <c r="H507" s="1">
        <f>SUMIF([1]Sheet1!$G:$G,A507,[1]Sheet1!$O:$O)</f>
        <v>526.73</v>
      </c>
      <c r="I507" s="21">
        <f t="shared" si="7"/>
        <v>0</v>
      </c>
    </row>
    <row r="508" spans="1:9" x14ac:dyDescent="0.25">
      <c r="A508" s="18" t="s">
        <v>10287</v>
      </c>
      <c r="B508" s="4" t="s">
        <v>2090</v>
      </c>
      <c r="C508" s="4" t="s">
        <v>663</v>
      </c>
      <c r="D508" s="4" t="s">
        <v>3290</v>
      </c>
      <c r="E508" s="9">
        <v>109.5</v>
      </c>
      <c r="F508" s="9">
        <v>219</v>
      </c>
      <c r="G508" s="1" t="s">
        <v>10288</v>
      </c>
      <c r="H508" s="1">
        <f>SUMIF([1]Sheet1!$G:$G,A508,[1]Sheet1!$O:$O)</f>
        <v>219</v>
      </c>
      <c r="I508" s="21">
        <f t="shared" si="7"/>
        <v>0</v>
      </c>
    </row>
    <row r="509" spans="1:9" x14ac:dyDescent="0.25">
      <c r="A509" s="18" t="s">
        <v>6190</v>
      </c>
      <c r="B509" s="4" t="s">
        <v>2091</v>
      </c>
      <c r="C509" s="4" t="s">
        <v>664</v>
      </c>
      <c r="D509" s="4" t="s">
        <v>3291</v>
      </c>
      <c r="E509" s="9">
        <v>156.37499999999997</v>
      </c>
      <c r="F509" s="9">
        <v>125.09999999999998</v>
      </c>
      <c r="G509" s="1" t="s">
        <v>6191</v>
      </c>
      <c r="H509" s="1">
        <f>SUMIF([1]Sheet1!$G:$G,A509,[1]Sheet1!$O:$O)</f>
        <v>125.1</v>
      </c>
      <c r="I509" s="21">
        <f t="shared" si="7"/>
        <v>0</v>
      </c>
    </row>
    <row r="510" spans="1:9" x14ac:dyDescent="0.25">
      <c r="A510" s="18" t="s">
        <v>10655</v>
      </c>
      <c r="B510" s="4" t="s">
        <v>2092</v>
      </c>
      <c r="C510" s="4" t="s">
        <v>665</v>
      </c>
      <c r="D510" s="4" t="s">
        <v>3295</v>
      </c>
      <c r="E510" s="9">
        <v>320.03571428571428</v>
      </c>
      <c r="F510" s="9">
        <v>716.88</v>
      </c>
      <c r="G510" s="1" t="s">
        <v>10656</v>
      </c>
      <c r="H510" s="1">
        <f>SUMIF([1]Sheet1!$G:$G,A510,[1]Sheet1!$O:$O)</f>
        <v>716.88</v>
      </c>
      <c r="I510" s="21">
        <f t="shared" si="7"/>
        <v>0</v>
      </c>
    </row>
    <row r="511" spans="1:9" x14ac:dyDescent="0.25">
      <c r="A511" s="18" t="s">
        <v>4193</v>
      </c>
      <c r="B511" s="4" t="s">
        <v>2093</v>
      </c>
      <c r="C511" s="4" t="s">
        <v>666</v>
      </c>
      <c r="D511" s="4" t="s">
        <v>3295</v>
      </c>
      <c r="E511" s="9">
        <v>49.830513137983218</v>
      </c>
      <c r="F511" s="9">
        <v>14488.72</v>
      </c>
      <c r="G511" s="1" t="s">
        <v>4194</v>
      </c>
      <c r="H511" s="1">
        <f>SUMIF([1]Sheet1!$G:$G,A511,[1]Sheet1!$O:$O)</f>
        <v>14488.72</v>
      </c>
      <c r="I511" s="21">
        <f t="shared" si="7"/>
        <v>0</v>
      </c>
    </row>
    <row r="512" spans="1:9" x14ac:dyDescent="0.25">
      <c r="A512" s="18" t="s">
        <v>6570</v>
      </c>
      <c r="B512" s="4" t="s">
        <v>2094</v>
      </c>
      <c r="C512" s="4" t="s">
        <v>667</v>
      </c>
      <c r="D512" s="4" t="s">
        <v>3289</v>
      </c>
      <c r="E512" s="9">
        <v>2.4704968944099379</v>
      </c>
      <c r="F512" s="9">
        <v>15.910000000000002</v>
      </c>
      <c r="G512" s="1" t="s">
        <v>6571</v>
      </c>
      <c r="H512" s="1">
        <f>SUMIF([1]Sheet1!$G:$G,A512,[1]Sheet1!$O:$O)</f>
        <v>15.91</v>
      </c>
      <c r="I512" s="21">
        <f t="shared" si="7"/>
        <v>0</v>
      </c>
    </row>
    <row r="513" spans="1:9" x14ac:dyDescent="0.25">
      <c r="A513" s="18" t="s">
        <v>8957</v>
      </c>
      <c r="B513" s="4" t="s">
        <v>2095</v>
      </c>
      <c r="C513" s="4" t="s">
        <v>668</v>
      </c>
      <c r="D513" s="4" t="s">
        <v>3290</v>
      </c>
      <c r="E513" s="9">
        <v>5.5236363636363635</v>
      </c>
      <c r="F513" s="9">
        <v>60.76</v>
      </c>
      <c r="G513" s="1" t="s">
        <v>8958</v>
      </c>
      <c r="H513" s="1">
        <f>SUMIF([1]Sheet1!$G:$G,A513,[1]Sheet1!$O:$O)</f>
        <v>60.76</v>
      </c>
      <c r="I513" s="21">
        <f t="shared" si="7"/>
        <v>0</v>
      </c>
    </row>
    <row r="514" spans="1:9" x14ac:dyDescent="0.25">
      <c r="A514" s="18" t="s">
        <v>5797</v>
      </c>
      <c r="B514" s="4" t="s">
        <v>2096</v>
      </c>
      <c r="C514" s="4" t="s">
        <v>669</v>
      </c>
      <c r="D514" s="4" t="s">
        <v>3290</v>
      </c>
      <c r="E514" s="9">
        <v>2.5424444444444444E-2</v>
      </c>
      <c r="F514" s="9">
        <v>114.41</v>
      </c>
      <c r="G514" s="1" t="s">
        <v>5798</v>
      </c>
      <c r="H514" s="1">
        <f>SUMIF([1]Sheet1!$G:$G,A514,[1]Sheet1!$O:$O)</f>
        <v>114.3</v>
      </c>
      <c r="I514" s="21">
        <f t="shared" si="7"/>
        <v>0.10999999999999943</v>
      </c>
    </row>
    <row r="515" spans="1:9" x14ac:dyDescent="0.25">
      <c r="A515" s="18" t="s">
        <v>8527</v>
      </c>
      <c r="B515" s="4" t="s">
        <v>2097</v>
      </c>
      <c r="C515" s="4" t="s">
        <v>670</v>
      </c>
      <c r="D515" s="4" t="s">
        <v>3289</v>
      </c>
      <c r="E515" s="9">
        <v>29.389491525423729</v>
      </c>
      <c r="F515" s="9">
        <v>866.99</v>
      </c>
      <c r="G515" s="1" t="s">
        <v>8528</v>
      </c>
      <c r="H515" s="1">
        <f>SUMIF([1]Sheet1!$G:$G,A515,[1]Sheet1!$O:$O)</f>
        <v>866.99</v>
      </c>
      <c r="I515" s="21">
        <f t="shared" ref="I515:I578" si="8">F515-H515</f>
        <v>0</v>
      </c>
    </row>
    <row r="516" spans="1:9" x14ac:dyDescent="0.25">
      <c r="A516" s="18" t="s">
        <v>6097</v>
      </c>
      <c r="B516" s="4" t="s">
        <v>2098</v>
      </c>
      <c r="C516" s="4" t="s">
        <v>671</v>
      </c>
      <c r="D516" s="4" t="s">
        <v>3290</v>
      </c>
      <c r="E516" s="9">
        <v>28.593333333333334</v>
      </c>
      <c r="F516" s="9">
        <v>85.78</v>
      </c>
      <c r="G516" s="1" t="s">
        <v>6098</v>
      </c>
      <c r="H516" s="1">
        <f>SUMIF([1]Sheet1!$G:$G,A516,[1]Sheet1!$O:$O)</f>
        <v>85.78</v>
      </c>
      <c r="I516" s="21">
        <f t="shared" si="8"/>
        <v>0</v>
      </c>
    </row>
    <row r="517" spans="1:9" x14ac:dyDescent="0.25">
      <c r="A517" s="18" t="s">
        <v>6095</v>
      </c>
      <c r="B517" s="4" t="s">
        <v>2099</v>
      </c>
      <c r="C517" s="4" t="s">
        <v>672</v>
      </c>
      <c r="D517" s="4" t="s">
        <v>3290</v>
      </c>
      <c r="E517" s="9">
        <v>15.04</v>
      </c>
      <c r="F517" s="9">
        <v>30.08</v>
      </c>
      <c r="G517" s="1" t="s">
        <v>6096</v>
      </c>
      <c r="H517" s="1">
        <f>SUMIF([1]Sheet1!$G:$G,A517,[1]Sheet1!$O:$O)</f>
        <v>30.08</v>
      </c>
      <c r="I517" s="21">
        <f t="shared" si="8"/>
        <v>0</v>
      </c>
    </row>
    <row r="518" spans="1:9" x14ac:dyDescent="0.25">
      <c r="A518" s="18" t="s">
        <v>6099</v>
      </c>
      <c r="B518" s="4" t="s">
        <v>2100</v>
      </c>
      <c r="C518" s="4" t="s">
        <v>42</v>
      </c>
      <c r="D518" s="4" t="s">
        <v>3290</v>
      </c>
      <c r="E518" s="9">
        <v>36.338333333333331</v>
      </c>
      <c r="F518" s="9">
        <v>218.02999999999997</v>
      </c>
      <c r="G518" s="1" t="s">
        <v>6100</v>
      </c>
      <c r="H518" s="1">
        <f>SUMIF([1]Sheet1!$G:$G,A518,[1]Sheet1!$O:$O)</f>
        <v>218.03</v>
      </c>
      <c r="I518" s="21">
        <f t="shared" si="8"/>
        <v>0</v>
      </c>
    </row>
    <row r="519" spans="1:9" x14ac:dyDescent="0.25">
      <c r="A519" s="18" t="s">
        <v>10248</v>
      </c>
      <c r="B519" s="4" t="s">
        <v>2101</v>
      </c>
      <c r="C519" s="4" t="s">
        <v>673</v>
      </c>
      <c r="D519" s="4" t="s">
        <v>3290</v>
      </c>
      <c r="E519" s="9">
        <v>202.27</v>
      </c>
      <c r="F519" s="9">
        <v>202.27</v>
      </c>
      <c r="G519" s="1" t="s">
        <v>10249</v>
      </c>
      <c r="H519" s="1">
        <f>SUMIF([1]Sheet1!$G:$G,A519,[1]Sheet1!$O:$O)</f>
        <v>202.27</v>
      </c>
      <c r="I519" s="21">
        <f t="shared" si="8"/>
        <v>0</v>
      </c>
    </row>
    <row r="520" spans="1:9" x14ac:dyDescent="0.25">
      <c r="A520" s="18" t="s">
        <v>6103</v>
      </c>
      <c r="B520" s="4" t="s">
        <v>2102</v>
      </c>
      <c r="C520" s="4" t="s">
        <v>674</v>
      </c>
      <c r="D520" s="4" t="s">
        <v>3290</v>
      </c>
      <c r="E520" s="9">
        <v>8.3699999999999992</v>
      </c>
      <c r="F520" s="9">
        <v>8.3699999999999992</v>
      </c>
      <c r="G520" s="1" t="s">
        <v>6104</v>
      </c>
      <c r="H520" s="1">
        <f>SUMIF([1]Sheet1!$G:$G,A520,[1]Sheet1!$O:$O)</f>
        <v>8.3699999999999992</v>
      </c>
      <c r="I520" s="21">
        <f t="shared" si="8"/>
        <v>0</v>
      </c>
    </row>
    <row r="521" spans="1:9" x14ac:dyDescent="0.25">
      <c r="A521" s="18" t="s">
        <v>7729</v>
      </c>
      <c r="B521" s="4" t="s">
        <v>2103</v>
      </c>
      <c r="C521" s="4" t="s">
        <v>675</v>
      </c>
      <c r="D521" s="4" t="s">
        <v>3290</v>
      </c>
      <c r="E521" s="9">
        <v>16.525581395348837</v>
      </c>
      <c r="F521" s="9">
        <v>710.6</v>
      </c>
      <c r="G521" s="1" t="s">
        <v>7730</v>
      </c>
      <c r="H521" s="1">
        <f>SUMIF([1]Sheet1!$G:$G,A521,[1]Sheet1!$O:$O)</f>
        <v>710.6</v>
      </c>
      <c r="I521" s="21">
        <f t="shared" si="8"/>
        <v>0</v>
      </c>
    </row>
    <row r="522" spans="1:9" x14ac:dyDescent="0.25">
      <c r="A522" s="18" t="s">
        <v>8916</v>
      </c>
      <c r="B522" s="4" t="s">
        <v>2104</v>
      </c>
      <c r="C522" s="4" t="s">
        <v>676</v>
      </c>
      <c r="D522" s="4" t="s">
        <v>3290</v>
      </c>
      <c r="E522" s="9">
        <v>169.49</v>
      </c>
      <c r="F522" s="9">
        <v>169.49</v>
      </c>
      <c r="G522" s="1" t="s">
        <v>8917</v>
      </c>
      <c r="H522" s="1">
        <f>SUMIF([1]Sheet1!$G:$G,A522,[1]Sheet1!$O:$O)</f>
        <v>169.49</v>
      </c>
      <c r="I522" s="21">
        <f t="shared" si="8"/>
        <v>0</v>
      </c>
    </row>
    <row r="523" spans="1:9" x14ac:dyDescent="0.25">
      <c r="A523" s="18" t="s">
        <v>4403</v>
      </c>
      <c r="B523" s="4" t="s">
        <v>2105</v>
      </c>
      <c r="C523" s="4" t="s">
        <v>677</v>
      </c>
      <c r="D523" s="4" t="s">
        <v>3290</v>
      </c>
      <c r="E523" s="9">
        <v>661.01</v>
      </c>
      <c r="F523" s="9">
        <v>661.01</v>
      </c>
      <c r="G523" s="1" t="s">
        <v>4404</v>
      </c>
      <c r="H523" s="1">
        <f>SUMIF([1]Sheet1!$G:$G,A523,[1]Sheet1!$O:$O)</f>
        <v>661.01</v>
      </c>
      <c r="I523" s="21">
        <f t="shared" si="8"/>
        <v>0</v>
      </c>
    </row>
    <row r="524" spans="1:9" x14ac:dyDescent="0.25">
      <c r="A524" s="18" t="s">
        <v>5895</v>
      </c>
      <c r="B524" s="4" t="s">
        <v>2106</v>
      </c>
      <c r="C524" s="4" t="s">
        <v>678</v>
      </c>
      <c r="D524" s="4" t="s">
        <v>3291</v>
      </c>
      <c r="E524" s="9">
        <v>2.8607287449392711</v>
      </c>
      <c r="F524" s="9">
        <v>35.33</v>
      </c>
      <c r="G524" s="1" t="s">
        <v>5896</v>
      </c>
      <c r="H524" s="1">
        <f>SUMIF([1]Sheet1!$G:$G,A524,[1]Sheet1!$O:$O)</f>
        <v>35.33</v>
      </c>
      <c r="I524" s="21">
        <f t="shared" si="8"/>
        <v>0</v>
      </c>
    </row>
    <row r="525" spans="1:9" x14ac:dyDescent="0.25">
      <c r="A525" s="18" t="s">
        <v>8676</v>
      </c>
      <c r="B525" s="4" t="s">
        <v>2107</v>
      </c>
      <c r="C525" s="4" t="s">
        <v>679</v>
      </c>
      <c r="D525" s="4" t="s">
        <v>3292</v>
      </c>
      <c r="E525" s="9">
        <v>7.2435218026288339</v>
      </c>
      <c r="F525" s="9">
        <v>1735.91</v>
      </c>
      <c r="G525" s="1" t="s">
        <v>8677</v>
      </c>
      <c r="H525" s="1">
        <f>SUMIF([1]Sheet1!$G:$G,A525,[1]Sheet1!$O:$O)</f>
        <v>1735.9</v>
      </c>
      <c r="I525" s="21">
        <f t="shared" si="8"/>
        <v>9.9999999999909051E-3</v>
      </c>
    </row>
    <row r="526" spans="1:9" x14ac:dyDescent="0.25">
      <c r="A526" s="18" t="s">
        <v>5339</v>
      </c>
      <c r="B526" s="4" t="s">
        <v>2108</v>
      </c>
      <c r="C526" s="4" t="s">
        <v>680</v>
      </c>
      <c r="D526" s="4" t="s">
        <v>3290</v>
      </c>
      <c r="E526" s="9">
        <v>800</v>
      </c>
      <c r="F526" s="9">
        <v>800</v>
      </c>
      <c r="G526" s="1" t="s">
        <v>5340</v>
      </c>
      <c r="H526" s="1">
        <f>SUMIF([1]Sheet1!$G:$G,A526,[1]Sheet1!$O:$O)</f>
        <v>800</v>
      </c>
      <c r="I526" s="21">
        <f t="shared" si="8"/>
        <v>0</v>
      </c>
    </row>
    <row r="527" spans="1:9" x14ac:dyDescent="0.25">
      <c r="A527" s="18" t="s">
        <v>8537</v>
      </c>
      <c r="B527" s="4" t="s">
        <v>2109</v>
      </c>
      <c r="C527" s="4" t="s">
        <v>681</v>
      </c>
      <c r="D527" s="4" t="s">
        <v>3289</v>
      </c>
      <c r="E527" s="9">
        <v>56.87390783961699</v>
      </c>
      <c r="F527" s="9">
        <v>9503.6299999999992</v>
      </c>
      <c r="G527" s="1" t="s">
        <v>8538</v>
      </c>
      <c r="H527" s="1">
        <f>SUMIF([1]Sheet1!$G:$G,A527,[1]Sheet1!$O:$O)</f>
        <v>9503.6299999999992</v>
      </c>
      <c r="I527" s="21">
        <f t="shared" si="8"/>
        <v>0</v>
      </c>
    </row>
    <row r="528" spans="1:9" x14ac:dyDescent="0.25">
      <c r="A528" s="18" t="s">
        <v>5972</v>
      </c>
      <c r="B528" s="4" t="s">
        <v>2110</v>
      </c>
      <c r="C528" s="4" t="s">
        <v>682</v>
      </c>
      <c r="D528" s="4" t="s">
        <v>3289</v>
      </c>
      <c r="E528" s="9">
        <v>0.87768595041322306</v>
      </c>
      <c r="F528" s="9">
        <v>84.96</v>
      </c>
      <c r="G528" s="1" t="s">
        <v>5973</v>
      </c>
      <c r="H528" s="1">
        <f>SUMIF([1]Sheet1!$G:$G,A528,[1]Sheet1!$O:$O)</f>
        <v>84.96</v>
      </c>
      <c r="I528" s="21">
        <f t="shared" si="8"/>
        <v>0</v>
      </c>
    </row>
    <row r="529" spans="1:9" x14ac:dyDescent="0.25">
      <c r="A529" s="18" t="s">
        <v>7861</v>
      </c>
      <c r="B529" s="4" t="s">
        <v>2111</v>
      </c>
      <c r="C529" s="4" t="s">
        <v>683</v>
      </c>
      <c r="D529" s="4" t="s">
        <v>3290</v>
      </c>
      <c r="E529" s="9">
        <v>23.024999999999999</v>
      </c>
      <c r="F529" s="9">
        <v>92.1</v>
      </c>
      <c r="G529" s="1" t="s">
        <v>7862</v>
      </c>
      <c r="H529" s="1">
        <f>SUMIF([1]Sheet1!$G:$G,A529,[1]Sheet1!$O:$O)</f>
        <v>92.1</v>
      </c>
      <c r="I529" s="21">
        <f t="shared" si="8"/>
        <v>0</v>
      </c>
    </row>
    <row r="530" spans="1:9" x14ac:dyDescent="0.25">
      <c r="A530" s="18" t="s">
        <v>8647</v>
      </c>
      <c r="B530" s="4" t="s">
        <v>2112</v>
      </c>
      <c r="C530" s="4" t="s">
        <v>684</v>
      </c>
      <c r="D530" s="4" t="s">
        <v>3290</v>
      </c>
      <c r="E530" s="9">
        <v>122.45742424242424</v>
      </c>
      <c r="F530" s="9">
        <v>8082.19</v>
      </c>
      <c r="G530" s="1" t="s">
        <v>8648</v>
      </c>
      <c r="H530" s="1">
        <f>SUMIF([1]Sheet1!$G:$G,A530,[1]Sheet1!$O:$O)</f>
        <v>8082.19</v>
      </c>
      <c r="I530" s="21">
        <f t="shared" si="8"/>
        <v>0</v>
      </c>
    </row>
    <row r="531" spans="1:9" x14ac:dyDescent="0.25">
      <c r="A531" s="18" t="s">
        <v>10882</v>
      </c>
      <c r="B531" s="4" t="s">
        <v>2113</v>
      </c>
      <c r="C531" s="4" t="s">
        <v>685</v>
      </c>
      <c r="D531" s="4" t="s">
        <v>3296</v>
      </c>
      <c r="E531" s="9">
        <v>39.149090909090908</v>
      </c>
      <c r="F531" s="9">
        <v>215.32</v>
      </c>
      <c r="G531" s="1" t="s">
        <v>10883</v>
      </c>
      <c r="H531" s="1">
        <f>SUMIF([1]Sheet1!$G:$G,A531,[1]Sheet1!$O:$O)</f>
        <v>200.75</v>
      </c>
      <c r="I531" s="21">
        <f t="shared" si="8"/>
        <v>14.569999999999993</v>
      </c>
    </row>
    <row r="532" spans="1:9" x14ac:dyDescent="0.25">
      <c r="A532" s="18" t="s">
        <v>10512</v>
      </c>
      <c r="B532" s="4" t="s">
        <v>2114</v>
      </c>
      <c r="C532" s="4" t="s">
        <v>686</v>
      </c>
      <c r="D532" s="4" t="s">
        <v>3290</v>
      </c>
      <c r="E532" s="9">
        <v>6.4050000000000002</v>
      </c>
      <c r="F532" s="9">
        <v>25.62</v>
      </c>
      <c r="G532" s="1" t="s">
        <v>10513</v>
      </c>
      <c r="H532" s="1">
        <f>SUMIF([1]Sheet1!$G:$G,A532,[1]Sheet1!$O:$O)</f>
        <v>25.62</v>
      </c>
      <c r="I532" s="21">
        <f t="shared" si="8"/>
        <v>0</v>
      </c>
    </row>
    <row r="533" spans="1:9" x14ac:dyDescent="0.25">
      <c r="A533" s="18" t="s">
        <v>10591</v>
      </c>
      <c r="B533" s="4" t="s">
        <v>2115</v>
      </c>
      <c r="C533" s="4" t="s">
        <v>687</v>
      </c>
      <c r="D533" s="4" t="s">
        <v>3290</v>
      </c>
      <c r="E533" s="9">
        <v>3.8622727272727273</v>
      </c>
      <c r="F533" s="9">
        <v>84.97</v>
      </c>
      <c r="G533" s="1" t="s">
        <v>10592</v>
      </c>
      <c r="H533" s="1">
        <f>SUMIF([1]Sheet1!$G:$G,A533,[1]Sheet1!$O:$O)</f>
        <v>84.97</v>
      </c>
      <c r="I533" s="21">
        <f t="shared" si="8"/>
        <v>0</v>
      </c>
    </row>
    <row r="534" spans="1:9" x14ac:dyDescent="0.25">
      <c r="A534" s="18" t="s">
        <v>6085</v>
      </c>
      <c r="B534" s="4" t="s">
        <v>2116</v>
      </c>
      <c r="C534" s="4" t="s">
        <v>688</v>
      </c>
      <c r="D534" s="4" t="s">
        <v>3290</v>
      </c>
      <c r="E534" s="9">
        <v>169.49153846153845</v>
      </c>
      <c r="F534" s="9">
        <v>2203.39</v>
      </c>
      <c r="G534" s="1" t="s">
        <v>6086</v>
      </c>
      <c r="H534" s="1">
        <f>SUMIF([1]Sheet1!$G:$G,A534,[1]Sheet1!$O:$O)</f>
        <v>2203.39</v>
      </c>
      <c r="I534" s="21">
        <f t="shared" si="8"/>
        <v>0</v>
      </c>
    </row>
    <row r="535" spans="1:9" x14ac:dyDescent="0.25">
      <c r="A535" s="18" t="s">
        <v>5714</v>
      </c>
      <c r="B535" s="4" t="s">
        <v>2117</v>
      </c>
      <c r="C535" s="4" t="s">
        <v>689</v>
      </c>
      <c r="D535" s="4" t="s">
        <v>3289</v>
      </c>
      <c r="E535" s="9">
        <v>1.0373186813186814</v>
      </c>
      <c r="F535" s="9">
        <v>471.98000000000008</v>
      </c>
      <c r="G535" s="1" t="s">
        <v>5715</v>
      </c>
      <c r="H535" s="1">
        <f>SUMIF([1]Sheet1!$G:$G,A535,[1]Sheet1!$O:$O)</f>
        <v>248.95</v>
      </c>
      <c r="I535" s="21">
        <f t="shared" si="8"/>
        <v>223.03000000000009</v>
      </c>
    </row>
    <row r="536" spans="1:9" x14ac:dyDescent="0.25">
      <c r="A536" s="18" t="s">
        <v>11747</v>
      </c>
      <c r="B536" s="4" t="s">
        <v>2118</v>
      </c>
      <c r="C536" s="4" t="s">
        <v>690</v>
      </c>
      <c r="D536" s="4" t="s">
        <v>3296</v>
      </c>
      <c r="E536" s="9">
        <v>795.77153435696391</v>
      </c>
      <c r="F536" s="9">
        <v>21922.71</v>
      </c>
      <c r="G536" s="1" t="s">
        <v>11750</v>
      </c>
      <c r="H536" s="1">
        <f>SUMIF([1]Sheet1!$G:$G,A536,[1]Sheet1!$O:$O)</f>
        <v>21922.71</v>
      </c>
      <c r="I536" s="21">
        <f t="shared" si="8"/>
        <v>0</v>
      </c>
    </row>
    <row r="537" spans="1:9" x14ac:dyDescent="0.25">
      <c r="A537" s="18" t="s">
        <v>7290</v>
      </c>
      <c r="B537" s="4" t="s">
        <v>2119</v>
      </c>
      <c r="C537" s="4" t="s">
        <v>691</v>
      </c>
      <c r="D537" s="4" t="s">
        <v>3289</v>
      </c>
      <c r="E537" s="9">
        <v>124.97915686629273</v>
      </c>
      <c r="F537" s="9">
        <v>34537.99</v>
      </c>
      <c r="G537" s="1" t="s">
        <v>7291</v>
      </c>
      <c r="H537" s="1">
        <f>SUMIF([1]Sheet1!$G:$G,A537,[1]Sheet1!$O:$O)</f>
        <v>34538</v>
      </c>
      <c r="I537" s="21">
        <f t="shared" si="8"/>
        <v>-1.0000000002037268E-2</v>
      </c>
    </row>
    <row r="538" spans="1:9" x14ac:dyDescent="0.25">
      <c r="A538" s="18" t="s">
        <v>9861</v>
      </c>
      <c r="B538" s="4" t="s">
        <v>2120</v>
      </c>
      <c r="C538" s="4" t="s">
        <v>692</v>
      </c>
      <c r="D538" s="4" t="s">
        <v>3290</v>
      </c>
      <c r="E538" s="9">
        <v>5.47</v>
      </c>
      <c r="F538" s="9">
        <v>10.94</v>
      </c>
      <c r="G538" s="1" t="s">
        <v>9862</v>
      </c>
      <c r="H538" s="1">
        <f>SUMIF([1]Sheet1!$G:$G,A538,[1]Sheet1!$O:$O)</f>
        <v>10.94</v>
      </c>
      <c r="I538" s="21">
        <f t="shared" si="8"/>
        <v>0</v>
      </c>
    </row>
    <row r="539" spans="1:9" x14ac:dyDescent="0.25">
      <c r="A539" s="18" t="s">
        <v>10117</v>
      </c>
      <c r="B539" s="4" t="s">
        <v>3144</v>
      </c>
      <c r="C539" s="4" t="s">
        <v>693</v>
      </c>
      <c r="D539" s="4" t="s">
        <v>3290</v>
      </c>
      <c r="E539" s="9">
        <v>7533.71</v>
      </c>
      <c r="F539" s="9">
        <v>22601.13</v>
      </c>
      <c r="G539" s="1" t="s">
        <v>10120</v>
      </c>
      <c r="H539" s="1">
        <f>SUMIF([1]Sheet1!$G:$G,A539,[1]Sheet1!$O:$O)</f>
        <v>22601.13</v>
      </c>
      <c r="I539" s="21">
        <f t="shared" si="8"/>
        <v>0</v>
      </c>
    </row>
    <row r="540" spans="1:9" x14ac:dyDescent="0.25">
      <c r="A540" s="18" t="s">
        <v>7969</v>
      </c>
      <c r="B540" s="4" t="s">
        <v>2121</v>
      </c>
      <c r="C540" s="4" t="s">
        <v>694</v>
      </c>
      <c r="D540" s="4" t="s">
        <v>3290</v>
      </c>
      <c r="E540" s="9">
        <v>70.855000000000004</v>
      </c>
      <c r="F540" s="9">
        <v>141.71</v>
      </c>
      <c r="G540" s="1" t="s">
        <v>7970</v>
      </c>
      <c r="H540" s="1">
        <f>SUMIF([1]Sheet1!$G:$G,A540,[1]Sheet1!$O:$O)</f>
        <v>141.71</v>
      </c>
      <c r="I540" s="21">
        <f t="shared" si="8"/>
        <v>0</v>
      </c>
    </row>
    <row r="541" spans="1:9" x14ac:dyDescent="0.25">
      <c r="A541" s="18" t="s">
        <v>7260</v>
      </c>
      <c r="B541" s="4" t="s">
        <v>2122</v>
      </c>
      <c r="C541" s="4" t="s">
        <v>695</v>
      </c>
      <c r="D541" s="4" t="s">
        <v>3289</v>
      </c>
      <c r="E541" s="9">
        <v>50.84756097560976</v>
      </c>
      <c r="F541" s="9">
        <v>833.9</v>
      </c>
      <c r="G541" s="1" t="s">
        <v>7263</v>
      </c>
      <c r="H541" s="1">
        <f>SUMIF([1]Sheet1!$G:$G,A541,[1]Sheet1!$O:$O)</f>
        <v>833.9</v>
      </c>
      <c r="I541" s="21">
        <f t="shared" si="8"/>
        <v>0</v>
      </c>
    </row>
    <row r="542" spans="1:9" x14ac:dyDescent="0.25">
      <c r="A542" s="18" t="s">
        <v>7625</v>
      </c>
      <c r="B542" s="4" t="s">
        <v>2123</v>
      </c>
      <c r="C542" s="4" t="s">
        <v>696</v>
      </c>
      <c r="D542" s="4" t="s">
        <v>3290</v>
      </c>
      <c r="E542" s="9">
        <v>0.74167539267015703</v>
      </c>
      <c r="F542" s="9">
        <v>141.66</v>
      </c>
      <c r="G542" s="1" t="s">
        <v>7626</v>
      </c>
      <c r="H542" s="1">
        <f>SUMIF([1]Sheet1!$G:$G,A542,[1]Sheet1!$O:$O)</f>
        <v>141.66</v>
      </c>
      <c r="I542" s="21">
        <f t="shared" si="8"/>
        <v>0</v>
      </c>
    </row>
    <row r="543" spans="1:9" x14ac:dyDescent="0.25">
      <c r="A543" s="18" t="s">
        <v>5295</v>
      </c>
      <c r="B543" s="4" t="s">
        <v>2124</v>
      </c>
      <c r="C543" s="4" t="s">
        <v>697</v>
      </c>
      <c r="D543" s="4" t="s">
        <v>3290</v>
      </c>
      <c r="E543" s="9">
        <v>9.8860606060606067</v>
      </c>
      <c r="F543" s="9">
        <v>326.24</v>
      </c>
      <c r="G543" s="1" t="s">
        <v>5296</v>
      </c>
      <c r="H543" s="1">
        <f>SUMIF([1]Sheet1!$G:$G,A543,[1]Sheet1!$O:$O)</f>
        <v>326.24</v>
      </c>
      <c r="I543" s="21">
        <f t="shared" si="8"/>
        <v>0</v>
      </c>
    </row>
    <row r="544" spans="1:9" x14ac:dyDescent="0.25">
      <c r="A544" s="18" t="s">
        <v>7936</v>
      </c>
      <c r="B544" s="4" t="s">
        <v>2125</v>
      </c>
      <c r="C544" s="4" t="s">
        <v>698</v>
      </c>
      <c r="D544" s="4" t="s">
        <v>3290</v>
      </c>
      <c r="E544" s="9">
        <v>2.1186666666666669</v>
      </c>
      <c r="F544" s="9">
        <v>63.560000000000009</v>
      </c>
      <c r="G544" s="1" t="s">
        <v>7937</v>
      </c>
      <c r="H544" s="1">
        <f>SUMIF([1]Sheet1!$G:$G,A544,[1]Sheet1!$O:$O)</f>
        <v>63.56</v>
      </c>
      <c r="I544" s="21">
        <f t="shared" si="8"/>
        <v>0</v>
      </c>
    </row>
    <row r="545" spans="1:9" x14ac:dyDescent="0.25">
      <c r="A545" s="18" t="s">
        <v>4819</v>
      </c>
      <c r="B545" s="4" t="s">
        <v>2126</v>
      </c>
      <c r="C545" s="4" t="s">
        <v>699</v>
      </c>
      <c r="D545" s="4" t="s">
        <v>3290</v>
      </c>
      <c r="E545" s="9">
        <v>127.518</v>
      </c>
      <c r="F545" s="9">
        <v>637.59</v>
      </c>
      <c r="G545" s="1" t="s">
        <v>4820</v>
      </c>
      <c r="H545" s="1">
        <f>SUMIF([1]Sheet1!$G:$G,A545,[1]Sheet1!$O:$O)</f>
        <v>637.59</v>
      </c>
      <c r="I545" s="21">
        <f t="shared" si="8"/>
        <v>0</v>
      </c>
    </row>
    <row r="546" spans="1:9" x14ac:dyDescent="0.25">
      <c r="A546" s="18" t="s">
        <v>7541</v>
      </c>
      <c r="B546" s="4" t="s">
        <v>2127</v>
      </c>
      <c r="C546" s="4" t="s">
        <v>700</v>
      </c>
      <c r="D546" s="4" t="s">
        <v>3291</v>
      </c>
      <c r="E546" s="9">
        <v>19.9877277486911</v>
      </c>
      <c r="F546" s="9">
        <v>4772.07</v>
      </c>
      <c r="G546" s="1" t="s">
        <v>7542</v>
      </c>
      <c r="H546" s="1">
        <f>SUMIF([1]Sheet1!$G:$G,A546,[1]Sheet1!$O:$O)</f>
        <v>4732.09</v>
      </c>
      <c r="I546" s="21">
        <f t="shared" si="8"/>
        <v>39.979999999999563</v>
      </c>
    </row>
    <row r="547" spans="1:9" x14ac:dyDescent="0.25">
      <c r="A547" s="18" t="s">
        <v>5694</v>
      </c>
      <c r="B547" s="4" t="s">
        <v>2128</v>
      </c>
      <c r="C547" s="4" t="s">
        <v>701</v>
      </c>
      <c r="D547" s="4" t="s">
        <v>3290</v>
      </c>
      <c r="E547" s="9">
        <v>18.899999999999999</v>
      </c>
      <c r="F547" s="9">
        <v>18.899999999999999</v>
      </c>
      <c r="G547" s="1" t="s">
        <v>5695</v>
      </c>
      <c r="H547" s="1">
        <f>SUMIF([1]Sheet1!$G:$G,A547,[1]Sheet1!$O:$O)</f>
        <v>18.899999999999999</v>
      </c>
      <c r="I547" s="21">
        <f t="shared" si="8"/>
        <v>0</v>
      </c>
    </row>
    <row r="548" spans="1:9" x14ac:dyDescent="0.25">
      <c r="A548" s="18" t="s">
        <v>7200</v>
      </c>
      <c r="B548" s="4" t="s">
        <v>2129</v>
      </c>
      <c r="C548" s="4" t="s">
        <v>702</v>
      </c>
      <c r="D548" s="4" t="s">
        <v>3289</v>
      </c>
      <c r="E548" s="9">
        <v>40.910901791229151</v>
      </c>
      <c r="F548" s="9">
        <v>2649.39</v>
      </c>
      <c r="G548" s="1" t="s">
        <v>7201</v>
      </c>
      <c r="H548" s="1">
        <f>SUMIF([1]Sheet1!$G:$G,A548,[1]Sheet1!$O:$O)</f>
        <v>2649.39</v>
      </c>
      <c r="I548" s="21">
        <f t="shared" si="8"/>
        <v>0</v>
      </c>
    </row>
    <row r="549" spans="1:9" x14ac:dyDescent="0.25">
      <c r="A549" s="18" t="s">
        <v>9213</v>
      </c>
      <c r="B549" s="4" t="s">
        <v>2130</v>
      </c>
      <c r="C549" s="4" t="s">
        <v>703</v>
      </c>
      <c r="D549" s="4" t="s">
        <v>3290</v>
      </c>
      <c r="E549" s="9">
        <v>64.069999999999993</v>
      </c>
      <c r="F549" s="9">
        <v>128.13999999999999</v>
      </c>
      <c r="G549" s="1" t="s">
        <v>9214</v>
      </c>
      <c r="H549" s="1">
        <f>SUMIF([1]Sheet1!$G:$G,A549,[1]Sheet1!$O:$O)</f>
        <v>128.13999999999999</v>
      </c>
      <c r="I549" s="21">
        <f t="shared" si="8"/>
        <v>0</v>
      </c>
    </row>
    <row r="550" spans="1:9" x14ac:dyDescent="0.25">
      <c r="A550" s="18" t="s">
        <v>5599</v>
      </c>
      <c r="B550" s="4" t="s">
        <v>2131</v>
      </c>
      <c r="C550" s="4" t="s">
        <v>704</v>
      </c>
      <c r="D550" s="4" t="s">
        <v>3290</v>
      </c>
      <c r="E550" s="9">
        <v>9.7949999999999999</v>
      </c>
      <c r="F550" s="9">
        <v>117.53999999999999</v>
      </c>
      <c r="G550" s="1" t="s">
        <v>5600</v>
      </c>
      <c r="H550" s="1">
        <f>SUMIF([1]Sheet1!$G:$G,A550,[1]Sheet1!$O:$O)</f>
        <v>78.36</v>
      </c>
      <c r="I550" s="21">
        <f t="shared" si="8"/>
        <v>39.179999999999993</v>
      </c>
    </row>
    <row r="551" spans="1:9" x14ac:dyDescent="0.25">
      <c r="A551" s="18" t="s">
        <v>7211</v>
      </c>
      <c r="B551" s="4" t="s">
        <v>2132</v>
      </c>
      <c r="C551" s="4" t="s">
        <v>705</v>
      </c>
      <c r="D551" s="4" t="s">
        <v>3289</v>
      </c>
      <c r="E551" s="9">
        <v>56.689385474860337</v>
      </c>
      <c r="F551" s="9">
        <v>507.37</v>
      </c>
      <c r="G551" s="1" t="s">
        <v>7212</v>
      </c>
      <c r="H551" s="1">
        <f>SUMIF([1]Sheet1!$G:$G,A551,[1]Sheet1!$O:$O)</f>
        <v>507.37</v>
      </c>
      <c r="I551" s="21">
        <f t="shared" si="8"/>
        <v>0</v>
      </c>
    </row>
    <row r="552" spans="1:9" x14ac:dyDescent="0.25">
      <c r="A552" s="18" t="s">
        <v>7183</v>
      </c>
      <c r="B552" s="4" t="s">
        <v>2133</v>
      </c>
      <c r="C552" s="4" t="s">
        <v>706</v>
      </c>
      <c r="D552" s="4" t="s">
        <v>3289</v>
      </c>
      <c r="E552" s="9">
        <v>36.171815928859516</v>
      </c>
      <c r="F552" s="9">
        <v>74437.98</v>
      </c>
      <c r="G552" s="1" t="s">
        <v>7184</v>
      </c>
      <c r="H552" s="1">
        <f>SUMIF([1]Sheet1!$G:$G,A552,[1]Sheet1!$O:$O)</f>
        <v>74437.95</v>
      </c>
      <c r="I552" s="21">
        <f t="shared" si="8"/>
        <v>2.9999999998835847E-2</v>
      </c>
    </row>
    <row r="553" spans="1:9" x14ac:dyDescent="0.25">
      <c r="A553" s="18" t="s">
        <v>7986</v>
      </c>
      <c r="B553" s="4" t="s">
        <v>2134</v>
      </c>
      <c r="C553" s="4" t="s">
        <v>707</v>
      </c>
      <c r="D553" s="4" t="s">
        <v>3290</v>
      </c>
      <c r="E553" s="9">
        <v>194.78825000000001</v>
      </c>
      <c r="F553" s="9">
        <v>7791.5300000000007</v>
      </c>
      <c r="G553" s="1" t="s">
        <v>7987</v>
      </c>
      <c r="H553" s="1">
        <f>SUMIF([1]Sheet1!$G:$G,A553,[1]Sheet1!$O:$O)</f>
        <v>7791.53</v>
      </c>
      <c r="I553" s="21">
        <f t="shared" si="8"/>
        <v>0</v>
      </c>
    </row>
    <row r="554" spans="1:9" x14ac:dyDescent="0.25">
      <c r="A554" s="18" t="s">
        <v>7988</v>
      </c>
      <c r="B554" s="4" t="s">
        <v>2135</v>
      </c>
      <c r="C554" s="4" t="s">
        <v>708</v>
      </c>
      <c r="D554" s="4" t="s">
        <v>3290</v>
      </c>
      <c r="E554" s="9">
        <v>300.70699999999999</v>
      </c>
      <c r="F554" s="9">
        <v>3007.0699999999997</v>
      </c>
      <c r="G554" s="1" t="s">
        <v>7989</v>
      </c>
      <c r="H554" s="1">
        <f>SUMIF([1]Sheet1!$G:$G,A554,[1]Sheet1!$O:$O)</f>
        <v>3007.07</v>
      </c>
      <c r="I554" s="21">
        <f t="shared" si="8"/>
        <v>0</v>
      </c>
    </row>
    <row r="555" spans="1:9" x14ac:dyDescent="0.25">
      <c r="A555" s="18" t="s">
        <v>7990</v>
      </c>
      <c r="B555" s="4" t="s">
        <v>2136</v>
      </c>
      <c r="C555" s="4" t="s">
        <v>709</v>
      </c>
      <c r="D555" s="4" t="s">
        <v>3290</v>
      </c>
      <c r="E555" s="9">
        <v>450.79</v>
      </c>
      <c r="F555" s="9">
        <v>901.58</v>
      </c>
      <c r="G555" s="1" t="s">
        <v>7991</v>
      </c>
      <c r="H555" s="1">
        <f>SUMIF([1]Sheet1!$G:$G,A555,[1]Sheet1!$O:$O)</f>
        <v>901.58</v>
      </c>
      <c r="I555" s="21">
        <f t="shared" si="8"/>
        <v>0</v>
      </c>
    </row>
    <row r="556" spans="1:9" x14ac:dyDescent="0.25">
      <c r="A556" s="18" t="s">
        <v>8196</v>
      </c>
      <c r="B556" s="4" t="s">
        <v>2137</v>
      </c>
      <c r="C556" s="4" t="s">
        <v>710</v>
      </c>
      <c r="D556" s="4" t="s">
        <v>3290</v>
      </c>
      <c r="E556" s="9">
        <v>127.11833333333334</v>
      </c>
      <c r="F556" s="9">
        <v>1525.42</v>
      </c>
      <c r="G556" s="1" t="s">
        <v>8197</v>
      </c>
      <c r="H556" s="1">
        <f>SUMIF([1]Sheet1!$G:$G,A556,[1]Sheet1!$O:$O)</f>
        <v>1730.5</v>
      </c>
      <c r="I556" s="21">
        <f t="shared" si="8"/>
        <v>-205.07999999999993</v>
      </c>
    </row>
    <row r="557" spans="1:9" x14ac:dyDescent="0.25">
      <c r="A557" s="18" t="s">
        <v>9874</v>
      </c>
      <c r="B557" s="4" t="s">
        <v>2138</v>
      </c>
      <c r="C557" s="4" t="s">
        <v>711</v>
      </c>
      <c r="D557" s="4" t="s">
        <v>3290</v>
      </c>
      <c r="E557" s="9">
        <v>4.2350000000000003</v>
      </c>
      <c r="F557" s="9">
        <v>16.940000000000001</v>
      </c>
      <c r="G557" s="1" t="s">
        <v>9875</v>
      </c>
      <c r="H557" s="1">
        <f>SUMIF([1]Sheet1!$G:$G,A557,[1]Sheet1!$O:$O)</f>
        <v>16.940000000000001</v>
      </c>
      <c r="I557" s="21">
        <f t="shared" si="8"/>
        <v>0</v>
      </c>
    </row>
    <row r="558" spans="1:9" x14ac:dyDescent="0.25">
      <c r="A558" s="18" t="s">
        <v>9400</v>
      </c>
      <c r="B558" s="4" t="s">
        <v>2139</v>
      </c>
      <c r="C558" s="4" t="s">
        <v>712</v>
      </c>
      <c r="D558" s="4" t="s">
        <v>3290</v>
      </c>
      <c r="E558" s="9">
        <v>6.3940000000000001</v>
      </c>
      <c r="F558" s="9">
        <v>895.16</v>
      </c>
      <c r="G558" s="1" t="s">
        <v>9401</v>
      </c>
      <c r="H558" s="1">
        <f>SUMIF([1]Sheet1!$G:$G,A558,[1]Sheet1!$O:$O)</f>
        <v>895.16</v>
      </c>
      <c r="I558" s="21">
        <f t="shared" si="8"/>
        <v>0</v>
      </c>
    </row>
    <row r="559" spans="1:9" x14ac:dyDescent="0.25">
      <c r="A559" s="18" t="s">
        <v>11044</v>
      </c>
      <c r="B559" s="4" t="s">
        <v>2140</v>
      </c>
      <c r="C559" s="4" t="s">
        <v>713</v>
      </c>
      <c r="D559" s="4" t="s">
        <v>3290</v>
      </c>
      <c r="E559" s="9">
        <v>1430.6471428571429</v>
      </c>
      <c r="F559" s="9">
        <v>10014.530000000001</v>
      </c>
      <c r="G559" s="1" t="s">
        <v>11045</v>
      </c>
      <c r="H559" s="1">
        <f>SUMIF([1]Sheet1!$G:$G,A559,[1]Sheet1!$O:$O)</f>
        <v>10014.530000000001</v>
      </c>
      <c r="I559" s="21">
        <f t="shared" si="8"/>
        <v>0</v>
      </c>
    </row>
    <row r="560" spans="1:9" x14ac:dyDescent="0.25">
      <c r="A560" s="18" t="s">
        <v>5563</v>
      </c>
      <c r="B560" s="4" t="s">
        <v>2141</v>
      </c>
      <c r="C560" s="4" t="s">
        <v>714</v>
      </c>
      <c r="D560" s="4" t="s">
        <v>3290</v>
      </c>
      <c r="E560" s="9">
        <v>8.6141666666666676</v>
      </c>
      <c r="F560" s="9">
        <v>103.37</v>
      </c>
      <c r="G560" s="1" t="s">
        <v>5564</v>
      </c>
      <c r="H560" s="1">
        <f>SUMIF([1]Sheet1!$G:$G,A560,[1]Sheet1!$O:$O)</f>
        <v>103.37</v>
      </c>
      <c r="I560" s="21">
        <f t="shared" si="8"/>
        <v>0</v>
      </c>
    </row>
    <row r="561" spans="1:9" x14ac:dyDescent="0.25">
      <c r="A561" s="18" t="s">
        <v>8709</v>
      </c>
      <c r="B561" s="4" t="s">
        <v>2142</v>
      </c>
      <c r="C561" s="4" t="s">
        <v>715</v>
      </c>
      <c r="D561" s="4" t="s">
        <v>3290</v>
      </c>
      <c r="E561" s="9">
        <v>20.706666666666667</v>
      </c>
      <c r="F561" s="9">
        <v>62.120000000000005</v>
      </c>
      <c r="G561" s="1" t="s">
        <v>8710</v>
      </c>
      <c r="H561" s="1">
        <f>SUMIF([1]Sheet1!$G:$G,A561,[1]Sheet1!$O:$O)</f>
        <v>62.12</v>
      </c>
      <c r="I561" s="21">
        <f t="shared" si="8"/>
        <v>0</v>
      </c>
    </row>
    <row r="562" spans="1:9" x14ac:dyDescent="0.25">
      <c r="A562" s="18" t="s">
        <v>7690</v>
      </c>
      <c r="B562" s="4" t="s">
        <v>2143</v>
      </c>
      <c r="C562" s="4" t="s">
        <v>716</v>
      </c>
      <c r="D562" s="4" t="s">
        <v>3290</v>
      </c>
      <c r="E562" s="9">
        <v>4.6420000000000003</v>
      </c>
      <c r="F562" s="9">
        <v>23.21</v>
      </c>
      <c r="G562" s="1" t="s">
        <v>7691</v>
      </c>
      <c r="H562" s="1">
        <f>SUMIF([1]Sheet1!$G:$G,A562,[1]Sheet1!$O:$O)</f>
        <v>23.21</v>
      </c>
      <c r="I562" s="21">
        <f t="shared" si="8"/>
        <v>0</v>
      </c>
    </row>
    <row r="563" spans="1:9" x14ac:dyDescent="0.25">
      <c r="A563" s="18" t="s">
        <v>10137</v>
      </c>
      <c r="B563" s="4" t="s">
        <v>2144</v>
      </c>
      <c r="C563" s="4" t="s">
        <v>717</v>
      </c>
      <c r="D563" s="4" t="s">
        <v>3290</v>
      </c>
      <c r="E563" s="9">
        <v>180.08</v>
      </c>
      <c r="F563" s="9">
        <v>180.08</v>
      </c>
      <c r="G563" s="1" t="s">
        <v>10138</v>
      </c>
      <c r="H563" s="1">
        <f>SUMIF([1]Sheet1!$G:$G,A563,[1]Sheet1!$O:$O)</f>
        <v>180.08</v>
      </c>
      <c r="I563" s="21">
        <f t="shared" si="8"/>
        <v>0</v>
      </c>
    </row>
    <row r="564" spans="1:9" x14ac:dyDescent="0.25">
      <c r="A564" s="18" t="s">
        <v>10645</v>
      </c>
      <c r="B564" s="4" t="s">
        <v>2145</v>
      </c>
      <c r="C564" s="4" t="s">
        <v>718</v>
      </c>
      <c r="D564" s="4" t="s">
        <v>3295</v>
      </c>
      <c r="E564" s="9">
        <v>65.209999999999994</v>
      </c>
      <c r="F564" s="9">
        <v>65.209999999999994</v>
      </c>
      <c r="G564" s="1" t="s">
        <v>10646</v>
      </c>
      <c r="H564" s="1">
        <f>SUMIF([1]Sheet1!$G:$G,A564,[1]Sheet1!$O:$O)</f>
        <v>65.209999999999994</v>
      </c>
      <c r="I564" s="21">
        <f t="shared" si="8"/>
        <v>0</v>
      </c>
    </row>
    <row r="565" spans="1:9" x14ac:dyDescent="0.25">
      <c r="A565" s="18" t="s">
        <v>8231</v>
      </c>
      <c r="B565" s="4" t="s">
        <v>2146</v>
      </c>
      <c r="C565" s="4" t="s">
        <v>719</v>
      </c>
      <c r="D565" s="4" t="s">
        <v>3290</v>
      </c>
      <c r="E565" s="9">
        <v>7.730787401574803</v>
      </c>
      <c r="F565" s="9">
        <v>981.81</v>
      </c>
      <c r="G565" s="1" t="s">
        <v>8233</v>
      </c>
      <c r="H565" s="1">
        <f>SUMIF([1]Sheet1!$G:$G,A565,[1]Sheet1!$O:$O)</f>
        <v>981.81</v>
      </c>
      <c r="I565" s="21">
        <f t="shared" si="8"/>
        <v>0</v>
      </c>
    </row>
    <row r="566" spans="1:9" x14ac:dyDescent="0.25">
      <c r="A566" s="18" t="s">
        <v>6762</v>
      </c>
      <c r="B566" s="4" t="s">
        <v>2147</v>
      </c>
      <c r="C566" s="4" t="s">
        <v>720</v>
      </c>
      <c r="D566" s="4" t="s">
        <v>3291</v>
      </c>
      <c r="E566" s="9">
        <v>3.0473404255319148</v>
      </c>
      <c r="F566" s="9">
        <v>286.45</v>
      </c>
      <c r="G566" s="1" t="s">
        <v>6763</v>
      </c>
      <c r="H566" s="1">
        <f>SUMIF([1]Sheet1!$G:$G,A566,[1]Sheet1!$O:$O)</f>
        <v>286.45</v>
      </c>
      <c r="I566" s="21">
        <f t="shared" si="8"/>
        <v>0</v>
      </c>
    </row>
    <row r="567" spans="1:9" x14ac:dyDescent="0.25">
      <c r="A567" s="18" t="s">
        <v>9945</v>
      </c>
      <c r="B567" s="4" t="s">
        <v>2148</v>
      </c>
      <c r="C567" s="4" t="s">
        <v>721</v>
      </c>
      <c r="D567" s="4" t="s">
        <v>3290</v>
      </c>
      <c r="E567" s="9">
        <v>9.7462499999999999</v>
      </c>
      <c r="F567" s="9">
        <v>77.97</v>
      </c>
      <c r="G567" s="1" t="s">
        <v>9946</v>
      </c>
      <c r="H567" s="1">
        <f>SUMIF([1]Sheet1!$G:$G,A567,[1]Sheet1!$O:$O)</f>
        <v>77.97</v>
      </c>
      <c r="I567" s="21">
        <f t="shared" si="8"/>
        <v>0</v>
      </c>
    </row>
    <row r="568" spans="1:9" x14ac:dyDescent="0.25">
      <c r="A568" s="18" t="s">
        <v>8594</v>
      </c>
      <c r="B568" s="4" t="s">
        <v>2149</v>
      </c>
      <c r="C568" s="4" t="s">
        <v>722</v>
      </c>
      <c r="D568" s="4" t="s">
        <v>3290</v>
      </c>
      <c r="E568" s="9">
        <v>24.57</v>
      </c>
      <c r="F568" s="9">
        <v>24.57</v>
      </c>
      <c r="G568" s="1" t="s">
        <v>8595</v>
      </c>
      <c r="H568" s="1">
        <f>SUMIF([1]Sheet1!$G:$G,A568,[1]Sheet1!$O:$O)</f>
        <v>24.57</v>
      </c>
      <c r="I568" s="21">
        <f t="shared" si="8"/>
        <v>0</v>
      </c>
    </row>
    <row r="569" spans="1:9" x14ac:dyDescent="0.25">
      <c r="A569" s="18" t="s">
        <v>5168</v>
      </c>
      <c r="B569" s="4" t="s">
        <v>2150</v>
      </c>
      <c r="C569" s="4" t="s">
        <v>723</v>
      </c>
      <c r="D569" s="4" t="s">
        <v>3290</v>
      </c>
      <c r="E569" s="9">
        <v>21.186363636363637</v>
      </c>
      <c r="F569" s="9">
        <v>233.05</v>
      </c>
      <c r="G569" s="1" t="s">
        <v>5169</v>
      </c>
      <c r="H569" s="1">
        <f>SUMIF([1]Sheet1!$G:$G,A569,[1]Sheet1!$O:$O)</f>
        <v>233.05</v>
      </c>
      <c r="I569" s="21">
        <f t="shared" si="8"/>
        <v>0</v>
      </c>
    </row>
    <row r="570" spans="1:9" x14ac:dyDescent="0.25">
      <c r="A570" s="18" t="s">
        <v>8510</v>
      </c>
      <c r="B570" s="4" t="s">
        <v>2151</v>
      </c>
      <c r="C570" s="4" t="s">
        <v>724</v>
      </c>
      <c r="D570" s="4" t="s">
        <v>3290</v>
      </c>
      <c r="E570" s="9">
        <v>5.9315384615384617E-2</v>
      </c>
      <c r="F570" s="9">
        <v>77.11</v>
      </c>
      <c r="G570" s="1" t="s">
        <v>8511</v>
      </c>
      <c r="H570" s="1">
        <f>SUMIF([1]Sheet1!$G:$G,A570,[1]Sheet1!$O:$O)</f>
        <v>77.09</v>
      </c>
      <c r="I570" s="21">
        <f t="shared" si="8"/>
        <v>1.9999999999996021E-2</v>
      </c>
    </row>
    <row r="571" spans="1:9" x14ac:dyDescent="0.25">
      <c r="A571" s="18" t="s">
        <v>6087</v>
      </c>
      <c r="B571" s="4" t="s">
        <v>2152</v>
      </c>
      <c r="C571" s="4" t="s">
        <v>725</v>
      </c>
      <c r="D571" s="4" t="s">
        <v>3290</v>
      </c>
      <c r="E571" s="9">
        <v>241.52</v>
      </c>
      <c r="F571" s="9">
        <v>241.52</v>
      </c>
      <c r="G571" s="1" t="s">
        <v>6088</v>
      </c>
      <c r="H571" s="1">
        <f>SUMIF([1]Sheet1!$G:$G,A571,[1]Sheet1!$O:$O)</f>
        <v>241.52</v>
      </c>
      <c r="I571" s="21">
        <f t="shared" si="8"/>
        <v>0</v>
      </c>
    </row>
    <row r="572" spans="1:9" x14ac:dyDescent="0.25">
      <c r="A572" s="18" t="s">
        <v>3557</v>
      </c>
      <c r="B572" s="4" t="s">
        <v>2153</v>
      </c>
      <c r="C572" s="4" t="s">
        <v>726</v>
      </c>
      <c r="D572" s="4" t="s">
        <v>3290</v>
      </c>
      <c r="E572" s="9">
        <v>320</v>
      </c>
      <c r="F572" s="9">
        <v>1280</v>
      </c>
      <c r="G572" s="1" t="s">
        <v>3560</v>
      </c>
      <c r="H572" s="1">
        <f>SUMIF([1]Sheet1!$G:$G,A572,[1]Sheet1!$O:$O)</f>
        <v>1280</v>
      </c>
      <c r="I572" s="21">
        <f t="shared" si="8"/>
        <v>0</v>
      </c>
    </row>
    <row r="573" spans="1:9" x14ac:dyDescent="0.25">
      <c r="A573" s="18" t="s">
        <v>7930</v>
      </c>
      <c r="B573" s="4" t="s">
        <v>2154</v>
      </c>
      <c r="C573" s="4" t="s">
        <v>727</v>
      </c>
      <c r="D573" s="4" t="s">
        <v>3290</v>
      </c>
      <c r="E573" s="9">
        <v>130.934</v>
      </c>
      <c r="F573" s="9">
        <v>1309.3399999999999</v>
      </c>
      <c r="G573" s="1" t="s">
        <v>7931</v>
      </c>
      <c r="H573" s="1">
        <f>SUMIF([1]Sheet1!$G:$G,A573,[1]Sheet1!$O:$O)</f>
        <v>1309.3399999999999</v>
      </c>
      <c r="I573" s="21">
        <f t="shared" si="8"/>
        <v>0</v>
      </c>
    </row>
    <row r="574" spans="1:9" x14ac:dyDescent="0.25">
      <c r="A574" s="18" t="s">
        <v>7932</v>
      </c>
      <c r="B574" s="4" t="s">
        <v>2155</v>
      </c>
      <c r="C574" s="4" t="s">
        <v>728</v>
      </c>
      <c r="D574" s="4" t="s">
        <v>3290</v>
      </c>
      <c r="E574" s="9">
        <v>170.9</v>
      </c>
      <c r="F574" s="9">
        <v>341.8</v>
      </c>
      <c r="G574" s="1" t="s">
        <v>7933</v>
      </c>
      <c r="H574" s="1">
        <f>SUMIF([1]Sheet1!$G:$G,A574,[1]Sheet1!$O:$O)</f>
        <v>341.8</v>
      </c>
      <c r="I574" s="21">
        <f t="shared" si="8"/>
        <v>0</v>
      </c>
    </row>
    <row r="575" spans="1:9" x14ac:dyDescent="0.25">
      <c r="A575" s="18" t="s">
        <v>7934</v>
      </c>
      <c r="B575" s="4" t="s">
        <v>2156</v>
      </c>
      <c r="C575" s="4" t="s">
        <v>729</v>
      </c>
      <c r="D575" s="4" t="s">
        <v>3290</v>
      </c>
      <c r="E575" s="9">
        <v>260.19</v>
      </c>
      <c r="F575" s="9">
        <v>520.38</v>
      </c>
      <c r="G575" s="1" t="s">
        <v>7935</v>
      </c>
      <c r="H575" s="1">
        <f>SUMIF([1]Sheet1!$G:$G,A575,[1]Sheet1!$O:$O)</f>
        <v>520.38</v>
      </c>
      <c r="I575" s="21">
        <f t="shared" si="8"/>
        <v>0</v>
      </c>
    </row>
    <row r="576" spans="1:9" x14ac:dyDescent="0.25">
      <c r="A576" s="18" t="s">
        <v>5877</v>
      </c>
      <c r="B576" s="4" t="s">
        <v>2157</v>
      </c>
      <c r="C576" s="4" t="s">
        <v>730</v>
      </c>
      <c r="D576" s="4" t="s">
        <v>3291</v>
      </c>
      <c r="E576" s="9">
        <v>20.305652715097317</v>
      </c>
      <c r="F576" s="9">
        <v>23360.76</v>
      </c>
      <c r="G576" s="1" t="s">
        <v>5878</v>
      </c>
      <c r="H576" s="1">
        <f>SUMIF([1]Sheet1!$G:$G,A576,[1]Sheet1!$O:$O)</f>
        <v>23259.29</v>
      </c>
      <c r="I576" s="21">
        <f t="shared" si="8"/>
        <v>101.46999999999753</v>
      </c>
    </row>
    <row r="577" spans="1:9" x14ac:dyDescent="0.25">
      <c r="A577" s="18" t="s">
        <v>5866</v>
      </c>
      <c r="B577" s="4" t="s">
        <v>2158</v>
      </c>
      <c r="C577" s="4" t="s">
        <v>731</v>
      </c>
      <c r="D577" s="4" t="s">
        <v>3291</v>
      </c>
      <c r="E577" s="9">
        <v>20.641676058729985</v>
      </c>
      <c r="F577" s="9">
        <v>13369.82</v>
      </c>
      <c r="G577" s="1" t="s">
        <v>5869</v>
      </c>
      <c r="H577" s="1">
        <f>SUMIF([1]Sheet1!$G:$G,A577,[1]Sheet1!$O:$O)</f>
        <v>13256.31</v>
      </c>
      <c r="I577" s="21">
        <f t="shared" si="8"/>
        <v>113.51000000000022</v>
      </c>
    </row>
    <row r="578" spans="1:9" x14ac:dyDescent="0.25">
      <c r="A578" s="18" t="s">
        <v>4538</v>
      </c>
      <c r="B578" s="4" t="s">
        <v>2159</v>
      </c>
      <c r="C578" s="4" t="s">
        <v>732</v>
      </c>
      <c r="D578" s="4" t="s">
        <v>3290</v>
      </c>
      <c r="E578" s="9">
        <v>381.36</v>
      </c>
      <c r="F578" s="9">
        <v>381.36</v>
      </c>
      <c r="G578" s="1" t="s">
        <v>4539</v>
      </c>
      <c r="H578" s="1">
        <f>SUMIF([1]Sheet1!$G:$G,A578,[1]Sheet1!$O:$O)</f>
        <v>381.36</v>
      </c>
      <c r="I578" s="21">
        <f t="shared" si="8"/>
        <v>0</v>
      </c>
    </row>
    <row r="579" spans="1:9" x14ac:dyDescent="0.25">
      <c r="A579" s="18" t="s">
        <v>4549</v>
      </c>
      <c r="B579" s="4" t="s">
        <v>2160</v>
      </c>
      <c r="C579" s="4" t="s">
        <v>733</v>
      </c>
      <c r="D579" s="4" t="s">
        <v>3290</v>
      </c>
      <c r="E579" s="9">
        <v>847.46</v>
      </c>
      <c r="F579" s="9">
        <v>847.46</v>
      </c>
      <c r="G579" s="1" t="s">
        <v>4550</v>
      </c>
      <c r="H579" s="1">
        <f>SUMIF([1]Sheet1!$G:$G,A579,[1]Sheet1!$O:$O)</f>
        <v>847.46</v>
      </c>
      <c r="I579" s="21">
        <f t="shared" ref="I579:I642" si="9">F579-H579</f>
        <v>0</v>
      </c>
    </row>
    <row r="580" spans="1:9" x14ac:dyDescent="0.25">
      <c r="A580" s="18" t="s">
        <v>9558</v>
      </c>
      <c r="B580" s="4" t="s">
        <v>2161</v>
      </c>
      <c r="C580" s="4" t="s">
        <v>734</v>
      </c>
      <c r="D580" s="4" t="s">
        <v>3291</v>
      </c>
      <c r="E580" s="9">
        <v>4.2345072630368898</v>
      </c>
      <c r="F580" s="9">
        <v>40.520000000000003</v>
      </c>
      <c r="G580" s="1" t="s">
        <v>9559</v>
      </c>
      <c r="H580" s="1">
        <f>SUMIF([1]Sheet1!$G:$G,A580,[1]Sheet1!$O:$O)</f>
        <v>40.520000000000003</v>
      </c>
      <c r="I580" s="21">
        <f t="shared" si="9"/>
        <v>0</v>
      </c>
    </row>
    <row r="581" spans="1:9" x14ac:dyDescent="0.25">
      <c r="A581" s="18" t="s">
        <v>10792</v>
      </c>
      <c r="B581" s="4" t="s">
        <v>2162</v>
      </c>
      <c r="C581" s="4" t="s">
        <v>735</v>
      </c>
      <c r="D581" s="4" t="s">
        <v>3291</v>
      </c>
      <c r="E581" s="9">
        <v>4.2381786339754814</v>
      </c>
      <c r="F581" s="9">
        <v>48.4</v>
      </c>
      <c r="G581" s="1" t="s">
        <v>10793</v>
      </c>
      <c r="H581" s="1">
        <f>SUMIF([1]Sheet1!$G:$G,A581,[1]Sheet1!$O:$O)</f>
        <v>48.4</v>
      </c>
      <c r="I581" s="21">
        <f t="shared" si="9"/>
        <v>0</v>
      </c>
    </row>
    <row r="582" spans="1:9" x14ac:dyDescent="0.25">
      <c r="A582" s="18" t="s">
        <v>6928</v>
      </c>
      <c r="B582" s="4" t="s">
        <v>2163</v>
      </c>
      <c r="C582" s="4" t="s">
        <v>736</v>
      </c>
      <c r="D582" s="4" t="s">
        <v>3290</v>
      </c>
      <c r="E582" s="9">
        <v>28.452999999999999</v>
      </c>
      <c r="F582" s="9">
        <v>853.59</v>
      </c>
      <c r="G582" s="1" t="s">
        <v>6929</v>
      </c>
      <c r="H582" s="1">
        <f>SUMIF([1]Sheet1!$G:$G,A582,[1]Sheet1!$O:$O)</f>
        <v>853.59</v>
      </c>
      <c r="I582" s="21">
        <f t="shared" si="9"/>
        <v>0</v>
      </c>
    </row>
    <row r="583" spans="1:9" x14ac:dyDescent="0.25">
      <c r="A583" s="18" t="s">
        <v>10941</v>
      </c>
      <c r="B583" s="4" t="s">
        <v>2164</v>
      </c>
      <c r="C583" s="4" t="s">
        <v>737</v>
      </c>
      <c r="D583" s="4" t="s">
        <v>3290</v>
      </c>
      <c r="E583" s="9">
        <v>1.4076258992805755</v>
      </c>
      <c r="F583" s="9">
        <v>195.66</v>
      </c>
      <c r="G583" s="1" t="s">
        <v>10942</v>
      </c>
      <c r="H583" s="1">
        <f>SUMIF([1]Sheet1!$G:$G,A583,[1]Sheet1!$O:$O)</f>
        <v>195.66</v>
      </c>
      <c r="I583" s="21">
        <f t="shared" si="9"/>
        <v>0</v>
      </c>
    </row>
    <row r="584" spans="1:9" x14ac:dyDescent="0.25">
      <c r="A584" s="18" t="s">
        <v>8150</v>
      </c>
      <c r="B584" s="4" t="s">
        <v>2165</v>
      </c>
      <c r="C584" s="4" t="s">
        <v>315</v>
      </c>
      <c r="D584" s="4" t="s">
        <v>3290</v>
      </c>
      <c r="E584" s="9">
        <v>6.7980263157894738</v>
      </c>
      <c r="F584" s="9">
        <v>1033.3</v>
      </c>
      <c r="G584" s="1" t="s">
        <v>8151</v>
      </c>
      <c r="H584" s="1">
        <f>SUMIF([1]Sheet1!$G:$G,A584,[1]Sheet1!$O:$O)</f>
        <v>1033.3</v>
      </c>
      <c r="I584" s="21">
        <f t="shared" si="9"/>
        <v>0</v>
      </c>
    </row>
    <row r="585" spans="1:9" x14ac:dyDescent="0.25">
      <c r="A585" s="18" t="s">
        <v>4755</v>
      </c>
      <c r="B585" s="4" t="s">
        <v>2166</v>
      </c>
      <c r="C585" s="4" t="s">
        <v>738</v>
      </c>
      <c r="D585" s="4" t="s">
        <v>3290</v>
      </c>
      <c r="E585" s="9">
        <v>1.6319230769230768</v>
      </c>
      <c r="F585" s="9">
        <v>84.86</v>
      </c>
      <c r="G585" s="1" t="s">
        <v>4756</v>
      </c>
      <c r="H585" s="1">
        <f>SUMIF([1]Sheet1!$G:$G,A585,[1]Sheet1!$O:$O)</f>
        <v>84.86</v>
      </c>
      <c r="I585" s="21">
        <f t="shared" si="9"/>
        <v>0</v>
      </c>
    </row>
    <row r="586" spans="1:9" x14ac:dyDescent="0.25">
      <c r="A586" s="18" t="s">
        <v>11399</v>
      </c>
      <c r="B586" s="4" t="s">
        <v>2167</v>
      </c>
      <c r="C586" s="4" t="s">
        <v>739</v>
      </c>
      <c r="D586" s="4" t="s">
        <v>3290</v>
      </c>
      <c r="E586" s="9">
        <v>0.63508620689655171</v>
      </c>
      <c r="F586" s="9">
        <v>73.67</v>
      </c>
      <c r="G586" s="1" t="s">
        <v>11400</v>
      </c>
      <c r="H586" s="1">
        <f>SUMIF([1]Sheet1!$G:$G,A586,[1]Sheet1!$O:$O)</f>
        <v>73.67</v>
      </c>
      <c r="I586" s="21">
        <f t="shared" si="9"/>
        <v>0</v>
      </c>
    </row>
    <row r="587" spans="1:9" x14ac:dyDescent="0.25">
      <c r="A587" s="18" t="s">
        <v>11403</v>
      </c>
      <c r="B587" s="4" t="s">
        <v>2168</v>
      </c>
      <c r="C587" s="4" t="s">
        <v>740</v>
      </c>
      <c r="D587" s="4" t="s">
        <v>3290</v>
      </c>
      <c r="E587" s="9">
        <v>1.552876712328767</v>
      </c>
      <c r="F587" s="9">
        <v>453.43999999999994</v>
      </c>
      <c r="G587" s="1" t="s">
        <v>11404</v>
      </c>
      <c r="H587" s="1">
        <f>SUMIF([1]Sheet1!$G:$G,A587,[1]Sheet1!$O:$O)</f>
        <v>453.45</v>
      </c>
      <c r="I587" s="21">
        <f t="shared" si="9"/>
        <v>-1.0000000000047748E-2</v>
      </c>
    </row>
    <row r="588" spans="1:9" x14ac:dyDescent="0.25">
      <c r="A588" s="18" t="s">
        <v>11405</v>
      </c>
      <c r="B588" s="4" t="s">
        <v>2169</v>
      </c>
      <c r="C588" s="4" t="s">
        <v>741</v>
      </c>
      <c r="D588" s="4" t="s">
        <v>3290</v>
      </c>
      <c r="E588" s="9">
        <v>3.2324000000000002</v>
      </c>
      <c r="F588" s="9">
        <v>80.81</v>
      </c>
      <c r="G588" s="1" t="s">
        <v>11406</v>
      </c>
      <c r="H588" s="1">
        <f>SUMIF([1]Sheet1!$G:$G,A588,[1]Sheet1!$O:$O)</f>
        <v>80.81</v>
      </c>
      <c r="I588" s="21">
        <f t="shared" si="9"/>
        <v>0</v>
      </c>
    </row>
    <row r="589" spans="1:9" x14ac:dyDescent="0.25">
      <c r="A589" s="18" t="s">
        <v>4137</v>
      </c>
      <c r="B589" s="4" t="s">
        <v>2170</v>
      </c>
      <c r="C589" s="4" t="s">
        <v>742</v>
      </c>
      <c r="D589" s="4" t="s">
        <v>3294</v>
      </c>
      <c r="E589" s="9">
        <v>2390</v>
      </c>
      <c r="F589" s="9">
        <v>4.78</v>
      </c>
      <c r="G589" s="1" t="s">
        <v>4138</v>
      </c>
      <c r="H589" s="1">
        <f>SUMIF([1]Sheet1!$G:$G,A589,[1]Sheet1!$O:$O)</f>
        <v>4.78</v>
      </c>
      <c r="I589" s="21">
        <f t="shared" si="9"/>
        <v>0</v>
      </c>
    </row>
    <row r="590" spans="1:9" x14ac:dyDescent="0.25">
      <c r="A590" s="18" t="s">
        <v>11509</v>
      </c>
      <c r="B590" s="4" t="s">
        <v>2171</v>
      </c>
      <c r="C590" s="4" t="s">
        <v>743</v>
      </c>
      <c r="D590" s="4" t="s">
        <v>3290</v>
      </c>
      <c r="E590" s="9">
        <v>0.52437500000000004</v>
      </c>
      <c r="F590" s="9">
        <v>41.95</v>
      </c>
      <c r="G590" s="1" t="s">
        <v>11510</v>
      </c>
      <c r="H590" s="1">
        <f>SUMIF([1]Sheet1!$G:$G,A590,[1]Sheet1!$O:$O)</f>
        <v>41.95</v>
      </c>
      <c r="I590" s="21">
        <f t="shared" si="9"/>
        <v>0</v>
      </c>
    </row>
    <row r="591" spans="1:9" x14ac:dyDescent="0.25">
      <c r="A591" s="18" t="s">
        <v>9967</v>
      </c>
      <c r="B591" s="4" t="s">
        <v>2172</v>
      </c>
      <c r="C591" s="4" t="s">
        <v>744</v>
      </c>
      <c r="D591" s="4" t="s">
        <v>3290</v>
      </c>
      <c r="E591" s="9">
        <v>0.42370967741935484</v>
      </c>
      <c r="F591" s="9">
        <v>26.27</v>
      </c>
      <c r="G591" s="1" t="s">
        <v>9968</v>
      </c>
      <c r="H591" s="1">
        <f>SUMIF([1]Sheet1!$G:$G,A591,[1]Sheet1!$O:$O)</f>
        <v>26.27</v>
      </c>
      <c r="I591" s="21">
        <f t="shared" si="9"/>
        <v>0</v>
      </c>
    </row>
    <row r="592" spans="1:9" x14ac:dyDescent="0.25">
      <c r="A592" s="18" t="s">
        <v>6381</v>
      </c>
      <c r="B592" s="4" t="s">
        <v>2173</v>
      </c>
      <c r="C592" s="4" t="s">
        <v>745</v>
      </c>
      <c r="D592" s="4" t="s">
        <v>3290</v>
      </c>
      <c r="E592" s="9">
        <v>2.1190000000000002</v>
      </c>
      <c r="F592" s="9">
        <v>21.19</v>
      </c>
      <c r="G592" s="1" t="s">
        <v>6382</v>
      </c>
      <c r="H592" s="1">
        <f>SUMIF([1]Sheet1!$G:$G,A592,[1]Sheet1!$O:$O)</f>
        <v>21.19</v>
      </c>
      <c r="I592" s="21">
        <f t="shared" si="9"/>
        <v>0</v>
      </c>
    </row>
    <row r="593" spans="1:9" x14ac:dyDescent="0.25">
      <c r="A593" s="18" t="s">
        <v>8134</v>
      </c>
      <c r="B593" s="4" t="s">
        <v>2174</v>
      </c>
      <c r="C593" s="4" t="s">
        <v>746</v>
      </c>
      <c r="D593" s="4" t="s">
        <v>3290</v>
      </c>
      <c r="E593" s="9">
        <v>7.318225806451613</v>
      </c>
      <c r="F593" s="9">
        <v>453.73</v>
      </c>
      <c r="G593" s="1" t="s">
        <v>8135</v>
      </c>
      <c r="H593" s="1">
        <f>SUMIF([1]Sheet1!$G:$G,A593,[1]Sheet1!$O:$O)</f>
        <v>453.73</v>
      </c>
      <c r="I593" s="21">
        <f t="shared" si="9"/>
        <v>0</v>
      </c>
    </row>
    <row r="594" spans="1:9" x14ac:dyDescent="0.25">
      <c r="A594" s="18" t="s">
        <v>6137</v>
      </c>
      <c r="B594" s="4" t="s">
        <v>2175</v>
      </c>
      <c r="C594" s="4" t="s">
        <v>526</v>
      </c>
      <c r="D594" s="4" t="s">
        <v>3290</v>
      </c>
      <c r="E594" s="9">
        <v>80.53</v>
      </c>
      <c r="F594" s="9">
        <v>322.12</v>
      </c>
      <c r="G594" s="1" t="s">
        <v>6138</v>
      </c>
      <c r="H594" s="1">
        <f>SUMIF([1]Sheet1!$G:$G,A594,[1]Sheet1!$O:$O)</f>
        <v>322.12</v>
      </c>
      <c r="I594" s="21">
        <f t="shared" si="9"/>
        <v>0</v>
      </c>
    </row>
    <row r="595" spans="1:9" x14ac:dyDescent="0.25">
      <c r="A595" s="18" t="s">
        <v>11125</v>
      </c>
      <c r="B595" s="4" t="s">
        <v>2176</v>
      </c>
      <c r="C595" s="4" t="s">
        <v>747</v>
      </c>
      <c r="D595" s="4" t="s">
        <v>3289</v>
      </c>
      <c r="E595" s="9">
        <v>0.67800000000000005</v>
      </c>
      <c r="F595" s="9">
        <v>10.17</v>
      </c>
      <c r="G595" s="1" t="s">
        <v>11126</v>
      </c>
      <c r="H595" s="1">
        <f>SUMIF([1]Sheet1!$G:$G,A595,[1]Sheet1!$O:$O)</f>
        <v>10.17</v>
      </c>
      <c r="I595" s="21">
        <f t="shared" si="9"/>
        <v>0</v>
      </c>
    </row>
    <row r="596" spans="1:9" x14ac:dyDescent="0.25">
      <c r="A596" s="18" t="s">
        <v>7605</v>
      </c>
      <c r="B596" s="4" t="s">
        <v>2177</v>
      </c>
      <c r="C596" s="4" t="s">
        <v>748</v>
      </c>
      <c r="D596" s="4" t="s">
        <v>3290</v>
      </c>
      <c r="E596" s="9">
        <v>0.72165289256198339</v>
      </c>
      <c r="F596" s="9">
        <v>87.32</v>
      </c>
      <c r="G596" s="1" t="s">
        <v>7606</v>
      </c>
      <c r="H596" s="1">
        <f>SUMIF([1]Sheet1!$G:$G,A596,[1]Sheet1!$O:$O)</f>
        <v>87.33</v>
      </c>
      <c r="I596" s="21">
        <f t="shared" si="9"/>
        <v>-1.0000000000005116E-2</v>
      </c>
    </row>
    <row r="597" spans="1:9" x14ac:dyDescent="0.25">
      <c r="A597" s="18" t="s">
        <v>7473</v>
      </c>
      <c r="B597" s="4" t="s">
        <v>2178</v>
      </c>
      <c r="C597" s="4" t="s">
        <v>749</v>
      </c>
      <c r="D597" s="4" t="s">
        <v>3289</v>
      </c>
      <c r="E597" s="9">
        <v>8.629999999999999</v>
      </c>
      <c r="F597" s="9">
        <v>86.299999999999983</v>
      </c>
      <c r="G597" s="1" t="s">
        <v>7474</v>
      </c>
      <c r="H597" s="1">
        <f>SUMIF([1]Sheet1!$G:$G,A597,[1]Sheet1!$O:$O)</f>
        <v>86.3</v>
      </c>
      <c r="I597" s="21">
        <f t="shared" si="9"/>
        <v>0</v>
      </c>
    </row>
    <row r="598" spans="1:9" x14ac:dyDescent="0.25">
      <c r="A598" s="18" t="s">
        <v>7360</v>
      </c>
      <c r="B598" s="4" t="s">
        <v>2179</v>
      </c>
      <c r="C598" s="4" t="s">
        <v>212</v>
      </c>
      <c r="D598" s="4" t="s">
        <v>3289</v>
      </c>
      <c r="E598" s="9">
        <v>6.2124999999999995</v>
      </c>
      <c r="F598" s="9">
        <v>4.97</v>
      </c>
      <c r="G598" s="1" t="s">
        <v>7363</v>
      </c>
      <c r="H598" s="1">
        <f>SUMIF([1]Sheet1!$G:$G,A598,[1]Sheet1!$O:$O)</f>
        <v>4.97</v>
      </c>
      <c r="I598" s="21">
        <f t="shared" si="9"/>
        <v>0</v>
      </c>
    </row>
    <row r="599" spans="1:9" x14ac:dyDescent="0.25">
      <c r="A599" s="18" t="s">
        <v>5337</v>
      </c>
      <c r="B599" s="4" t="s">
        <v>2180</v>
      </c>
      <c r="C599" s="4" t="s">
        <v>750</v>
      </c>
      <c r="D599" s="4" t="s">
        <v>3290</v>
      </c>
      <c r="E599" s="9">
        <v>144.06833333333333</v>
      </c>
      <c r="F599" s="9">
        <v>864.41</v>
      </c>
      <c r="G599" s="1" t="s">
        <v>5338</v>
      </c>
      <c r="H599" s="1">
        <f>SUMIF([1]Sheet1!$G:$G,A599,[1]Sheet1!$O:$O)</f>
        <v>864.41</v>
      </c>
      <c r="I599" s="21">
        <f t="shared" si="9"/>
        <v>0</v>
      </c>
    </row>
    <row r="600" spans="1:9" x14ac:dyDescent="0.25">
      <c r="A600" s="18" t="s">
        <v>7994</v>
      </c>
      <c r="B600" s="4" t="s">
        <v>2181</v>
      </c>
      <c r="C600" s="4" t="s">
        <v>751</v>
      </c>
      <c r="D600" s="4" t="s">
        <v>3290</v>
      </c>
      <c r="E600" s="9">
        <v>1.6570866141732283</v>
      </c>
      <c r="F600" s="9">
        <v>210.45</v>
      </c>
      <c r="G600" s="1" t="s">
        <v>7995</v>
      </c>
      <c r="H600" s="1">
        <f>SUMIF([1]Sheet1!$G:$G,A600,[1]Sheet1!$O:$O)</f>
        <v>210.45</v>
      </c>
      <c r="I600" s="21">
        <f t="shared" si="9"/>
        <v>0</v>
      </c>
    </row>
    <row r="601" spans="1:9" x14ac:dyDescent="0.25">
      <c r="A601" s="18" t="s">
        <v>9512</v>
      </c>
      <c r="B601" s="4" t="s">
        <v>2182</v>
      </c>
      <c r="C601" s="4" t="s">
        <v>752</v>
      </c>
      <c r="D601" s="4" t="s">
        <v>3291</v>
      </c>
      <c r="E601" s="9">
        <v>5.0457627118644064</v>
      </c>
      <c r="F601" s="9">
        <v>29.77</v>
      </c>
      <c r="G601" s="1" t="s">
        <v>9513</v>
      </c>
      <c r="H601" s="1">
        <f>SUMIF([1]Sheet1!$G:$G,A601,[1]Sheet1!$O:$O)</f>
        <v>29.77</v>
      </c>
      <c r="I601" s="21">
        <f t="shared" si="9"/>
        <v>0</v>
      </c>
    </row>
    <row r="602" spans="1:9" x14ac:dyDescent="0.25">
      <c r="A602" s="18" t="s">
        <v>5610</v>
      </c>
      <c r="B602" s="4" t="s">
        <v>2183</v>
      </c>
      <c r="C602" s="4" t="s">
        <v>753</v>
      </c>
      <c r="D602" s="4" t="s">
        <v>3290</v>
      </c>
      <c r="E602" s="9">
        <v>9.163636363636364</v>
      </c>
      <c r="F602" s="9">
        <v>100.80000000000001</v>
      </c>
      <c r="G602" s="1" t="s">
        <v>5611</v>
      </c>
      <c r="H602" s="1">
        <f>SUMIF([1]Sheet1!$G:$G,A602,[1]Sheet1!$O:$O)</f>
        <v>100.8</v>
      </c>
      <c r="I602" s="21">
        <f t="shared" si="9"/>
        <v>0</v>
      </c>
    </row>
    <row r="603" spans="1:9" x14ac:dyDescent="0.25">
      <c r="A603" s="18" t="s">
        <v>7727</v>
      </c>
      <c r="B603" s="4" t="s">
        <v>2184</v>
      </c>
      <c r="C603" s="4" t="s">
        <v>754</v>
      </c>
      <c r="D603" s="4" t="s">
        <v>3290</v>
      </c>
      <c r="E603" s="9">
        <v>10.174230769230768</v>
      </c>
      <c r="F603" s="9">
        <v>264.52999999999997</v>
      </c>
      <c r="G603" s="1" t="s">
        <v>7728</v>
      </c>
      <c r="H603" s="1">
        <f>SUMIF([1]Sheet1!$G:$G,A603,[1]Sheet1!$O:$O)</f>
        <v>264.52999999999997</v>
      </c>
      <c r="I603" s="21">
        <f t="shared" si="9"/>
        <v>0</v>
      </c>
    </row>
    <row r="604" spans="1:9" x14ac:dyDescent="0.25">
      <c r="A604" s="18" t="s">
        <v>10730</v>
      </c>
      <c r="B604" s="4" t="s">
        <v>2185</v>
      </c>
      <c r="C604" s="4" t="s">
        <v>755</v>
      </c>
      <c r="D604" s="4" t="s">
        <v>3290</v>
      </c>
      <c r="E604" s="9">
        <v>0.59333333333333338</v>
      </c>
      <c r="F604" s="9">
        <v>17.8</v>
      </c>
      <c r="G604" s="1" t="s">
        <v>10731</v>
      </c>
      <c r="H604" s="1">
        <f>SUMIF([1]Sheet1!$G:$G,A604,[1]Sheet1!$O:$O)</f>
        <v>17.8</v>
      </c>
      <c r="I604" s="21">
        <f t="shared" si="9"/>
        <v>0</v>
      </c>
    </row>
    <row r="605" spans="1:9" x14ac:dyDescent="0.25">
      <c r="A605" s="18" t="s">
        <v>11657</v>
      </c>
      <c r="B605" s="4" t="s">
        <v>2186</v>
      </c>
      <c r="C605" s="4" t="s">
        <v>756</v>
      </c>
      <c r="D605" s="4" t="s">
        <v>3290</v>
      </c>
      <c r="E605" s="9">
        <v>0.12710843373493977</v>
      </c>
      <c r="F605" s="9">
        <v>10.55</v>
      </c>
      <c r="G605" s="1" t="s">
        <v>11660</v>
      </c>
      <c r="H605" s="1">
        <f>SUMIF([1]Sheet1!$G:$G,A605,[1]Sheet1!$O:$O)</f>
        <v>10.55</v>
      </c>
      <c r="I605" s="21">
        <f t="shared" si="9"/>
        <v>0</v>
      </c>
    </row>
    <row r="606" spans="1:9" x14ac:dyDescent="0.25">
      <c r="A606" s="18" t="s">
        <v>7131</v>
      </c>
      <c r="B606" s="4" t="s">
        <v>2187</v>
      </c>
      <c r="C606" s="4" t="s">
        <v>757</v>
      </c>
      <c r="D606" s="4" t="s">
        <v>3289</v>
      </c>
      <c r="E606" s="9">
        <v>9.5625045690474462</v>
      </c>
      <c r="F606" s="9">
        <v>2616.11</v>
      </c>
      <c r="G606" s="1" t="s">
        <v>7134</v>
      </c>
      <c r="H606" s="1">
        <f>SUMIF([1]Sheet1!$G:$G,A606,[1]Sheet1!$O:$O)</f>
        <v>2616.11</v>
      </c>
      <c r="I606" s="21">
        <f t="shared" si="9"/>
        <v>0</v>
      </c>
    </row>
    <row r="607" spans="1:9" x14ac:dyDescent="0.25">
      <c r="A607" s="18" t="s">
        <v>7198</v>
      </c>
      <c r="B607" s="4" t="s">
        <v>2188</v>
      </c>
      <c r="C607" s="4" t="s">
        <v>758</v>
      </c>
      <c r="D607" s="4" t="s">
        <v>3289</v>
      </c>
      <c r="E607" s="9">
        <v>5.8719999999999999</v>
      </c>
      <c r="F607" s="9">
        <v>44.04</v>
      </c>
      <c r="G607" s="1" t="s">
        <v>7199</v>
      </c>
      <c r="H607" s="1">
        <f>SUMIF([1]Sheet1!$G:$G,A607,[1]Sheet1!$O:$O)</f>
        <v>44.04</v>
      </c>
      <c r="I607" s="21">
        <f t="shared" si="9"/>
        <v>0</v>
      </c>
    </row>
    <row r="608" spans="1:9" x14ac:dyDescent="0.25">
      <c r="A608" s="18" t="s">
        <v>8539</v>
      </c>
      <c r="B608" s="4" t="s">
        <v>2189</v>
      </c>
      <c r="C608" s="4" t="s">
        <v>759</v>
      </c>
      <c r="D608" s="4" t="s">
        <v>3289</v>
      </c>
      <c r="E608" s="9">
        <v>1.5398387096774193</v>
      </c>
      <c r="F608" s="9">
        <v>2195.81</v>
      </c>
      <c r="G608" s="1" t="s">
        <v>8540</v>
      </c>
      <c r="H608" s="1">
        <f>SUMIF([1]Sheet1!$G:$G,A608,[1]Sheet1!$O:$O)</f>
        <v>2195.75</v>
      </c>
      <c r="I608" s="21">
        <f t="shared" si="9"/>
        <v>5.999999999994543E-2</v>
      </c>
    </row>
    <row r="609" spans="1:9" x14ac:dyDescent="0.25">
      <c r="A609" s="18" t="s">
        <v>10571</v>
      </c>
      <c r="B609" s="4" t="s">
        <v>3145</v>
      </c>
      <c r="C609" s="4" t="s">
        <v>760</v>
      </c>
      <c r="D609" s="4" t="s">
        <v>3290</v>
      </c>
      <c r="E609" s="9">
        <v>870.38499999999999</v>
      </c>
      <c r="F609" s="9">
        <v>1740.77</v>
      </c>
      <c r="G609" s="1" t="s">
        <v>10572</v>
      </c>
      <c r="H609" s="1">
        <f>SUMIF([1]Sheet1!$G:$G,A609,[1]Sheet1!$O:$O)</f>
        <v>1740.77</v>
      </c>
      <c r="I609" s="21">
        <f t="shared" si="9"/>
        <v>0</v>
      </c>
    </row>
    <row r="610" spans="1:9" x14ac:dyDescent="0.25">
      <c r="A610" s="18" t="s">
        <v>10567</v>
      </c>
      <c r="B610" s="4" t="s">
        <v>3146</v>
      </c>
      <c r="C610" s="4" t="s">
        <v>761</v>
      </c>
      <c r="D610" s="4" t="s">
        <v>3290</v>
      </c>
      <c r="E610" s="9">
        <v>579.5</v>
      </c>
      <c r="F610" s="9">
        <v>579.5</v>
      </c>
      <c r="G610" s="1" t="s">
        <v>10568</v>
      </c>
      <c r="H610" s="1">
        <f>SUMIF([1]Sheet1!$G:$G,A610,[1]Sheet1!$O:$O)</f>
        <v>579.5</v>
      </c>
      <c r="I610" s="21">
        <f t="shared" si="9"/>
        <v>0</v>
      </c>
    </row>
    <row r="611" spans="1:9" x14ac:dyDescent="0.25">
      <c r="A611" s="18" t="s">
        <v>10561</v>
      </c>
      <c r="B611" s="4" t="s">
        <v>3147</v>
      </c>
      <c r="C611" s="4" t="s">
        <v>762</v>
      </c>
      <c r="D611" s="4" t="s">
        <v>3290</v>
      </c>
      <c r="E611" s="9">
        <v>1305.08</v>
      </c>
      <c r="F611" s="9">
        <v>1305.08</v>
      </c>
      <c r="G611" s="1" t="s">
        <v>10562</v>
      </c>
      <c r="H611" s="1">
        <f>SUMIF([1]Sheet1!$G:$G,A611,[1]Sheet1!$O:$O)</f>
        <v>1305.08</v>
      </c>
      <c r="I611" s="21">
        <f t="shared" si="9"/>
        <v>0</v>
      </c>
    </row>
    <row r="612" spans="1:9" x14ac:dyDescent="0.25">
      <c r="A612" s="18" t="s">
        <v>10573</v>
      </c>
      <c r="B612" s="4" t="s">
        <v>3148</v>
      </c>
      <c r="C612" s="4" t="s">
        <v>763</v>
      </c>
      <c r="D612" s="4" t="s">
        <v>3290</v>
      </c>
      <c r="E612" s="9">
        <v>1215.3687500000001</v>
      </c>
      <c r="F612" s="9">
        <v>19445.900000000001</v>
      </c>
      <c r="G612" s="1" t="s">
        <v>10574</v>
      </c>
      <c r="H612" s="1">
        <f>SUMIF([1]Sheet1!$G:$G,A612,[1]Sheet1!$O:$O)</f>
        <v>19445.900000000001</v>
      </c>
      <c r="I612" s="21">
        <f t="shared" si="9"/>
        <v>0</v>
      </c>
    </row>
    <row r="613" spans="1:9" x14ac:dyDescent="0.25">
      <c r="A613" s="18" t="s">
        <v>10569</v>
      </c>
      <c r="B613" s="4" t="s">
        <v>2190</v>
      </c>
      <c r="C613" s="4" t="s">
        <v>764</v>
      </c>
      <c r="D613" s="4" t="s">
        <v>3290</v>
      </c>
      <c r="E613" s="9">
        <v>3758.9749999999999</v>
      </c>
      <c r="F613" s="9">
        <v>7517.95</v>
      </c>
      <c r="G613" s="1" t="s">
        <v>10570</v>
      </c>
      <c r="H613" s="1">
        <f>SUMIF([1]Sheet1!$G:$G,A613,[1]Sheet1!$O:$O)</f>
        <v>7517.95</v>
      </c>
      <c r="I613" s="21">
        <f t="shared" si="9"/>
        <v>0</v>
      </c>
    </row>
    <row r="614" spans="1:9" x14ac:dyDescent="0.25">
      <c r="A614" s="18" t="s">
        <v>10559</v>
      </c>
      <c r="B614" s="4" t="s">
        <v>3149</v>
      </c>
      <c r="C614" s="4" t="s">
        <v>765</v>
      </c>
      <c r="D614" s="4" t="s">
        <v>3290</v>
      </c>
      <c r="E614" s="9">
        <v>217.04</v>
      </c>
      <c r="F614" s="9">
        <v>217.04</v>
      </c>
      <c r="G614" s="1" t="s">
        <v>10560</v>
      </c>
      <c r="H614" s="1">
        <f>SUMIF([1]Sheet1!$G:$G,A614,[1]Sheet1!$O:$O)</f>
        <v>217.04</v>
      </c>
      <c r="I614" s="21">
        <f t="shared" si="9"/>
        <v>0</v>
      </c>
    </row>
    <row r="615" spans="1:9" x14ac:dyDescent="0.25">
      <c r="A615" s="18" t="s">
        <v>10563</v>
      </c>
      <c r="B615" s="4" t="s">
        <v>2191</v>
      </c>
      <c r="C615" s="4" t="s">
        <v>766</v>
      </c>
      <c r="D615" s="4" t="s">
        <v>3290</v>
      </c>
      <c r="E615" s="9">
        <v>85.016666666666666</v>
      </c>
      <c r="F615" s="9">
        <v>255.05</v>
      </c>
      <c r="G615" s="1" t="s">
        <v>10566</v>
      </c>
      <c r="H615" s="1">
        <f>SUMIF([1]Sheet1!$G:$G,A615,[1]Sheet1!$O:$O)</f>
        <v>255.05</v>
      </c>
      <c r="I615" s="21">
        <f t="shared" si="9"/>
        <v>0</v>
      </c>
    </row>
    <row r="616" spans="1:9" x14ac:dyDescent="0.25">
      <c r="A616" s="18" t="s">
        <v>6383</v>
      </c>
      <c r="B616" s="4" t="s">
        <v>2192</v>
      </c>
      <c r="C616" s="4" t="s">
        <v>767</v>
      </c>
      <c r="D616" s="4" t="s">
        <v>3290</v>
      </c>
      <c r="E616" s="9">
        <v>0.39996604414261461</v>
      </c>
      <c r="F616" s="9">
        <v>235.58</v>
      </c>
      <c r="G616" s="1" t="s">
        <v>6384</v>
      </c>
      <c r="H616" s="1">
        <f>SUMIF([1]Sheet1!$G:$G,A616,[1]Sheet1!$O:$O)</f>
        <v>235.6</v>
      </c>
      <c r="I616" s="21">
        <f t="shared" si="9"/>
        <v>-1.999999999998181E-2</v>
      </c>
    </row>
    <row r="617" spans="1:9" x14ac:dyDescent="0.25">
      <c r="A617" s="18" t="s">
        <v>8440</v>
      </c>
      <c r="B617" s="4" t="s">
        <v>2193</v>
      </c>
      <c r="C617" s="4" t="s">
        <v>768</v>
      </c>
      <c r="D617" s="4" t="s">
        <v>3290</v>
      </c>
      <c r="E617" s="9">
        <v>0.80499999999999994</v>
      </c>
      <c r="F617" s="9">
        <v>93.38</v>
      </c>
      <c r="G617" s="1" t="s">
        <v>8441</v>
      </c>
      <c r="H617" s="1">
        <f>SUMIF([1]Sheet1!$G:$G,A617,[1]Sheet1!$O:$O)</f>
        <v>93.38</v>
      </c>
      <c r="I617" s="21">
        <f t="shared" si="9"/>
        <v>0</v>
      </c>
    </row>
    <row r="618" spans="1:9" x14ac:dyDescent="0.25">
      <c r="A618" s="18" t="s">
        <v>8525</v>
      </c>
      <c r="B618" s="4" t="s">
        <v>2194</v>
      </c>
      <c r="C618" s="4" t="s">
        <v>769</v>
      </c>
      <c r="D618" s="4" t="s">
        <v>3289</v>
      </c>
      <c r="E618" s="9">
        <v>1.004702380952381</v>
      </c>
      <c r="F618" s="9">
        <v>843.95</v>
      </c>
      <c r="G618" s="1" t="s">
        <v>8526</v>
      </c>
      <c r="H618" s="1">
        <f>SUMIF([1]Sheet1!$G:$G,A618,[1]Sheet1!$O:$O)</f>
        <v>843.95</v>
      </c>
      <c r="I618" s="21">
        <f t="shared" si="9"/>
        <v>0</v>
      </c>
    </row>
    <row r="619" spans="1:9" x14ac:dyDescent="0.25">
      <c r="A619" s="18" t="s">
        <v>10945</v>
      </c>
      <c r="B619" s="4" t="s">
        <v>2195</v>
      </c>
      <c r="C619" s="4" t="s">
        <v>770</v>
      </c>
      <c r="D619" s="4" t="s">
        <v>3290</v>
      </c>
      <c r="E619" s="9">
        <v>2.0750000000000002</v>
      </c>
      <c r="F619" s="9">
        <v>37.35</v>
      </c>
      <c r="G619" s="1" t="s">
        <v>10946</v>
      </c>
      <c r="H619" s="1">
        <f>SUMIF([1]Sheet1!$G:$G,A619,[1]Sheet1!$O:$O)</f>
        <v>37.35</v>
      </c>
      <c r="I619" s="21">
        <f t="shared" si="9"/>
        <v>0</v>
      </c>
    </row>
    <row r="620" spans="1:9" x14ac:dyDescent="0.25">
      <c r="A620" s="18" t="s">
        <v>11235</v>
      </c>
      <c r="B620" s="4" t="s">
        <v>2196</v>
      </c>
      <c r="C620" s="4" t="s">
        <v>771</v>
      </c>
      <c r="D620" s="4" t="s">
        <v>3290</v>
      </c>
      <c r="E620" s="9">
        <v>3.9750000000000001E-2</v>
      </c>
      <c r="F620" s="9">
        <v>15.9</v>
      </c>
      <c r="G620" s="1" t="s">
        <v>11236</v>
      </c>
      <c r="H620" s="1">
        <f>SUMIF([1]Sheet1!$G:$G,A620,[1]Sheet1!$O:$O)</f>
        <v>15.92</v>
      </c>
      <c r="I620" s="21">
        <f t="shared" si="9"/>
        <v>-1.9999999999999574E-2</v>
      </c>
    </row>
    <row r="621" spans="1:9" x14ac:dyDescent="0.25">
      <c r="A621" s="18" t="s">
        <v>10827</v>
      </c>
      <c r="B621" s="4" t="s">
        <v>2197</v>
      </c>
      <c r="C621" s="4" t="s">
        <v>772</v>
      </c>
      <c r="D621" s="4" t="s">
        <v>3290</v>
      </c>
      <c r="E621" s="9">
        <v>11.904999999999999</v>
      </c>
      <c r="F621" s="9">
        <v>23.81</v>
      </c>
      <c r="G621" s="1" t="s">
        <v>10828</v>
      </c>
      <c r="H621" s="1">
        <f>SUMIF([1]Sheet1!$G:$G,A621,[1]Sheet1!$O:$O)</f>
        <v>23.81</v>
      </c>
      <c r="I621" s="21">
        <f t="shared" si="9"/>
        <v>0</v>
      </c>
    </row>
    <row r="622" spans="1:9" x14ac:dyDescent="0.25">
      <c r="A622" s="18" t="s">
        <v>6589</v>
      </c>
      <c r="B622" s="4" t="s">
        <v>2198</v>
      </c>
      <c r="C622" s="4" t="s">
        <v>773</v>
      </c>
      <c r="D622" s="4" t="s">
        <v>3291</v>
      </c>
      <c r="E622" s="9">
        <v>2.1600937133932061</v>
      </c>
      <c r="F622" s="9">
        <v>165.96</v>
      </c>
      <c r="G622" s="1" t="s">
        <v>6590</v>
      </c>
      <c r="H622" s="1">
        <f>SUMIF([1]Sheet1!$G:$G,A622,[1]Sheet1!$O:$O)</f>
        <v>165.96</v>
      </c>
      <c r="I622" s="21">
        <f t="shared" si="9"/>
        <v>0</v>
      </c>
    </row>
    <row r="623" spans="1:9" x14ac:dyDescent="0.25">
      <c r="A623" s="18" t="s">
        <v>6591</v>
      </c>
      <c r="B623" s="4" t="s">
        <v>2199</v>
      </c>
      <c r="C623" s="4" t="s">
        <v>774</v>
      </c>
      <c r="D623" s="4" t="s">
        <v>3291</v>
      </c>
      <c r="E623" s="9">
        <v>1.9211309523809526</v>
      </c>
      <c r="F623" s="9">
        <v>25.82</v>
      </c>
      <c r="G623" s="1" t="s">
        <v>6592</v>
      </c>
      <c r="H623" s="1">
        <f>SUMIF([1]Sheet1!$G:$G,A623,[1]Sheet1!$O:$O)</f>
        <v>25.82</v>
      </c>
      <c r="I623" s="21">
        <f t="shared" si="9"/>
        <v>0</v>
      </c>
    </row>
    <row r="624" spans="1:9" x14ac:dyDescent="0.25">
      <c r="A624" s="18" t="s">
        <v>10699</v>
      </c>
      <c r="B624" s="4" t="s">
        <v>2200</v>
      </c>
      <c r="C624" s="4" t="s">
        <v>775</v>
      </c>
      <c r="D624" s="4" t="s">
        <v>3295</v>
      </c>
      <c r="E624" s="9">
        <v>892.36985236985242</v>
      </c>
      <c r="F624" s="9">
        <v>1148.48</v>
      </c>
      <c r="G624" s="1" t="s">
        <v>10700</v>
      </c>
      <c r="H624" s="1">
        <f>SUMIF([1]Sheet1!$G:$G,A624,[1]Sheet1!$O:$O)</f>
        <v>1148.48</v>
      </c>
      <c r="I624" s="21">
        <f t="shared" si="9"/>
        <v>0</v>
      </c>
    </row>
    <row r="625" spans="1:9" x14ac:dyDescent="0.25">
      <c r="A625" s="18" t="s">
        <v>6301</v>
      </c>
      <c r="B625" s="4" t="s">
        <v>2201</v>
      </c>
      <c r="C625" s="4" t="s">
        <v>776</v>
      </c>
      <c r="D625" s="4" t="s">
        <v>3290</v>
      </c>
      <c r="E625" s="9">
        <v>192.01090909090908</v>
      </c>
      <c r="F625" s="9">
        <v>2112.12</v>
      </c>
      <c r="G625" s="1" t="s">
        <v>6304</v>
      </c>
      <c r="H625" s="1">
        <f>SUMIF([1]Sheet1!$G:$G,A625,[1]Sheet1!$O:$O)</f>
        <v>2112.12</v>
      </c>
      <c r="I625" s="21">
        <f t="shared" si="9"/>
        <v>0</v>
      </c>
    </row>
    <row r="626" spans="1:9" x14ac:dyDescent="0.25">
      <c r="A626" s="18" t="s">
        <v>7256</v>
      </c>
      <c r="B626" s="4" t="s">
        <v>2202</v>
      </c>
      <c r="C626" s="4" t="s">
        <v>777</v>
      </c>
      <c r="D626" s="4" t="s">
        <v>3289</v>
      </c>
      <c r="E626" s="9">
        <v>2.5424516129032257</v>
      </c>
      <c r="F626" s="9">
        <v>197.04</v>
      </c>
      <c r="G626" s="1" t="s">
        <v>7257</v>
      </c>
      <c r="H626" s="1">
        <f>SUMIF([1]Sheet1!$G:$G,A626,[1]Sheet1!$O:$O)</f>
        <v>197.04</v>
      </c>
      <c r="I626" s="21">
        <f t="shared" si="9"/>
        <v>0</v>
      </c>
    </row>
    <row r="627" spans="1:9" x14ac:dyDescent="0.25">
      <c r="A627" s="18" t="s">
        <v>7141</v>
      </c>
      <c r="B627" s="4" t="s">
        <v>2203</v>
      </c>
      <c r="C627" s="4" t="s">
        <v>778</v>
      </c>
      <c r="D627" s="4" t="s">
        <v>3289</v>
      </c>
      <c r="E627" s="9">
        <v>25.421739130434784</v>
      </c>
      <c r="F627" s="9">
        <v>58.47</v>
      </c>
      <c r="G627" s="1" t="s">
        <v>7142</v>
      </c>
      <c r="H627" s="1">
        <f>SUMIF([1]Sheet1!$G:$G,A627,[1]Sheet1!$O:$O)</f>
        <v>58.47</v>
      </c>
      <c r="I627" s="21">
        <f t="shared" si="9"/>
        <v>0</v>
      </c>
    </row>
    <row r="628" spans="1:9" x14ac:dyDescent="0.25">
      <c r="A628" s="18" t="s">
        <v>9999</v>
      </c>
      <c r="B628" s="4" t="s">
        <v>2204</v>
      </c>
      <c r="C628" s="4" t="s">
        <v>779</v>
      </c>
      <c r="D628" s="4" t="s">
        <v>3290</v>
      </c>
      <c r="E628" s="9">
        <v>635.59</v>
      </c>
      <c r="F628" s="9">
        <v>1271.18</v>
      </c>
      <c r="G628" s="1" t="s">
        <v>10000</v>
      </c>
      <c r="H628" s="1">
        <f>SUMIF([1]Sheet1!$G:$G,A628,[1]Sheet1!$O:$O)</f>
        <v>1271.18</v>
      </c>
      <c r="I628" s="21">
        <f t="shared" si="9"/>
        <v>0</v>
      </c>
    </row>
    <row r="629" spans="1:9" x14ac:dyDescent="0.25">
      <c r="A629" s="18" t="s">
        <v>7072</v>
      </c>
      <c r="B629" s="4" t="s">
        <v>2205</v>
      </c>
      <c r="C629" s="4" t="s">
        <v>780</v>
      </c>
      <c r="D629" s="4" t="s">
        <v>3289</v>
      </c>
      <c r="E629" s="9">
        <v>16.945</v>
      </c>
      <c r="F629" s="9">
        <v>33.89</v>
      </c>
      <c r="G629" s="1" t="s">
        <v>7073</v>
      </c>
      <c r="H629" s="1">
        <f>SUMIF([1]Sheet1!$G:$G,A629,[1]Sheet1!$O:$O)</f>
        <v>33.89</v>
      </c>
      <c r="I629" s="21">
        <f t="shared" si="9"/>
        <v>0</v>
      </c>
    </row>
    <row r="630" spans="1:9" x14ac:dyDescent="0.25">
      <c r="A630" s="18" t="s">
        <v>8759</v>
      </c>
      <c r="B630" s="4" t="s">
        <v>3150</v>
      </c>
      <c r="C630" s="4" t="s">
        <v>781</v>
      </c>
      <c r="D630" s="4" t="s">
        <v>3290</v>
      </c>
      <c r="E630" s="9">
        <v>63099.32</v>
      </c>
      <c r="F630" s="9">
        <v>567893.88</v>
      </c>
      <c r="G630" s="1" t="s">
        <v>8760</v>
      </c>
      <c r="H630" s="1">
        <f>SUMIF([1]Sheet1!$G:$G,A630,[1]Sheet1!$O:$O)</f>
        <v>567893.88</v>
      </c>
      <c r="I630" s="21">
        <f t="shared" si="9"/>
        <v>0</v>
      </c>
    </row>
    <row r="631" spans="1:9" x14ac:dyDescent="0.25">
      <c r="A631" s="18" t="s">
        <v>5138</v>
      </c>
      <c r="B631" s="4" t="s">
        <v>2206</v>
      </c>
      <c r="C631" s="4" t="s">
        <v>782</v>
      </c>
      <c r="D631" s="4" t="s">
        <v>3290</v>
      </c>
      <c r="E631" s="9">
        <v>79.77</v>
      </c>
      <c r="F631" s="9">
        <v>239.31</v>
      </c>
      <c r="G631" s="1" t="s">
        <v>5139</v>
      </c>
      <c r="H631" s="1">
        <f>SUMIF([1]Sheet1!$G:$G,A631,[1]Sheet1!$O:$O)</f>
        <v>239.31</v>
      </c>
      <c r="I631" s="21">
        <f t="shared" si="9"/>
        <v>0</v>
      </c>
    </row>
    <row r="632" spans="1:9" x14ac:dyDescent="0.25">
      <c r="A632" s="18" t="s">
        <v>11204</v>
      </c>
      <c r="B632" s="4" t="s">
        <v>2207</v>
      </c>
      <c r="C632" s="4" t="s">
        <v>783</v>
      </c>
      <c r="D632" s="4" t="s">
        <v>3290</v>
      </c>
      <c r="E632" s="9">
        <v>1.0174285714285713</v>
      </c>
      <c r="F632" s="9">
        <v>35.61</v>
      </c>
      <c r="G632" s="1" t="s">
        <v>11205</v>
      </c>
      <c r="H632" s="1">
        <f>SUMIF([1]Sheet1!$G:$G,A632,[1]Sheet1!$O:$O)</f>
        <v>35.61</v>
      </c>
      <c r="I632" s="21">
        <f t="shared" si="9"/>
        <v>0</v>
      </c>
    </row>
    <row r="633" spans="1:9" x14ac:dyDescent="0.25">
      <c r="A633" s="18" t="s">
        <v>10220</v>
      </c>
      <c r="B633" s="4" t="s">
        <v>3151</v>
      </c>
      <c r="C633" s="4" t="s">
        <v>784</v>
      </c>
      <c r="D633" s="4" t="s">
        <v>3290</v>
      </c>
      <c r="E633" s="9">
        <v>467.94258064516129</v>
      </c>
      <c r="F633" s="9">
        <v>14506.22</v>
      </c>
      <c r="G633" s="1" t="s">
        <v>10221</v>
      </c>
      <c r="H633" s="1">
        <f>SUMIF([1]Sheet1!$G:$G,A633,[1]Sheet1!$O:$O)</f>
        <v>14506.22</v>
      </c>
      <c r="I633" s="21">
        <f t="shared" si="9"/>
        <v>0</v>
      </c>
    </row>
    <row r="634" spans="1:9" x14ac:dyDescent="0.25">
      <c r="A634" s="18" t="s">
        <v>10257</v>
      </c>
      <c r="B634" s="4" t="s">
        <v>2208</v>
      </c>
      <c r="C634" s="4" t="s">
        <v>785</v>
      </c>
      <c r="D634" s="4" t="s">
        <v>3290</v>
      </c>
      <c r="E634" s="9">
        <v>1028.69</v>
      </c>
      <c r="F634" s="9">
        <v>2057.38</v>
      </c>
      <c r="G634" s="1" t="s">
        <v>10258</v>
      </c>
      <c r="H634" s="1">
        <f>SUMIF([1]Sheet1!$G:$G,A634,[1]Sheet1!$O:$O)</f>
        <v>2057.38</v>
      </c>
      <c r="I634" s="21">
        <f t="shared" si="9"/>
        <v>0</v>
      </c>
    </row>
    <row r="635" spans="1:9" x14ac:dyDescent="0.25">
      <c r="A635" s="18" t="s">
        <v>4832</v>
      </c>
      <c r="B635" s="4" t="s">
        <v>2209</v>
      </c>
      <c r="C635" s="4" t="s">
        <v>786</v>
      </c>
      <c r="D635" s="4" t="s">
        <v>3290</v>
      </c>
      <c r="E635" s="9">
        <v>6.11</v>
      </c>
      <c r="F635" s="9">
        <v>6.11</v>
      </c>
      <c r="G635" s="1" t="s">
        <v>4834</v>
      </c>
      <c r="H635" s="1">
        <f>SUMIF([1]Sheet1!$G:$G,A635,[1]Sheet1!$O:$O)</f>
        <v>6.11</v>
      </c>
      <c r="I635" s="21">
        <f t="shared" si="9"/>
        <v>0</v>
      </c>
    </row>
    <row r="636" spans="1:9" x14ac:dyDescent="0.25">
      <c r="A636" s="18" t="s">
        <v>4785</v>
      </c>
      <c r="B636" s="4" t="s">
        <v>2210</v>
      </c>
      <c r="C636" s="4" t="s">
        <v>787</v>
      </c>
      <c r="D636" s="4" t="s">
        <v>3290</v>
      </c>
      <c r="E636" s="9">
        <v>5.7988888888888885</v>
      </c>
      <c r="F636" s="9">
        <v>156.57</v>
      </c>
      <c r="G636" s="1" t="s">
        <v>4786</v>
      </c>
      <c r="H636" s="1">
        <f>SUMIF([1]Sheet1!$G:$G,A636,[1]Sheet1!$O:$O)</f>
        <v>156.57</v>
      </c>
      <c r="I636" s="21">
        <f t="shared" si="9"/>
        <v>0</v>
      </c>
    </row>
    <row r="637" spans="1:9" x14ac:dyDescent="0.25">
      <c r="A637" s="18" t="s">
        <v>10319</v>
      </c>
      <c r="B637" s="4" t="s">
        <v>2211</v>
      </c>
      <c r="C637" s="4" t="s">
        <v>788</v>
      </c>
      <c r="D637" s="4" t="s">
        <v>3290</v>
      </c>
      <c r="E637" s="9">
        <v>25.423684210526318</v>
      </c>
      <c r="F637" s="9">
        <v>483.05000000000007</v>
      </c>
      <c r="G637" s="1" t="s">
        <v>10320</v>
      </c>
      <c r="H637" s="1">
        <f>SUMIF([1]Sheet1!$G:$G,A637,[1]Sheet1!$O:$O)</f>
        <v>483.05</v>
      </c>
      <c r="I637" s="21">
        <f t="shared" si="9"/>
        <v>0</v>
      </c>
    </row>
    <row r="638" spans="1:9" x14ac:dyDescent="0.25">
      <c r="A638" s="18" t="s">
        <v>5928</v>
      </c>
      <c r="B638" s="4" t="s">
        <v>2212</v>
      </c>
      <c r="C638" s="4" t="s">
        <v>789</v>
      </c>
      <c r="D638" s="4" t="s">
        <v>3290</v>
      </c>
      <c r="E638" s="9">
        <v>9.3224999999999998</v>
      </c>
      <c r="F638" s="9">
        <v>74.58</v>
      </c>
      <c r="G638" s="1" t="s">
        <v>5929</v>
      </c>
      <c r="H638" s="1">
        <f>SUMIF([1]Sheet1!$G:$G,A638,[1]Sheet1!$O:$O)</f>
        <v>74.58</v>
      </c>
      <c r="I638" s="21">
        <f t="shared" si="9"/>
        <v>0</v>
      </c>
    </row>
    <row r="639" spans="1:9" x14ac:dyDescent="0.25">
      <c r="A639" s="18" t="s">
        <v>4265</v>
      </c>
      <c r="B639" s="4" t="s">
        <v>2213</v>
      </c>
      <c r="C639" s="4" t="s">
        <v>790</v>
      </c>
      <c r="D639" s="4" t="s">
        <v>3289</v>
      </c>
      <c r="E639" s="9">
        <v>0.56088888888888888</v>
      </c>
      <c r="F639" s="9">
        <v>25.24</v>
      </c>
      <c r="G639" s="1" t="s">
        <v>4266</v>
      </c>
      <c r="H639" s="1">
        <f>SUMIF([1]Sheet1!$G:$G,A639,[1]Sheet1!$O:$O)</f>
        <v>25.24</v>
      </c>
      <c r="I639" s="21">
        <f t="shared" si="9"/>
        <v>0</v>
      </c>
    </row>
    <row r="640" spans="1:9" x14ac:dyDescent="0.25">
      <c r="A640" s="18" t="s">
        <v>5950</v>
      </c>
      <c r="B640" s="4" t="s">
        <v>2214</v>
      </c>
      <c r="C640" s="4" t="s">
        <v>791</v>
      </c>
      <c r="D640" s="4" t="s">
        <v>3292</v>
      </c>
      <c r="E640" s="9">
        <v>11.016</v>
      </c>
      <c r="F640" s="9">
        <v>55.08</v>
      </c>
      <c r="G640" s="1" t="s">
        <v>5951</v>
      </c>
      <c r="H640" s="1">
        <f>SUMIF([1]Sheet1!$G:$G,A640,[1]Sheet1!$O:$O)</f>
        <v>55.08</v>
      </c>
      <c r="I640" s="21">
        <f t="shared" si="9"/>
        <v>0</v>
      </c>
    </row>
    <row r="641" spans="1:9" x14ac:dyDescent="0.25">
      <c r="A641" s="18" t="s">
        <v>4223</v>
      </c>
      <c r="B641" s="4" t="s">
        <v>2215</v>
      </c>
      <c r="C641" s="4" t="s">
        <v>792</v>
      </c>
      <c r="D641" s="4" t="s">
        <v>3290</v>
      </c>
      <c r="E641" s="9">
        <v>190.99</v>
      </c>
      <c r="F641" s="9">
        <v>572.97</v>
      </c>
      <c r="G641" s="1" t="s">
        <v>4224</v>
      </c>
      <c r="H641" s="1">
        <f>SUMIF([1]Sheet1!$G:$G,A641,[1]Sheet1!$O:$O)</f>
        <v>572.97</v>
      </c>
      <c r="I641" s="21">
        <f t="shared" si="9"/>
        <v>0</v>
      </c>
    </row>
    <row r="642" spans="1:9" x14ac:dyDescent="0.25">
      <c r="A642" s="18" t="s">
        <v>7818</v>
      </c>
      <c r="B642" s="4" t="s">
        <v>2216</v>
      </c>
      <c r="C642" s="4" t="s">
        <v>793</v>
      </c>
      <c r="D642" s="4" t="s">
        <v>3290</v>
      </c>
      <c r="E642" s="9">
        <v>115.13666666666667</v>
      </c>
      <c r="F642" s="9">
        <v>345.41</v>
      </c>
      <c r="G642" s="1" t="s">
        <v>7819</v>
      </c>
      <c r="H642" s="1">
        <f>SUMIF([1]Sheet1!$G:$G,A642,[1]Sheet1!$O:$O)</f>
        <v>345.41</v>
      </c>
      <c r="I642" s="21">
        <f t="shared" si="9"/>
        <v>0</v>
      </c>
    </row>
    <row r="643" spans="1:9" x14ac:dyDescent="0.25">
      <c r="A643" s="18" t="s">
        <v>9278</v>
      </c>
      <c r="B643" s="4" t="s">
        <v>2217</v>
      </c>
      <c r="C643" s="4" t="s">
        <v>794</v>
      </c>
      <c r="D643" s="4" t="s">
        <v>3291</v>
      </c>
      <c r="E643" s="9">
        <v>18.22258064516129</v>
      </c>
      <c r="F643" s="9">
        <v>564.9</v>
      </c>
      <c r="G643" s="1" t="s">
        <v>9279</v>
      </c>
      <c r="H643" s="1">
        <f>SUMIF([1]Sheet1!$G:$G,A643,[1]Sheet1!$O:$O)</f>
        <v>564.9</v>
      </c>
      <c r="I643" s="21">
        <f t="shared" ref="I643:I706" si="10">F643-H643</f>
        <v>0</v>
      </c>
    </row>
    <row r="644" spans="1:9" x14ac:dyDescent="0.25">
      <c r="A644" s="18" t="s">
        <v>11334</v>
      </c>
      <c r="B644" s="4" t="s">
        <v>2218</v>
      </c>
      <c r="C644" s="4" t="s">
        <v>795</v>
      </c>
      <c r="D644" s="4" t="s">
        <v>3290</v>
      </c>
      <c r="E644" s="9">
        <v>27.137083333333333</v>
      </c>
      <c r="F644" s="9">
        <v>651.29</v>
      </c>
      <c r="G644" s="1" t="s">
        <v>11335</v>
      </c>
      <c r="H644" s="1">
        <f>SUMIF([1]Sheet1!$G:$G,A644,[1]Sheet1!$O:$O)</f>
        <v>651.29</v>
      </c>
      <c r="I644" s="21">
        <f t="shared" si="10"/>
        <v>0</v>
      </c>
    </row>
    <row r="645" spans="1:9" x14ac:dyDescent="0.25">
      <c r="A645" s="18" t="s">
        <v>12023</v>
      </c>
      <c r="B645" s="4" t="s">
        <v>2219</v>
      </c>
      <c r="C645" s="4" t="s">
        <v>796</v>
      </c>
      <c r="D645" s="4" t="s">
        <v>3290</v>
      </c>
      <c r="E645" s="9">
        <v>1001.34</v>
      </c>
      <c r="F645" s="9">
        <v>1001.34</v>
      </c>
      <c r="G645" s="1" t="s">
        <v>12024</v>
      </c>
      <c r="H645" s="1">
        <f>SUMIF([1]Sheet1!$G:$G,A645,[1]Sheet1!$O:$O)</f>
        <v>1001.34</v>
      </c>
      <c r="I645" s="21">
        <f t="shared" si="10"/>
        <v>0</v>
      </c>
    </row>
    <row r="646" spans="1:9" x14ac:dyDescent="0.25">
      <c r="A646" s="18" t="s">
        <v>8992</v>
      </c>
      <c r="B646" s="4" t="s">
        <v>2220</v>
      </c>
      <c r="C646" s="4" t="s">
        <v>797</v>
      </c>
      <c r="D646" s="4" t="s">
        <v>3290</v>
      </c>
      <c r="E646" s="9">
        <v>20.853333333333335</v>
      </c>
      <c r="F646" s="9">
        <v>62.56</v>
      </c>
      <c r="G646" s="1" t="s">
        <v>8993</v>
      </c>
      <c r="H646" s="1">
        <f>SUMIF([1]Sheet1!$G:$G,A646,[1]Sheet1!$O:$O)</f>
        <v>62.56</v>
      </c>
      <c r="I646" s="21">
        <f t="shared" si="10"/>
        <v>0</v>
      </c>
    </row>
    <row r="647" spans="1:9" x14ac:dyDescent="0.25">
      <c r="A647" s="18" t="s">
        <v>6593</v>
      </c>
      <c r="B647" s="4" t="s">
        <v>2221</v>
      </c>
      <c r="C647" s="4" t="s">
        <v>798</v>
      </c>
      <c r="D647" s="4" t="s">
        <v>3291</v>
      </c>
      <c r="E647" s="9">
        <v>2.372727272727273</v>
      </c>
      <c r="F647" s="9">
        <v>208.8</v>
      </c>
      <c r="G647" s="1" t="s">
        <v>6594</v>
      </c>
      <c r="H647" s="1">
        <f>SUMIF([1]Sheet1!$G:$G,A647,[1]Sheet1!$O:$O)</f>
        <v>208.8</v>
      </c>
      <c r="I647" s="21">
        <f t="shared" si="10"/>
        <v>0</v>
      </c>
    </row>
    <row r="648" spans="1:9" x14ac:dyDescent="0.25">
      <c r="A648" s="18" t="s">
        <v>4680</v>
      </c>
      <c r="B648" s="4" t="s">
        <v>2222</v>
      </c>
      <c r="C648" s="4" t="s">
        <v>799</v>
      </c>
      <c r="D648" s="4" t="s">
        <v>3290</v>
      </c>
      <c r="E648" s="9">
        <v>101.69</v>
      </c>
      <c r="F648" s="9">
        <v>101.69</v>
      </c>
      <c r="G648" s="1" t="s">
        <v>4681</v>
      </c>
      <c r="H648" s="1">
        <f>SUMIF([1]Sheet1!$G:$G,A648,[1]Sheet1!$O:$O)</f>
        <v>101.69</v>
      </c>
      <c r="I648" s="21">
        <f t="shared" si="10"/>
        <v>0</v>
      </c>
    </row>
    <row r="649" spans="1:9" x14ac:dyDescent="0.25">
      <c r="A649" s="18" t="s">
        <v>8592</v>
      </c>
      <c r="B649" s="4" t="s">
        <v>2223</v>
      </c>
      <c r="C649" s="4" t="s">
        <v>800</v>
      </c>
      <c r="D649" s="4" t="s">
        <v>3290</v>
      </c>
      <c r="E649" s="9">
        <v>23.651363636363637</v>
      </c>
      <c r="F649" s="9">
        <v>520.33000000000004</v>
      </c>
      <c r="G649" s="1" t="s">
        <v>8593</v>
      </c>
      <c r="H649" s="1">
        <f>SUMIF([1]Sheet1!$G:$G,A649,[1]Sheet1!$O:$O)</f>
        <v>520.33000000000004</v>
      </c>
      <c r="I649" s="21">
        <f t="shared" si="10"/>
        <v>0</v>
      </c>
    </row>
    <row r="650" spans="1:9" x14ac:dyDescent="0.25">
      <c r="A650" s="18" t="s">
        <v>8480</v>
      </c>
      <c r="B650" s="4" t="s">
        <v>2224</v>
      </c>
      <c r="C650" s="4" t="s">
        <v>801</v>
      </c>
      <c r="D650" s="4" t="s">
        <v>3290</v>
      </c>
      <c r="E650" s="9">
        <v>11.86</v>
      </c>
      <c r="F650" s="9">
        <v>11.86</v>
      </c>
      <c r="G650" s="1" t="s">
        <v>8481</v>
      </c>
      <c r="H650" s="1">
        <f>SUMIF([1]Sheet1!$G:$G,A650,[1]Sheet1!$O:$O)</f>
        <v>11.86</v>
      </c>
      <c r="I650" s="21">
        <f t="shared" si="10"/>
        <v>0</v>
      </c>
    </row>
    <row r="651" spans="1:9" x14ac:dyDescent="0.25">
      <c r="A651" s="18" t="s">
        <v>8500</v>
      </c>
      <c r="B651" s="4" t="s">
        <v>2225</v>
      </c>
      <c r="C651" s="4" t="s">
        <v>802</v>
      </c>
      <c r="D651" s="4" t="s">
        <v>3290</v>
      </c>
      <c r="E651" s="9">
        <v>84.75</v>
      </c>
      <c r="F651" s="9">
        <v>84.75</v>
      </c>
      <c r="G651" s="1" t="s">
        <v>8501</v>
      </c>
      <c r="H651" s="1">
        <f>SUMIF([1]Sheet1!$G:$G,A651,[1]Sheet1!$O:$O)</f>
        <v>84.75</v>
      </c>
      <c r="I651" s="21">
        <f t="shared" si="10"/>
        <v>0</v>
      </c>
    </row>
    <row r="652" spans="1:9" x14ac:dyDescent="0.25">
      <c r="A652" s="18" t="s">
        <v>11107</v>
      </c>
      <c r="B652" s="4" t="s">
        <v>2226</v>
      </c>
      <c r="C652" s="4" t="s">
        <v>803</v>
      </c>
      <c r="D652" s="4" t="s">
        <v>3289</v>
      </c>
      <c r="E652" s="9">
        <v>110.57333333333332</v>
      </c>
      <c r="F652" s="9">
        <v>414.65</v>
      </c>
      <c r="G652" s="1" t="s">
        <v>11108</v>
      </c>
      <c r="H652" s="1">
        <f>SUMIF([1]Sheet1!$G:$G,A652,[1]Sheet1!$O:$O)</f>
        <v>414.65</v>
      </c>
      <c r="I652" s="21">
        <f t="shared" si="10"/>
        <v>0</v>
      </c>
    </row>
    <row r="653" spans="1:9" x14ac:dyDescent="0.25">
      <c r="A653" s="18" t="s">
        <v>11774</v>
      </c>
      <c r="B653" s="4" t="s">
        <v>2227</v>
      </c>
      <c r="C653" s="4" t="s">
        <v>566</v>
      </c>
      <c r="D653" s="4" t="s">
        <v>3289</v>
      </c>
      <c r="E653" s="9">
        <v>11.412307692307694</v>
      </c>
      <c r="F653" s="9">
        <v>74.180000000000007</v>
      </c>
      <c r="G653" s="1" t="s">
        <v>11775</v>
      </c>
      <c r="H653" s="1">
        <f>SUMIF([1]Sheet1!$G:$G,A653,[1]Sheet1!$O:$O)</f>
        <v>74.180000000000007</v>
      </c>
      <c r="I653" s="21">
        <f t="shared" si="10"/>
        <v>0</v>
      </c>
    </row>
    <row r="654" spans="1:9" x14ac:dyDescent="0.25">
      <c r="A654" s="18" t="s">
        <v>9769</v>
      </c>
      <c r="B654" s="4" t="s">
        <v>2228</v>
      </c>
      <c r="C654" s="4" t="s">
        <v>804</v>
      </c>
      <c r="D654" s="4" t="s">
        <v>3290</v>
      </c>
      <c r="E654" s="9">
        <v>8.8975000000000009</v>
      </c>
      <c r="F654" s="9">
        <v>35.590000000000003</v>
      </c>
      <c r="G654" s="1" t="s">
        <v>9770</v>
      </c>
      <c r="H654" s="1">
        <f>SUMIF([1]Sheet1!$G:$G,A654,[1]Sheet1!$O:$O)</f>
        <v>35.590000000000003</v>
      </c>
      <c r="I654" s="21">
        <f t="shared" si="10"/>
        <v>0</v>
      </c>
    </row>
    <row r="655" spans="1:9" x14ac:dyDescent="0.25">
      <c r="A655" s="18" t="s">
        <v>9771</v>
      </c>
      <c r="B655" s="4" t="s">
        <v>2229</v>
      </c>
      <c r="C655" s="4" t="s">
        <v>805</v>
      </c>
      <c r="D655" s="4" t="s">
        <v>3290</v>
      </c>
      <c r="E655" s="9">
        <v>5.5066666666666668</v>
      </c>
      <c r="F655" s="9">
        <v>16.52</v>
      </c>
      <c r="G655" s="1" t="s">
        <v>9772</v>
      </c>
      <c r="H655" s="1">
        <f>SUMIF([1]Sheet1!$G:$G,A655,[1]Sheet1!$O:$O)</f>
        <v>16.52</v>
      </c>
      <c r="I655" s="21">
        <f t="shared" si="10"/>
        <v>0</v>
      </c>
    </row>
    <row r="656" spans="1:9" x14ac:dyDescent="0.25">
      <c r="A656" s="18" t="s">
        <v>6574</v>
      </c>
      <c r="B656" s="4" t="s">
        <v>2230</v>
      </c>
      <c r="C656" s="4" t="s">
        <v>806</v>
      </c>
      <c r="D656" s="4" t="s">
        <v>3291</v>
      </c>
      <c r="E656" s="9">
        <v>2.5422988505747126</v>
      </c>
      <c r="F656" s="9">
        <v>110.59</v>
      </c>
      <c r="G656" s="1" t="s">
        <v>6575</v>
      </c>
      <c r="H656" s="1">
        <f>SUMIF([1]Sheet1!$G:$G,A656,[1]Sheet1!$O:$O)</f>
        <v>110.59</v>
      </c>
      <c r="I656" s="21">
        <f t="shared" si="10"/>
        <v>0</v>
      </c>
    </row>
    <row r="657" spans="1:9" x14ac:dyDescent="0.25">
      <c r="A657" s="18" t="s">
        <v>7581</v>
      </c>
      <c r="B657" s="4" t="s">
        <v>2231</v>
      </c>
      <c r="C657" s="4" t="s">
        <v>807</v>
      </c>
      <c r="D657" s="4" t="s">
        <v>3289</v>
      </c>
      <c r="E657" s="9">
        <v>5.8225034563437204</v>
      </c>
      <c r="F657" s="9">
        <v>547.49</v>
      </c>
      <c r="G657" s="1" t="s">
        <v>7582</v>
      </c>
      <c r="H657" s="1">
        <f>SUMIF([1]Sheet1!$G:$G,A657,[1]Sheet1!$O:$O)</f>
        <v>547.49</v>
      </c>
      <c r="I657" s="21">
        <f t="shared" si="10"/>
        <v>0</v>
      </c>
    </row>
    <row r="658" spans="1:9" x14ac:dyDescent="0.25">
      <c r="A658" s="18" t="s">
        <v>5737</v>
      </c>
      <c r="B658" s="4" t="s">
        <v>2232</v>
      </c>
      <c r="C658" s="4" t="s">
        <v>808</v>
      </c>
      <c r="D658" s="4" t="s">
        <v>3289</v>
      </c>
      <c r="E658" s="9">
        <v>2.5137600000000004</v>
      </c>
      <c r="F658" s="9">
        <v>628.44000000000005</v>
      </c>
      <c r="G658" s="1" t="s">
        <v>5738</v>
      </c>
      <c r="H658" s="1">
        <f>SUMIF([1]Sheet1!$G:$G,A658,[1]Sheet1!$O:$O)</f>
        <v>439.92</v>
      </c>
      <c r="I658" s="21">
        <f t="shared" si="10"/>
        <v>188.52000000000004</v>
      </c>
    </row>
    <row r="659" spans="1:9" x14ac:dyDescent="0.25">
      <c r="A659" s="18" t="s">
        <v>10674</v>
      </c>
      <c r="B659" s="4" t="s">
        <v>2233</v>
      </c>
      <c r="C659" s="4" t="s">
        <v>809</v>
      </c>
      <c r="D659" s="4" t="s">
        <v>3290</v>
      </c>
      <c r="E659" s="9">
        <v>18.266666666666666</v>
      </c>
      <c r="F659" s="9">
        <v>54.8</v>
      </c>
      <c r="G659" s="1" t="s">
        <v>10675</v>
      </c>
      <c r="H659" s="1">
        <f>SUMIF([1]Sheet1!$G:$G,A659,[1]Sheet1!$O:$O)</f>
        <v>54.8</v>
      </c>
      <c r="I659" s="21">
        <f t="shared" si="10"/>
        <v>0</v>
      </c>
    </row>
    <row r="660" spans="1:9" x14ac:dyDescent="0.25">
      <c r="A660" s="18" t="s">
        <v>7078</v>
      </c>
      <c r="B660" s="4" t="s">
        <v>2234</v>
      </c>
      <c r="C660" s="4" t="s">
        <v>810</v>
      </c>
      <c r="D660" s="4" t="s">
        <v>3289</v>
      </c>
      <c r="E660" s="9">
        <v>25.423622047244095</v>
      </c>
      <c r="F660" s="9">
        <v>322.88</v>
      </c>
      <c r="G660" s="1" t="s">
        <v>7079</v>
      </c>
      <c r="H660" s="1">
        <f>SUMIF([1]Sheet1!$G:$G,A660,[1]Sheet1!$O:$O)</f>
        <v>322.88</v>
      </c>
      <c r="I660" s="21">
        <f t="shared" si="10"/>
        <v>0</v>
      </c>
    </row>
    <row r="661" spans="1:9" x14ac:dyDescent="0.25">
      <c r="A661" s="18" t="s">
        <v>8549</v>
      </c>
      <c r="B661" s="4" t="s">
        <v>2235</v>
      </c>
      <c r="C661" s="4" t="s">
        <v>811</v>
      </c>
      <c r="D661" s="4" t="s">
        <v>3289</v>
      </c>
      <c r="E661" s="9">
        <v>6.3469944598337946</v>
      </c>
      <c r="F661" s="9">
        <v>4582.53</v>
      </c>
      <c r="G661" s="1" t="s">
        <v>8550</v>
      </c>
      <c r="H661" s="1">
        <f>SUMIF([1]Sheet1!$G:$G,A661,[1]Sheet1!$O:$O)</f>
        <v>4582.53</v>
      </c>
      <c r="I661" s="21">
        <f t="shared" si="10"/>
        <v>0</v>
      </c>
    </row>
    <row r="662" spans="1:9" x14ac:dyDescent="0.25">
      <c r="A662" s="18" t="s">
        <v>8523</v>
      </c>
      <c r="B662" s="4" t="s">
        <v>2236</v>
      </c>
      <c r="C662" s="4" t="s">
        <v>812</v>
      </c>
      <c r="D662" s="4" t="s">
        <v>3289</v>
      </c>
      <c r="E662" s="9">
        <v>8.39</v>
      </c>
      <c r="F662" s="9">
        <v>343.99</v>
      </c>
      <c r="G662" s="1" t="s">
        <v>8524</v>
      </c>
      <c r="H662" s="1">
        <f>SUMIF([1]Sheet1!$G:$G,A662,[1]Sheet1!$O:$O)</f>
        <v>343.99</v>
      </c>
      <c r="I662" s="21">
        <f t="shared" si="10"/>
        <v>0</v>
      </c>
    </row>
    <row r="663" spans="1:9" x14ac:dyDescent="0.25">
      <c r="A663" s="18" t="s">
        <v>8584</v>
      </c>
      <c r="B663" s="4" t="s">
        <v>2237</v>
      </c>
      <c r="C663" s="4" t="s">
        <v>813</v>
      </c>
      <c r="D663" s="4" t="s">
        <v>3290</v>
      </c>
      <c r="E663" s="9">
        <v>133.54</v>
      </c>
      <c r="F663" s="9">
        <v>400.62</v>
      </c>
      <c r="G663" s="1" t="s">
        <v>8585</v>
      </c>
      <c r="H663" s="1">
        <f>SUMIF([1]Sheet1!$G:$G,A663,[1]Sheet1!$O:$O)</f>
        <v>400.62</v>
      </c>
      <c r="I663" s="21">
        <f t="shared" si="10"/>
        <v>0</v>
      </c>
    </row>
    <row r="664" spans="1:9" x14ac:dyDescent="0.25">
      <c r="A664" s="18" t="s">
        <v>6932</v>
      </c>
      <c r="B664" s="4" t="s">
        <v>2238</v>
      </c>
      <c r="C664" s="4" t="s">
        <v>814</v>
      </c>
      <c r="D664" s="4" t="s">
        <v>3290</v>
      </c>
      <c r="E664" s="9">
        <v>32.75297297297297</v>
      </c>
      <c r="F664" s="9">
        <v>1211.8599999999999</v>
      </c>
      <c r="G664" s="1" t="s">
        <v>6933</v>
      </c>
      <c r="H664" s="1">
        <f>SUMIF([1]Sheet1!$G:$G,A664,[1]Sheet1!$O:$O)</f>
        <v>1211.8599999999999</v>
      </c>
      <c r="I664" s="21">
        <f t="shared" si="10"/>
        <v>0</v>
      </c>
    </row>
    <row r="665" spans="1:9" x14ac:dyDescent="0.25">
      <c r="A665" s="18" t="s">
        <v>7497</v>
      </c>
      <c r="B665" s="4" t="s">
        <v>2239</v>
      </c>
      <c r="C665" s="4" t="s">
        <v>815</v>
      </c>
      <c r="D665" s="4" t="s">
        <v>3289</v>
      </c>
      <c r="E665" s="9">
        <v>7.29</v>
      </c>
      <c r="F665" s="9">
        <v>7.29</v>
      </c>
      <c r="G665" s="1" t="s">
        <v>7498</v>
      </c>
      <c r="H665" s="1">
        <f>SUMIF([1]Sheet1!$G:$G,A665,[1]Sheet1!$O:$O)</f>
        <v>7.29</v>
      </c>
      <c r="I665" s="21">
        <f t="shared" si="10"/>
        <v>0</v>
      </c>
    </row>
    <row r="666" spans="1:9" x14ac:dyDescent="0.25">
      <c r="A666" s="18" t="s">
        <v>8063</v>
      </c>
      <c r="B666" s="4" t="s">
        <v>2240</v>
      </c>
      <c r="C666" s="4" t="s">
        <v>816</v>
      </c>
      <c r="D666" s="4" t="s">
        <v>3290</v>
      </c>
      <c r="E666" s="9">
        <v>59.32</v>
      </c>
      <c r="F666" s="9">
        <v>59.32</v>
      </c>
      <c r="G666" s="1" t="s">
        <v>8064</v>
      </c>
      <c r="H666" s="1">
        <f>SUMIF([1]Sheet1!$G:$G,A666,[1]Sheet1!$O:$O)</f>
        <v>59.32</v>
      </c>
      <c r="I666" s="21">
        <f t="shared" si="10"/>
        <v>0</v>
      </c>
    </row>
    <row r="667" spans="1:9" x14ac:dyDescent="0.25">
      <c r="A667" s="18" t="s">
        <v>7495</v>
      </c>
      <c r="B667" s="4" t="s">
        <v>2241</v>
      </c>
      <c r="C667" s="4" t="s">
        <v>817</v>
      </c>
      <c r="D667" s="4" t="s">
        <v>3289</v>
      </c>
      <c r="E667" s="9">
        <v>81.99</v>
      </c>
      <c r="F667" s="9">
        <v>81.99</v>
      </c>
      <c r="G667" s="1" t="s">
        <v>7496</v>
      </c>
      <c r="H667" s="1">
        <f>SUMIF([1]Sheet1!$G:$G,A667,[1]Sheet1!$O:$O)</f>
        <v>81.99</v>
      </c>
      <c r="I667" s="21">
        <f t="shared" si="10"/>
        <v>0</v>
      </c>
    </row>
    <row r="668" spans="1:9" x14ac:dyDescent="0.25">
      <c r="A668" s="18" t="s">
        <v>9238</v>
      </c>
      <c r="B668" s="4" t="s">
        <v>2242</v>
      </c>
      <c r="C668" s="4" t="s">
        <v>818</v>
      </c>
      <c r="D668" s="4" t="s">
        <v>3290</v>
      </c>
      <c r="E668" s="9">
        <v>3.3896666666666664</v>
      </c>
      <c r="F668" s="9">
        <v>101.69</v>
      </c>
      <c r="G668" s="1" t="s">
        <v>9239</v>
      </c>
      <c r="H668" s="1">
        <f>SUMIF([1]Sheet1!$G:$G,A668,[1]Sheet1!$O:$O)</f>
        <v>101.69</v>
      </c>
      <c r="I668" s="21">
        <f t="shared" si="10"/>
        <v>0</v>
      </c>
    </row>
    <row r="669" spans="1:9" x14ac:dyDescent="0.25">
      <c r="A669" s="18" t="s">
        <v>5601</v>
      </c>
      <c r="B669" s="4" t="s">
        <v>2243</v>
      </c>
      <c r="C669" s="4" t="s">
        <v>819</v>
      </c>
      <c r="D669" s="4" t="s">
        <v>3290</v>
      </c>
      <c r="E669" s="9">
        <v>9.8933333333333326</v>
      </c>
      <c r="F669" s="9">
        <v>29.68</v>
      </c>
      <c r="G669" s="1" t="s">
        <v>5602</v>
      </c>
      <c r="H669" s="1">
        <f>SUMIF([1]Sheet1!$G:$G,A669,[1]Sheet1!$O:$O)</f>
        <v>19.79</v>
      </c>
      <c r="I669" s="21">
        <f t="shared" si="10"/>
        <v>9.89</v>
      </c>
    </row>
    <row r="670" spans="1:9" x14ac:dyDescent="0.25">
      <c r="A670" s="18" t="s">
        <v>7254</v>
      </c>
      <c r="B670" s="4" t="s">
        <v>2244</v>
      </c>
      <c r="C670" s="4" t="s">
        <v>820</v>
      </c>
      <c r="D670" s="4" t="s">
        <v>3289</v>
      </c>
      <c r="E670" s="9">
        <v>5.5066666666666668</v>
      </c>
      <c r="F670" s="9">
        <v>16.52</v>
      </c>
      <c r="G670" s="1" t="s">
        <v>7255</v>
      </c>
      <c r="H670" s="1">
        <f>SUMIF([1]Sheet1!$G:$G,A670,[1]Sheet1!$O:$O)</f>
        <v>16.52</v>
      </c>
      <c r="I670" s="21">
        <f t="shared" si="10"/>
        <v>0</v>
      </c>
    </row>
    <row r="671" spans="1:9" x14ac:dyDescent="0.25">
      <c r="A671" s="18" t="s">
        <v>7120</v>
      </c>
      <c r="B671" s="4" t="s">
        <v>2245</v>
      </c>
      <c r="C671" s="4" t="s">
        <v>821</v>
      </c>
      <c r="D671" s="4" t="s">
        <v>3289</v>
      </c>
      <c r="E671" s="9">
        <v>19.491428571428571</v>
      </c>
      <c r="F671" s="9">
        <v>68.22</v>
      </c>
      <c r="G671" s="1" t="s">
        <v>7121</v>
      </c>
      <c r="H671" s="1">
        <f>SUMIF([1]Sheet1!$G:$G,A671,[1]Sheet1!$O:$O)</f>
        <v>68.22</v>
      </c>
      <c r="I671" s="21">
        <f t="shared" si="10"/>
        <v>0</v>
      </c>
    </row>
    <row r="672" spans="1:9" x14ac:dyDescent="0.25">
      <c r="A672" s="18" t="s">
        <v>7475</v>
      </c>
      <c r="B672" s="4" t="s">
        <v>2246</v>
      </c>
      <c r="C672" s="4" t="s">
        <v>822</v>
      </c>
      <c r="D672" s="4" t="s">
        <v>3289</v>
      </c>
      <c r="E672" s="9">
        <v>13.883333333333333</v>
      </c>
      <c r="F672" s="9">
        <v>49.98</v>
      </c>
      <c r="G672" s="1" t="s">
        <v>7476</v>
      </c>
      <c r="H672" s="1">
        <f>SUMIF([1]Sheet1!$G:$G,A672,[1]Sheet1!$O:$O)</f>
        <v>49.98</v>
      </c>
      <c r="I672" s="21">
        <f t="shared" si="10"/>
        <v>0</v>
      </c>
    </row>
    <row r="673" spans="1:9" x14ac:dyDescent="0.25">
      <c r="A673" s="18" t="s">
        <v>8533</v>
      </c>
      <c r="B673" s="4" t="s">
        <v>2247</v>
      </c>
      <c r="C673" s="4" t="s">
        <v>823</v>
      </c>
      <c r="D673" s="4" t="s">
        <v>3289</v>
      </c>
      <c r="E673" s="9">
        <v>35.784567474048444</v>
      </c>
      <c r="F673" s="9">
        <v>10341.74</v>
      </c>
      <c r="G673" s="1" t="s">
        <v>8534</v>
      </c>
      <c r="H673" s="1">
        <f>SUMIF([1]Sheet1!$G:$G,A673,[1]Sheet1!$O:$O)</f>
        <v>10341.75</v>
      </c>
      <c r="I673" s="21">
        <f t="shared" si="10"/>
        <v>-1.0000000000218279E-2</v>
      </c>
    </row>
    <row r="674" spans="1:9" x14ac:dyDescent="0.25">
      <c r="A674" s="18" t="s">
        <v>5889</v>
      </c>
      <c r="B674" s="4" t="s">
        <v>2248</v>
      </c>
      <c r="C674" s="4" t="s">
        <v>824</v>
      </c>
      <c r="D674" s="4" t="s">
        <v>3291</v>
      </c>
      <c r="E674" s="9">
        <v>4.2366666666666672</v>
      </c>
      <c r="F674" s="9">
        <v>12.71</v>
      </c>
      <c r="G674" s="1" t="s">
        <v>5890</v>
      </c>
      <c r="H674" s="1">
        <f>SUMIF([1]Sheet1!$G:$G,A674,[1]Sheet1!$O:$O)</f>
        <v>12.71</v>
      </c>
      <c r="I674" s="21">
        <f t="shared" si="10"/>
        <v>0</v>
      </c>
    </row>
    <row r="675" spans="1:9" x14ac:dyDescent="0.25">
      <c r="A675" s="18" t="s">
        <v>8019</v>
      </c>
      <c r="B675" s="4" t="s">
        <v>2249</v>
      </c>
      <c r="C675" s="4" t="s">
        <v>825</v>
      </c>
      <c r="D675" s="4" t="s">
        <v>3290</v>
      </c>
      <c r="E675" s="9">
        <v>431.63800000000003</v>
      </c>
      <c r="F675" s="9">
        <v>2158.19</v>
      </c>
      <c r="G675" s="1" t="s">
        <v>8020</v>
      </c>
      <c r="H675" s="1">
        <f>SUMIF([1]Sheet1!$G:$G,A675,[1]Sheet1!$O:$O)</f>
        <v>2158.19</v>
      </c>
      <c r="I675" s="21">
        <f t="shared" si="10"/>
        <v>0</v>
      </c>
    </row>
    <row r="676" spans="1:9" x14ac:dyDescent="0.25">
      <c r="A676" s="18" t="s">
        <v>5198</v>
      </c>
      <c r="B676" s="4" t="s">
        <v>2250</v>
      </c>
      <c r="C676" s="4" t="s">
        <v>826</v>
      </c>
      <c r="D676" s="4" t="s">
        <v>3295</v>
      </c>
      <c r="E676" s="9">
        <v>2.4100860088116871</v>
      </c>
      <c r="F676" s="9">
        <v>4573.09</v>
      </c>
      <c r="G676" s="1" t="s">
        <v>5199</v>
      </c>
      <c r="H676" s="1">
        <f>SUMIF([1]Sheet1!$G:$G,A676,[1]Sheet1!$O:$O)</f>
        <v>4573.12</v>
      </c>
      <c r="I676" s="21">
        <f t="shared" si="10"/>
        <v>-2.9999999999745341E-2</v>
      </c>
    </row>
    <row r="677" spans="1:9" x14ac:dyDescent="0.25">
      <c r="A677" s="18" t="s">
        <v>3960</v>
      </c>
      <c r="B677" s="4" t="s">
        <v>2251</v>
      </c>
      <c r="C677" s="4" t="s">
        <v>827</v>
      </c>
      <c r="D677" s="4" t="s">
        <v>3290</v>
      </c>
      <c r="E677" s="9">
        <v>9.4510000000000005</v>
      </c>
      <c r="F677" s="9">
        <v>189.02</v>
      </c>
      <c r="G677" s="1" t="s">
        <v>3961</v>
      </c>
      <c r="H677" s="1">
        <f>SUMIF([1]Sheet1!$G:$G,A677,[1]Sheet1!$O:$O)</f>
        <v>189.02</v>
      </c>
      <c r="I677" s="21">
        <f t="shared" si="10"/>
        <v>0</v>
      </c>
    </row>
    <row r="678" spans="1:9" x14ac:dyDescent="0.25">
      <c r="A678" s="18" t="s">
        <v>3962</v>
      </c>
      <c r="B678" s="4" t="s">
        <v>2252</v>
      </c>
      <c r="C678" s="4" t="s">
        <v>828</v>
      </c>
      <c r="D678" s="4" t="s">
        <v>3290</v>
      </c>
      <c r="E678" s="9">
        <v>21.253</v>
      </c>
      <c r="F678" s="9">
        <v>425.06</v>
      </c>
      <c r="G678" s="1" t="s">
        <v>3963</v>
      </c>
      <c r="H678" s="1">
        <f>SUMIF([1]Sheet1!$G:$G,A678,[1]Sheet1!$O:$O)</f>
        <v>425.06</v>
      </c>
      <c r="I678" s="21">
        <f t="shared" si="10"/>
        <v>0</v>
      </c>
    </row>
    <row r="679" spans="1:9" x14ac:dyDescent="0.25">
      <c r="A679" s="18" t="s">
        <v>7627</v>
      </c>
      <c r="B679" s="4" t="s">
        <v>2253</v>
      </c>
      <c r="C679" s="4" t="s">
        <v>829</v>
      </c>
      <c r="D679" s="4" t="s">
        <v>3290</v>
      </c>
      <c r="E679" s="9">
        <v>0.38</v>
      </c>
      <c r="F679" s="9">
        <v>0.38</v>
      </c>
      <c r="G679" s="1" t="s">
        <v>7628</v>
      </c>
      <c r="H679" s="1">
        <f>SUMIF([1]Sheet1!$G:$G,A679,[1]Sheet1!$O:$O)</f>
        <v>0.38</v>
      </c>
      <c r="I679" s="21">
        <f t="shared" si="10"/>
        <v>0</v>
      </c>
    </row>
    <row r="680" spans="1:9" x14ac:dyDescent="0.25">
      <c r="A680" s="18" t="s">
        <v>10003</v>
      </c>
      <c r="B680" s="4" t="s">
        <v>2254</v>
      </c>
      <c r="C680" s="4" t="s">
        <v>830</v>
      </c>
      <c r="D680" s="4" t="s">
        <v>3290</v>
      </c>
      <c r="E680" s="9">
        <v>3</v>
      </c>
      <c r="F680" s="9">
        <v>3</v>
      </c>
      <c r="G680" s="1" t="s">
        <v>10004</v>
      </c>
      <c r="H680" s="1">
        <f>SUMIF([1]Sheet1!$G:$G,A680,[1]Sheet1!$O:$O)</f>
        <v>3</v>
      </c>
      <c r="I680" s="21">
        <f t="shared" si="10"/>
        <v>0</v>
      </c>
    </row>
    <row r="681" spans="1:9" x14ac:dyDescent="0.25">
      <c r="A681" s="18" t="s">
        <v>11001</v>
      </c>
      <c r="B681" s="4" t="s">
        <v>2255</v>
      </c>
      <c r="C681" s="4" t="s">
        <v>831</v>
      </c>
      <c r="D681" s="4" t="s">
        <v>3290</v>
      </c>
      <c r="E681" s="9">
        <v>30.766132596685082</v>
      </c>
      <c r="F681" s="9">
        <v>5568.67</v>
      </c>
      <c r="G681" s="1" t="s">
        <v>11002</v>
      </c>
      <c r="H681" s="1">
        <f>SUMIF([1]Sheet1!$G:$G,A681,[1]Sheet1!$O:$O)</f>
        <v>5537.9</v>
      </c>
      <c r="I681" s="21">
        <f t="shared" si="10"/>
        <v>30.770000000000437</v>
      </c>
    </row>
    <row r="682" spans="1:9" x14ac:dyDescent="0.25">
      <c r="A682" s="18" t="s">
        <v>3392</v>
      </c>
      <c r="B682" s="4" t="s">
        <v>2256</v>
      </c>
      <c r="C682" s="4" t="s">
        <v>832</v>
      </c>
      <c r="D682" s="4" t="s">
        <v>3290</v>
      </c>
      <c r="E682" s="9">
        <v>12.7125</v>
      </c>
      <c r="F682" s="9">
        <v>50.85</v>
      </c>
      <c r="G682" s="1" t="s">
        <v>3393</v>
      </c>
      <c r="H682" s="1">
        <f>SUMIF([1]Sheet1!$G:$G,A682,[1]Sheet1!$O:$O)</f>
        <v>50.85</v>
      </c>
      <c r="I682" s="21">
        <f t="shared" si="10"/>
        <v>0</v>
      </c>
    </row>
    <row r="683" spans="1:9" x14ac:dyDescent="0.25">
      <c r="A683" s="18" t="s">
        <v>10028</v>
      </c>
      <c r="B683" s="4" t="s">
        <v>2257</v>
      </c>
      <c r="C683" s="4" t="s">
        <v>833</v>
      </c>
      <c r="D683" s="4" t="s">
        <v>3290</v>
      </c>
      <c r="E683" s="9">
        <v>10.32</v>
      </c>
      <c r="F683" s="9">
        <v>20.64</v>
      </c>
      <c r="G683" s="1" t="s">
        <v>10029</v>
      </c>
      <c r="H683" s="1">
        <f>SUMIF([1]Sheet1!$G:$G,A683,[1]Sheet1!$O:$O)</f>
        <v>20.64</v>
      </c>
      <c r="I683" s="21">
        <f t="shared" si="10"/>
        <v>0</v>
      </c>
    </row>
    <row r="684" spans="1:9" x14ac:dyDescent="0.25">
      <c r="A684" s="18" t="s">
        <v>5403</v>
      </c>
      <c r="B684" s="4" t="s">
        <v>3152</v>
      </c>
      <c r="C684" s="4" t="s">
        <v>834</v>
      </c>
      <c r="D684" s="4" t="s">
        <v>3290</v>
      </c>
      <c r="E684" s="9">
        <v>326.27</v>
      </c>
      <c r="F684" s="9">
        <v>652.54</v>
      </c>
      <c r="G684" s="1" t="s">
        <v>5406</v>
      </c>
      <c r="H684" s="1">
        <f>SUMIF([1]Sheet1!$G:$G,A684,[1]Sheet1!$O:$O)</f>
        <v>652.54</v>
      </c>
      <c r="I684" s="21">
        <f t="shared" si="10"/>
        <v>0</v>
      </c>
    </row>
    <row r="685" spans="1:9" x14ac:dyDescent="0.25">
      <c r="A685" s="18" t="s">
        <v>10321</v>
      </c>
      <c r="B685" s="4" t="s">
        <v>2258</v>
      </c>
      <c r="C685" s="4" t="s">
        <v>835</v>
      </c>
      <c r="D685" s="4" t="s">
        <v>3290</v>
      </c>
      <c r="E685" s="9">
        <v>3.8508</v>
      </c>
      <c r="F685" s="9">
        <v>192.54</v>
      </c>
      <c r="G685" s="1" t="s">
        <v>10322</v>
      </c>
      <c r="H685" s="1">
        <f>SUMIF([1]Sheet1!$G:$G,A685,[1]Sheet1!$O:$O)</f>
        <v>192.54</v>
      </c>
      <c r="I685" s="21">
        <f t="shared" si="10"/>
        <v>0</v>
      </c>
    </row>
    <row r="686" spans="1:9" x14ac:dyDescent="0.25">
      <c r="A686" s="18" t="s">
        <v>8382</v>
      </c>
      <c r="B686" s="4" t="s">
        <v>2259</v>
      </c>
      <c r="C686" s="4" t="s">
        <v>836</v>
      </c>
      <c r="D686" s="4" t="s">
        <v>3290</v>
      </c>
      <c r="E686" s="9">
        <v>21.462222222222223</v>
      </c>
      <c r="F686" s="9">
        <v>193.16000000000003</v>
      </c>
      <c r="G686" s="1" t="s">
        <v>8385</v>
      </c>
      <c r="H686" s="1">
        <f>SUMIF([1]Sheet1!$G:$G,A686,[1]Sheet1!$O:$O)</f>
        <v>193.16</v>
      </c>
      <c r="I686" s="21">
        <f t="shared" si="10"/>
        <v>0</v>
      </c>
    </row>
    <row r="687" spans="1:9" x14ac:dyDescent="0.25">
      <c r="A687" s="18" t="s">
        <v>6252</v>
      </c>
      <c r="B687" s="4" t="s">
        <v>2260</v>
      </c>
      <c r="C687" s="4" t="s">
        <v>837</v>
      </c>
      <c r="D687" s="4" t="s">
        <v>3290</v>
      </c>
      <c r="E687" s="9">
        <v>21.608000000000001</v>
      </c>
      <c r="F687" s="9">
        <v>108.04</v>
      </c>
      <c r="G687" s="1" t="s">
        <v>6255</v>
      </c>
      <c r="H687" s="1">
        <f>SUMIF([1]Sheet1!$G:$G,A687,[1]Sheet1!$O:$O)</f>
        <v>108.04</v>
      </c>
      <c r="I687" s="21">
        <f t="shared" si="10"/>
        <v>0</v>
      </c>
    </row>
    <row r="688" spans="1:9" x14ac:dyDescent="0.25">
      <c r="A688" s="18" t="s">
        <v>5812</v>
      </c>
      <c r="B688" s="4" t="s">
        <v>2261</v>
      </c>
      <c r="C688" s="4" t="s">
        <v>838</v>
      </c>
      <c r="D688" s="4" t="s">
        <v>3290</v>
      </c>
      <c r="E688" s="9">
        <v>1.1407725321888413</v>
      </c>
      <c r="F688" s="9">
        <v>265.8</v>
      </c>
      <c r="G688" s="1" t="s">
        <v>5813</v>
      </c>
      <c r="H688" s="1">
        <f>SUMIF([1]Sheet1!$G:$G,A688,[1]Sheet1!$O:$O)</f>
        <v>263.52</v>
      </c>
      <c r="I688" s="21">
        <f t="shared" si="10"/>
        <v>2.2800000000000296</v>
      </c>
    </row>
    <row r="689" spans="1:9" x14ac:dyDescent="0.25">
      <c r="A689" s="18" t="s">
        <v>8494</v>
      </c>
      <c r="B689" s="4" t="s">
        <v>2262</v>
      </c>
      <c r="C689" s="4" t="s">
        <v>839</v>
      </c>
      <c r="D689" s="4" t="s">
        <v>3290</v>
      </c>
      <c r="E689" s="9">
        <v>11.865</v>
      </c>
      <c r="F689" s="9">
        <v>47.46</v>
      </c>
      <c r="G689" s="1" t="s">
        <v>8495</v>
      </c>
      <c r="H689" s="1">
        <f>SUMIF([1]Sheet1!$G:$G,A689,[1]Sheet1!$O:$O)</f>
        <v>47.46</v>
      </c>
      <c r="I689" s="21">
        <f t="shared" si="10"/>
        <v>0</v>
      </c>
    </row>
    <row r="690" spans="1:9" x14ac:dyDescent="0.25">
      <c r="A690" s="18" t="s">
        <v>8490</v>
      </c>
      <c r="B690" s="4" t="s">
        <v>2263</v>
      </c>
      <c r="C690" s="4" t="s">
        <v>840</v>
      </c>
      <c r="D690" s="4" t="s">
        <v>3290</v>
      </c>
      <c r="E690" s="9">
        <v>4.2371428571428575</v>
      </c>
      <c r="F690" s="9">
        <v>29.660000000000004</v>
      </c>
      <c r="G690" s="1" t="s">
        <v>8491</v>
      </c>
      <c r="H690" s="1">
        <f>SUMIF([1]Sheet1!$G:$G,A690,[1]Sheet1!$O:$O)</f>
        <v>29.66</v>
      </c>
      <c r="I690" s="21">
        <f t="shared" si="10"/>
        <v>0</v>
      </c>
    </row>
    <row r="691" spans="1:9" x14ac:dyDescent="0.25">
      <c r="A691" s="18" t="s">
        <v>8486</v>
      </c>
      <c r="B691" s="4" t="s">
        <v>2264</v>
      </c>
      <c r="C691" s="4" t="s">
        <v>841</v>
      </c>
      <c r="D691" s="4" t="s">
        <v>3290</v>
      </c>
      <c r="E691" s="9">
        <v>5.0842857142857145</v>
      </c>
      <c r="F691" s="9">
        <v>35.590000000000003</v>
      </c>
      <c r="G691" s="1" t="s">
        <v>8487</v>
      </c>
      <c r="H691" s="1">
        <f>SUMIF([1]Sheet1!$G:$G,A691,[1]Sheet1!$O:$O)</f>
        <v>35.590000000000003</v>
      </c>
      <c r="I691" s="21">
        <f t="shared" si="10"/>
        <v>0</v>
      </c>
    </row>
    <row r="692" spans="1:9" x14ac:dyDescent="0.25">
      <c r="A692" s="18" t="s">
        <v>8504</v>
      </c>
      <c r="B692" s="4" t="s">
        <v>2265</v>
      </c>
      <c r="C692" s="4" t="s">
        <v>842</v>
      </c>
      <c r="D692" s="4" t="s">
        <v>3290</v>
      </c>
      <c r="E692" s="9">
        <v>5.5075000000000003</v>
      </c>
      <c r="F692" s="9">
        <v>22.03</v>
      </c>
      <c r="G692" s="1" t="s">
        <v>8505</v>
      </c>
      <c r="H692" s="1">
        <f>SUMIF([1]Sheet1!$G:$G,A692,[1]Sheet1!$O:$O)</f>
        <v>22.03</v>
      </c>
      <c r="I692" s="21">
        <f t="shared" si="10"/>
        <v>0</v>
      </c>
    </row>
    <row r="693" spans="1:9" x14ac:dyDescent="0.25">
      <c r="A693" s="18" t="s">
        <v>8502</v>
      </c>
      <c r="B693" s="4" t="s">
        <v>2266</v>
      </c>
      <c r="C693" s="4" t="s">
        <v>843</v>
      </c>
      <c r="D693" s="4" t="s">
        <v>3290</v>
      </c>
      <c r="E693" s="9">
        <v>4.66</v>
      </c>
      <c r="F693" s="9">
        <v>4.66</v>
      </c>
      <c r="G693" s="1" t="s">
        <v>8503</v>
      </c>
      <c r="H693" s="1">
        <f>SUMIF([1]Sheet1!$G:$G,A693,[1]Sheet1!$O:$O)</f>
        <v>4.66</v>
      </c>
      <c r="I693" s="21">
        <f t="shared" si="10"/>
        <v>0</v>
      </c>
    </row>
    <row r="694" spans="1:9" x14ac:dyDescent="0.25">
      <c r="A694" s="18" t="s">
        <v>8607</v>
      </c>
      <c r="B694" s="4" t="s">
        <v>2267</v>
      </c>
      <c r="C694" s="4" t="s">
        <v>844</v>
      </c>
      <c r="D694" s="4" t="s">
        <v>3290</v>
      </c>
      <c r="E694" s="9">
        <v>13.56</v>
      </c>
      <c r="F694" s="9">
        <v>13.56</v>
      </c>
      <c r="G694" s="1" t="s">
        <v>8608</v>
      </c>
      <c r="H694" s="1">
        <f>SUMIF([1]Sheet1!$G:$G,A694,[1]Sheet1!$O:$O)</f>
        <v>13.56</v>
      </c>
      <c r="I694" s="21">
        <f t="shared" si="10"/>
        <v>0</v>
      </c>
    </row>
    <row r="695" spans="1:9" x14ac:dyDescent="0.25">
      <c r="A695" s="18" t="s">
        <v>8613</v>
      </c>
      <c r="B695" s="4" t="s">
        <v>2268</v>
      </c>
      <c r="C695" s="4" t="s">
        <v>845</v>
      </c>
      <c r="D695" s="4" t="s">
        <v>3290</v>
      </c>
      <c r="E695" s="9">
        <v>34.75</v>
      </c>
      <c r="F695" s="9">
        <v>34.75</v>
      </c>
      <c r="G695" s="1" t="s">
        <v>8614</v>
      </c>
      <c r="H695" s="1">
        <f>SUMIF([1]Sheet1!$G:$G,A695,[1]Sheet1!$O:$O)</f>
        <v>34.75</v>
      </c>
      <c r="I695" s="21">
        <f t="shared" si="10"/>
        <v>0</v>
      </c>
    </row>
    <row r="696" spans="1:9" x14ac:dyDescent="0.25">
      <c r="A696" s="18" t="s">
        <v>8625</v>
      </c>
      <c r="B696" s="4" t="s">
        <v>2269</v>
      </c>
      <c r="C696" s="4" t="s">
        <v>846</v>
      </c>
      <c r="D696" s="4" t="s">
        <v>3290</v>
      </c>
      <c r="E696" s="9">
        <v>29.66</v>
      </c>
      <c r="F696" s="9">
        <v>177.96</v>
      </c>
      <c r="G696" s="1" t="s">
        <v>8626</v>
      </c>
      <c r="H696" s="1">
        <f>SUMIF([1]Sheet1!$G:$G,A696,[1]Sheet1!$O:$O)</f>
        <v>177.96</v>
      </c>
      <c r="I696" s="21">
        <f t="shared" si="10"/>
        <v>0</v>
      </c>
    </row>
    <row r="697" spans="1:9" x14ac:dyDescent="0.25">
      <c r="A697" s="18" t="s">
        <v>8619</v>
      </c>
      <c r="B697" s="4" t="s">
        <v>2270</v>
      </c>
      <c r="C697" s="4" t="s">
        <v>847</v>
      </c>
      <c r="D697" s="4" t="s">
        <v>3290</v>
      </c>
      <c r="E697" s="9">
        <v>25.423913043478262</v>
      </c>
      <c r="F697" s="9">
        <v>1169.5</v>
      </c>
      <c r="G697" s="1" t="s">
        <v>8620</v>
      </c>
      <c r="H697" s="1">
        <f>SUMIF([1]Sheet1!$G:$G,A697,[1]Sheet1!$O:$O)</f>
        <v>1169.5</v>
      </c>
      <c r="I697" s="21">
        <f t="shared" si="10"/>
        <v>0</v>
      </c>
    </row>
    <row r="698" spans="1:9" x14ac:dyDescent="0.25">
      <c r="A698" s="18" t="s">
        <v>8623</v>
      </c>
      <c r="B698" s="4" t="s">
        <v>2271</v>
      </c>
      <c r="C698" s="4" t="s">
        <v>848</v>
      </c>
      <c r="D698" s="4" t="s">
        <v>3290</v>
      </c>
      <c r="E698" s="9">
        <v>42.37</v>
      </c>
      <c r="F698" s="9">
        <v>42.37</v>
      </c>
      <c r="G698" s="1" t="s">
        <v>8624</v>
      </c>
      <c r="H698" s="1">
        <f>SUMIF([1]Sheet1!$G:$G,A698,[1]Sheet1!$O:$O)</f>
        <v>42.37</v>
      </c>
      <c r="I698" s="21">
        <f t="shared" si="10"/>
        <v>0</v>
      </c>
    </row>
    <row r="699" spans="1:9" x14ac:dyDescent="0.25">
      <c r="A699" s="18" t="s">
        <v>8621</v>
      </c>
      <c r="B699" s="4" t="s">
        <v>2272</v>
      </c>
      <c r="C699" s="4" t="s">
        <v>849</v>
      </c>
      <c r="D699" s="4" t="s">
        <v>3290</v>
      </c>
      <c r="E699" s="9">
        <v>29.66</v>
      </c>
      <c r="F699" s="9">
        <v>88.98</v>
      </c>
      <c r="G699" s="1" t="s">
        <v>8622</v>
      </c>
      <c r="H699" s="1">
        <f>SUMIF([1]Sheet1!$G:$G,A699,[1]Sheet1!$O:$O)</f>
        <v>88.98</v>
      </c>
      <c r="I699" s="21">
        <f t="shared" si="10"/>
        <v>0</v>
      </c>
    </row>
    <row r="700" spans="1:9" x14ac:dyDescent="0.25">
      <c r="A700" s="18" t="s">
        <v>6869</v>
      </c>
      <c r="B700" s="4" t="s">
        <v>2273</v>
      </c>
      <c r="C700" s="4" t="s">
        <v>850</v>
      </c>
      <c r="D700" s="4" t="s">
        <v>3289</v>
      </c>
      <c r="E700" s="9">
        <v>0.17064814814814813</v>
      </c>
      <c r="F700" s="9">
        <v>18.43</v>
      </c>
      <c r="G700" s="1" t="s">
        <v>6870</v>
      </c>
      <c r="H700" s="1">
        <f>SUMIF([1]Sheet1!$G:$G,A700,[1]Sheet1!$O:$O)</f>
        <v>18.420000000000002</v>
      </c>
      <c r="I700" s="21">
        <f t="shared" si="10"/>
        <v>9.9999999999980105E-3</v>
      </c>
    </row>
    <row r="701" spans="1:9" x14ac:dyDescent="0.25">
      <c r="A701" s="18" t="s">
        <v>8643</v>
      </c>
      <c r="B701" s="4" t="s">
        <v>2274</v>
      </c>
      <c r="C701" s="4" t="s">
        <v>851</v>
      </c>
      <c r="D701" s="4" t="s">
        <v>3290</v>
      </c>
      <c r="E701" s="9">
        <v>2.9660000000000002</v>
      </c>
      <c r="F701" s="9">
        <v>14.830000000000002</v>
      </c>
      <c r="G701" s="1" t="s">
        <v>8644</v>
      </c>
      <c r="H701" s="1">
        <f>SUMIF([1]Sheet1!$G:$G,A701,[1]Sheet1!$O:$O)</f>
        <v>14.83</v>
      </c>
      <c r="I701" s="21">
        <f t="shared" si="10"/>
        <v>0</v>
      </c>
    </row>
    <row r="702" spans="1:9" x14ac:dyDescent="0.25">
      <c r="A702" s="18" t="s">
        <v>8631</v>
      </c>
      <c r="B702" s="4" t="s">
        <v>2275</v>
      </c>
      <c r="C702" s="4" t="s">
        <v>852</v>
      </c>
      <c r="D702" s="4" t="s">
        <v>3290</v>
      </c>
      <c r="E702" s="9">
        <v>12.764545454545454</v>
      </c>
      <c r="F702" s="9">
        <v>280.82</v>
      </c>
      <c r="G702" s="1" t="s">
        <v>8632</v>
      </c>
      <c r="H702" s="1">
        <f>SUMIF([1]Sheet1!$G:$G,A702,[1]Sheet1!$O:$O)</f>
        <v>280.82</v>
      </c>
      <c r="I702" s="21">
        <f t="shared" si="10"/>
        <v>0</v>
      </c>
    </row>
    <row r="703" spans="1:9" x14ac:dyDescent="0.25">
      <c r="A703" s="18" t="s">
        <v>8659</v>
      </c>
      <c r="B703" s="4" t="s">
        <v>2276</v>
      </c>
      <c r="C703" s="4" t="s">
        <v>853</v>
      </c>
      <c r="D703" s="4" t="s">
        <v>3290</v>
      </c>
      <c r="E703" s="9">
        <v>9.3806896551724144</v>
      </c>
      <c r="F703" s="9">
        <v>272.04000000000002</v>
      </c>
      <c r="G703" s="1" t="s">
        <v>8660</v>
      </c>
      <c r="H703" s="1">
        <f>SUMIF([1]Sheet1!$G:$G,A703,[1]Sheet1!$O:$O)</f>
        <v>272.04000000000002</v>
      </c>
      <c r="I703" s="21">
        <f t="shared" si="10"/>
        <v>0</v>
      </c>
    </row>
    <row r="704" spans="1:9" x14ac:dyDescent="0.25">
      <c r="A704" s="18" t="s">
        <v>8657</v>
      </c>
      <c r="B704" s="4" t="s">
        <v>2277</v>
      </c>
      <c r="C704" s="4" t="s">
        <v>854</v>
      </c>
      <c r="D704" s="4" t="s">
        <v>3290</v>
      </c>
      <c r="E704" s="9">
        <v>5.0862025316455695</v>
      </c>
      <c r="F704" s="9">
        <v>401.81</v>
      </c>
      <c r="G704" s="1" t="s">
        <v>8658</v>
      </c>
      <c r="H704" s="1">
        <f>SUMIF([1]Sheet1!$G:$G,A704,[1]Sheet1!$O:$O)</f>
        <v>401.81</v>
      </c>
      <c r="I704" s="21">
        <f t="shared" si="10"/>
        <v>0</v>
      </c>
    </row>
    <row r="705" spans="1:9" x14ac:dyDescent="0.25">
      <c r="A705" s="18" t="s">
        <v>8651</v>
      </c>
      <c r="B705" s="4" t="s">
        <v>2278</v>
      </c>
      <c r="C705" s="4" t="s">
        <v>855</v>
      </c>
      <c r="D705" s="4" t="s">
        <v>3290</v>
      </c>
      <c r="E705" s="9">
        <v>5.17</v>
      </c>
      <c r="F705" s="9">
        <v>15.51</v>
      </c>
      <c r="G705" s="1" t="s">
        <v>8652</v>
      </c>
      <c r="H705" s="1">
        <f>SUMIF([1]Sheet1!$G:$G,A705,[1]Sheet1!$O:$O)</f>
        <v>15.51</v>
      </c>
      <c r="I705" s="21">
        <f t="shared" si="10"/>
        <v>0</v>
      </c>
    </row>
    <row r="706" spans="1:9" x14ac:dyDescent="0.25">
      <c r="A706" s="18" t="s">
        <v>8603</v>
      </c>
      <c r="B706" s="4" t="s">
        <v>2279</v>
      </c>
      <c r="C706" s="4" t="s">
        <v>856</v>
      </c>
      <c r="D706" s="4" t="s">
        <v>3290</v>
      </c>
      <c r="E706" s="9">
        <v>7.6280000000000001</v>
      </c>
      <c r="F706" s="9">
        <v>38.14</v>
      </c>
      <c r="G706" s="1" t="s">
        <v>8604</v>
      </c>
      <c r="H706" s="1">
        <f>SUMIF([1]Sheet1!$G:$G,A706,[1]Sheet1!$O:$O)</f>
        <v>38.14</v>
      </c>
      <c r="I706" s="21">
        <f t="shared" si="10"/>
        <v>0</v>
      </c>
    </row>
    <row r="707" spans="1:9" x14ac:dyDescent="0.25">
      <c r="A707" s="18" t="s">
        <v>4843</v>
      </c>
      <c r="B707" s="4" t="s">
        <v>2280</v>
      </c>
      <c r="C707" s="4" t="s">
        <v>857</v>
      </c>
      <c r="D707" s="4" t="s">
        <v>3290</v>
      </c>
      <c r="E707" s="9">
        <v>7.1881250000000003</v>
      </c>
      <c r="F707" s="9">
        <v>115.01</v>
      </c>
      <c r="G707" s="1" t="s">
        <v>4844</v>
      </c>
      <c r="H707" s="1">
        <f>SUMIF([1]Sheet1!$G:$G,A707,[1]Sheet1!$O:$O)</f>
        <v>115.01</v>
      </c>
      <c r="I707" s="21">
        <f t="shared" ref="I707:I770" si="11">F707-H707</f>
        <v>0</v>
      </c>
    </row>
    <row r="708" spans="1:9" x14ac:dyDescent="0.25">
      <c r="A708" s="18" t="s">
        <v>8282</v>
      </c>
      <c r="B708" s="4" t="s">
        <v>2281</v>
      </c>
      <c r="C708" s="4" t="s">
        <v>858</v>
      </c>
      <c r="D708" s="4" t="s">
        <v>3290</v>
      </c>
      <c r="E708" s="9">
        <v>1.6216666666666668</v>
      </c>
      <c r="F708" s="9">
        <v>38.92</v>
      </c>
      <c r="G708" s="1" t="s">
        <v>8283</v>
      </c>
      <c r="H708" s="1">
        <f>SUMIF([1]Sheet1!$G:$G,A708,[1]Sheet1!$O:$O)</f>
        <v>38.92</v>
      </c>
      <c r="I708" s="21">
        <f t="shared" si="11"/>
        <v>0</v>
      </c>
    </row>
    <row r="709" spans="1:9" x14ac:dyDescent="0.25">
      <c r="A709" s="18" t="s">
        <v>7820</v>
      </c>
      <c r="B709" s="4" t="s">
        <v>2282</v>
      </c>
      <c r="C709" s="4" t="s">
        <v>859</v>
      </c>
      <c r="D709" s="4" t="s">
        <v>3290</v>
      </c>
      <c r="E709" s="9">
        <v>224.01499999999999</v>
      </c>
      <c r="F709" s="9">
        <v>448.03</v>
      </c>
      <c r="G709" s="1" t="s">
        <v>7821</v>
      </c>
      <c r="H709" s="1">
        <f>SUMIF([1]Sheet1!$G:$G,A709,[1]Sheet1!$O:$O)</f>
        <v>448.03</v>
      </c>
      <c r="I709" s="21">
        <f t="shared" si="11"/>
        <v>0</v>
      </c>
    </row>
    <row r="710" spans="1:9" x14ac:dyDescent="0.25">
      <c r="A710" s="18" t="s">
        <v>10657</v>
      </c>
      <c r="B710" s="4" t="s">
        <v>2283</v>
      </c>
      <c r="C710" s="4" t="s">
        <v>860</v>
      </c>
      <c r="D710" s="4" t="s">
        <v>3290</v>
      </c>
      <c r="E710" s="9">
        <v>3.6666666666666665</v>
      </c>
      <c r="F710" s="9">
        <v>11</v>
      </c>
      <c r="G710" s="1" t="s">
        <v>10658</v>
      </c>
      <c r="H710" s="1">
        <f>SUMIF([1]Sheet1!$G:$G,A710,[1]Sheet1!$O:$O)</f>
        <v>11</v>
      </c>
      <c r="I710" s="21">
        <f t="shared" si="11"/>
        <v>0</v>
      </c>
    </row>
    <row r="711" spans="1:9" x14ac:dyDescent="0.25">
      <c r="A711" s="18" t="s">
        <v>10691</v>
      </c>
      <c r="B711" s="4" t="s">
        <v>2284</v>
      </c>
      <c r="C711" s="4" t="s">
        <v>861</v>
      </c>
      <c r="D711" s="4" t="s">
        <v>3290</v>
      </c>
      <c r="E711" s="9">
        <v>3.6680000000000001</v>
      </c>
      <c r="F711" s="9">
        <v>36.68</v>
      </c>
      <c r="G711" s="1" t="s">
        <v>10692</v>
      </c>
      <c r="H711" s="1">
        <f>SUMIF([1]Sheet1!$G:$G,A711,[1]Sheet1!$O:$O)</f>
        <v>36.68</v>
      </c>
      <c r="I711" s="21">
        <f t="shared" si="11"/>
        <v>0</v>
      </c>
    </row>
    <row r="712" spans="1:9" x14ac:dyDescent="0.25">
      <c r="A712" s="18" t="s">
        <v>6077</v>
      </c>
      <c r="B712" s="4" t="s">
        <v>2285</v>
      </c>
      <c r="C712" s="4" t="s">
        <v>862</v>
      </c>
      <c r="D712" s="4" t="s">
        <v>3289</v>
      </c>
      <c r="E712" s="9">
        <v>1.1866666666666668</v>
      </c>
      <c r="F712" s="9">
        <v>17.8</v>
      </c>
      <c r="G712" s="1" t="s">
        <v>6078</v>
      </c>
      <c r="H712" s="1">
        <f>SUMIF([1]Sheet1!$G:$G,A712,[1]Sheet1!$O:$O)</f>
        <v>17.8</v>
      </c>
      <c r="I712" s="21">
        <f t="shared" si="11"/>
        <v>0</v>
      </c>
    </row>
    <row r="713" spans="1:9" x14ac:dyDescent="0.25">
      <c r="A713" s="18" t="s">
        <v>6081</v>
      </c>
      <c r="B713" s="4" t="s">
        <v>2286</v>
      </c>
      <c r="C713" s="4" t="s">
        <v>863</v>
      </c>
      <c r="D713" s="4" t="s">
        <v>3289</v>
      </c>
      <c r="E713" s="9">
        <v>1.6173809523809526</v>
      </c>
      <c r="F713" s="9">
        <v>67.930000000000007</v>
      </c>
      <c r="G713" s="1" t="s">
        <v>6082</v>
      </c>
      <c r="H713" s="1">
        <f>SUMIF([1]Sheet1!$G:$G,A713,[1]Sheet1!$O:$O)</f>
        <v>67.930000000000007</v>
      </c>
      <c r="I713" s="21">
        <f t="shared" si="11"/>
        <v>0</v>
      </c>
    </row>
    <row r="714" spans="1:9" x14ac:dyDescent="0.25">
      <c r="A714" s="18" t="s">
        <v>10689</v>
      </c>
      <c r="B714" s="4" t="s">
        <v>2287</v>
      </c>
      <c r="C714" s="4" t="s">
        <v>864</v>
      </c>
      <c r="D714" s="4" t="s">
        <v>3295</v>
      </c>
      <c r="E714" s="9">
        <v>592.5828692654469</v>
      </c>
      <c r="F714" s="9">
        <v>2234.63</v>
      </c>
      <c r="G714" s="1" t="s">
        <v>10690</v>
      </c>
      <c r="H714" s="1">
        <f>SUMIF([1]Sheet1!$G:$G,A714,[1]Sheet1!$O:$O)</f>
        <v>2234.63</v>
      </c>
      <c r="I714" s="21">
        <f t="shared" si="11"/>
        <v>0</v>
      </c>
    </row>
    <row r="715" spans="1:9" x14ac:dyDescent="0.25">
      <c r="A715" s="18" t="s">
        <v>7926</v>
      </c>
      <c r="B715" s="4" t="s">
        <v>2288</v>
      </c>
      <c r="C715" s="4" t="s">
        <v>865</v>
      </c>
      <c r="D715" s="4" t="s">
        <v>3290</v>
      </c>
      <c r="E715" s="9">
        <v>29.66</v>
      </c>
      <c r="F715" s="9">
        <v>118.64</v>
      </c>
      <c r="G715" s="1" t="s">
        <v>7927</v>
      </c>
      <c r="H715" s="1">
        <f>SUMIF([1]Sheet1!$G:$G,A715,[1]Sheet1!$O:$O)</f>
        <v>118.64</v>
      </c>
      <c r="I715" s="21">
        <f t="shared" si="11"/>
        <v>0</v>
      </c>
    </row>
    <row r="716" spans="1:9" x14ac:dyDescent="0.25">
      <c r="A716" s="18" t="s">
        <v>8492</v>
      </c>
      <c r="B716" s="4" t="s">
        <v>2289</v>
      </c>
      <c r="C716" s="4" t="s">
        <v>866</v>
      </c>
      <c r="D716" s="4" t="s">
        <v>3290</v>
      </c>
      <c r="E716" s="9">
        <v>6.78</v>
      </c>
      <c r="F716" s="9">
        <v>6.78</v>
      </c>
      <c r="G716" s="1" t="s">
        <v>8493</v>
      </c>
      <c r="H716" s="1">
        <f>SUMIF([1]Sheet1!$G:$G,A716,[1]Sheet1!$O:$O)</f>
        <v>6.78</v>
      </c>
      <c r="I716" s="21">
        <f t="shared" si="11"/>
        <v>0</v>
      </c>
    </row>
    <row r="717" spans="1:9" x14ac:dyDescent="0.25">
      <c r="A717" s="18" t="s">
        <v>8508</v>
      </c>
      <c r="B717" s="4" t="s">
        <v>2290</v>
      </c>
      <c r="C717" s="4" t="s">
        <v>867</v>
      </c>
      <c r="D717" s="4" t="s">
        <v>3290</v>
      </c>
      <c r="E717" s="9">
        <v>11.016</v>
      </c>
      <c r="F717" s="9">
        <v>110.16</v>
      </c>
      <c r="G717" s="1" t="s">
        <v>8509</v>
      </c>
      <c r="H717" s="1">
        <f>SUMIF([1]Sheet1!$G:$G,A717,[1]Sheet1!$O:$O)</f>
        <v>110.16</v>
      </c>
      <c r="I717" s="21">
        <f t="shared" si="11"/>
        <v>0</v>
      </c>
    </row>
    <row r="718" spans="1:9" x14ac:dyDescent="0.25">
      <c r="A718" s="18" t="s">
        <v>5720</v>
      </c>
      <c r="B718" s="4" t="s">
        <v>2291</v>
      </c>
      <c r="C718" s="4" t="s">
        <v>868</v>
      </c>
      <c r="D718" s="4" t="s">
        <v>3289</v>
      </c>
      <c r="E718" s="9">
        <v>1.2923500000000001</v>
      </c>
      <c r="F718" s="9">
        <v>258.47000000000003</v>
      </c>
      <c r="G718" s="1" t="s">
        <v>5721</v>
      </c>
      <c r="H718" s="1">
        <f>SUMIF([1]Sheet1!$G:$G,A718,[1]Sheet1!$O:$O)</f>
        <v>258.48</v>
      </c>
      <c r="I718" s="21">
        <f t="shared" si="11"/>
        <v>-9.9999999999909051E-3</v>
      </c>
    </row>
    <row r="719" spans="1:9" x14ac:dyDescent="0.25">
      <c r="A719" s="18" t="s">
        <v>10695</v>
      </c>
      <c r="B719" s="4" t="s">
        <v>2292</v>
      </c>
      <c r="C719" s="4" t="s">
        <v>869</v>
      </c>
      <c r="D719" s="4" t="s">
        <v>3295</v>
      </c>
      <c r="E719" s="9">
        <v>1770.8977556109728</v>
      </c>
      <c r="F719" s="9">
        <v>7101.3</v>
      </c>
      <c r="G719" s="1" t="s">
        <v>10696</v>
      </c>
      <c r="H719" s="1">
        <f>SUMIF([1]Sheet1!$G:$G,A719,[1]Sheet1!$O:$O)</f>
        <v>7101.3</v>
      </c>
      <c r="I719" s="21">
        <f t="shared" si="11"/>
        <v>0</v>
      </c>
    </row>
    <row r="720" spans="1:9" x14ac:dyDescent="0.25">
      <c r="A720" s="18" t="s">
        <v>10697</v>
      </c>
      <c r="B720" s="4" t="s">
        <v>2293</v>
      </c>
      <c r="C720" s="4" t="s">
        <v>870</v>
      </c>
      <c r="D720" s="4" t="s">
        <v>3295</v>
      </c>
      <c r="E720" s="9">
        <v>593.22003577817532</v>
      </c>
      <c r="F720" s="9">
        <v>994.83</v>
      </c>
      <c r="G720" s="1" t="s">
        <v>10698</v>
      </c>
      <c r="H720" s="1">
        <f>SUMIF([1]Sheet1!$G:$G,A720,[1]Sheet1!$O:$O)</f>
        <v>994.83</v>
      </c>
      <c r="I720" s="21">
        <f t="shared" si="11"/>
        <v>0</v>
      </c>
    </row>
    <row r="721" spans="1:9" x14ac:dyDescent="0.25">
      <c r="A721" s="18" t="s">
        <v>10701</v>
      </c>
      <c r="B721" s="4" t="s">
        <v>2294</v>
      </c>
      <c r="C721" s="4" t="s">
        <v>871</v>
      </c>
      <c r="D721" s="4" t="s">
        <v>3295</v>
      </c>
      <c r="E721" s="9">
        <v>984.52112676056345</v>
      </c>
      <c r="F721" s="9">
        <v>2796.04</v>
      </c>
      <c r="G721" s="1" t="s">
        <v>10702</v>
      </c>
      <c r="H721" s="1">
        <f>SUMIF([1]Sheet1!$G:$G,A721,[1]Sheet1!$O:$O)</f>
        <v>2796.04</v>
      </c>
      <c r="I721" s="21">
        <f t="shared" si="11"/>
        <v>0</v>
      </c>
    </row>
    <row r="722" spans="1:9" x14ac:dyDescent="0.25">
      <c r="A722" s="18" t="s">
        <v>10640</v>
      </c>
      <c r="B722" s="4" t="s">
        <v>2295</v>
      </c>
      <c r="C722" s="4" t="s">
        <v>872</v>
      </c>
      <c r="D722" s="4" t="s">
        <v>3295</v>
      </c>
      <c r="E722" s="9">
        <v>891.80285035629447</v>
      </c>
      <c r="F722" s="9">
        <v>3754.49</v>
      </c>
      <c r="G722" s="1" t="s">
        <v>10641</v>
      </c>
      <c r="H722" s="1">
        <f>SUMIF([1]Sheet1!$G:$G,A722,[1]Sheet1!$O:$O)</f>
        <v>3754.49</v>
      </c>
      <c r="I722" s="21">
        <f t="shared" si="11"/>
        <v>0</v>
      </c>
    </row>
    <row r="723" spans="1:9" x14ac:dyDescent="0.25">
      <c r="A723" s="18" t="s">
        <v>8038</v>
      </c>
      <c r="B723" s="4" t="s">
        <v>3153</v>
      </c>
      <c r="C723" s="4" t="s">
        <v>873</v>
      </c>
      <c r="D723" s="4" t="s">
        <v>3290</v>
      </c>
      <c r="E723" s="9">
        <v>720.34</v>
      </c>
      <c r="F723" s="9">
        <v>720.34</v>
      </c>
      <c r="G723" s="1" t="s">
        <v>8041</v>
      </c>
      <c r="H723" s="1">
        <f>SUMIF([1]Sheet1!$G:$G,A723,[1]Sheet1!$O:$O)</f>
        <v>720.34</v>
      </c>
      <c r="I723" s="21">
        <f t="shared" si="11"/>
        <v>0</v>
      </c>
    </row>
    <row r="724" spans="1:9" x14ac:dyDescent="0.25">
      <c r="A724" s="18" t="s">
        <v>6710</v>
      </c>
      <c r="B724" s="4" t="s">
        <v>2296</v>
      </c>
      <c r="C724" s="4" t="s">
        <v>874</v>
      </c>
      <c r="D724" s="4" t="s">
        <v>3290</v>
      </c>
      <c r="E724" s="9">
        <v>25</v>
      </c>
      <c r="F724" s="9">
        <v>25</v>
      </c>
      <c r="G724" s="1" t="s">
        <v>6711</v>
      </c>
      <c r="H724" s="1">
        <f>SUMIF([1]Sheet1!$G:$G,A724,[1]Sheet1!$O:$O)</f>
        <v>25</v>
      </c>
      <c r="I724" s="21">
        <f t="shared" si="11"/>
        <v>0</v>
      </c>
    </row>
    <row r="725" spans="1:9" x14ac:dyDescent="0.25">
      <c r="A725" s="18" t="s">
        <v>11770</v>
      </c>
      <c r="B725" s="4" t="s">
        <v>2297</v>
      </c>
      <c r="C725" s="4" t="s">
        <v>875</v>
      </c>
      <c r="D725" s="4" t="s">
        <v>3289</v>
      </c>
      <c r="E725" s="9">
        <v>28.2485</v>
      </c>
      <c r="F725" s="9">
        <v>1129.94</v>
      </c>
      <c r="G725" s="1" t="s">
        <v>11771</v>
      </c>
      <c r="H725" s="1">
        <f>SUMIF([1]Sheet1!$G:$G,A725,[1]Sheet1!$O:$O)</f>
        <v>1129.94</v>
      </c>
      <c r="I725" s="21">
        <f t="shared" si="11"/>
        <v>0</v>
      </c>
    </row>
    <row r="726" spans="1:9" x14ac:dyDescent="0.25">
      <c r="A726" s="18" t="s">
        <v>8506</v>
      </c>
      <c r="B726" s="4" t="s">
        <v>2298</v>
      </c>
      <c r="C726" s="4" t="s">
        <v>876</v>
      </c>
      <c r="D726" s="4" t="s">
        <v>3290</v>
      </c>
      <c r="E726" s="9">
        <v>9.6612500000000008</v>
      </c>
      <c r="F726" s="9">
        <v>77.290000000000006</v>
      </c>
      <c r="G726" s="1" t="s">
        <v>8507</v>
      </c>
      <c r="H726" s="1">
        <f>SUMIF([1]Sheet1!$G:$G,A726,[1]Sheet1!$O:$O)</f>
        <v>77.290000000000006</v>
      </c>
      <c r="I726" s="21">
        <f t="shared" si="11"/>
        <v>0</v>
      </c>
    </row>
    <row r="727" spans="1:9" x14ac:dyDescent="0.25">
      <c r="A727" s="18" t="s">
        <v>9378</v>
      </c>
      <c r="B727" s="4" t="s">
        <v>2299</v>
      </c>
      <c r="C727" s="4" t="s">
        <v>877</v>
      </c>
      <c r="D727" s="4" t="s">
        <v>3290</v>
      </c>
      <c r="E727" s="9">
        <v>7.0337500000000004</v>
      </c>
      <c r="F727" s="9">
        <v>56.27</v>
      </c>
      <c r="G727" s="1" t="s">
        <v>9379</v>
      </c>
      <c r="H727" s="1">
        <f>SUMIF([1]Sheet1!$G:$G,A727,[1]Sheet1!$O:$O)</f>
        <v>56.27</v>
      </c>
      <c r="I727" s="21">
        <f t="shared" si="11"/>
        <v>0</v>
      </c>
    </row>
    <row r="728" spans="1:9" x14ac:dyDescent="0.25">
      <c r="A728" s="18" t="s">
        <v>8543</v>
      </c>
      <c r="B728" s="4" t="s">
        <v>2300</v>
      </c>
      <c r="C728" s="4" t="s">
        <v>878</v>
      </c>
      <c r="D728" s="4" t="s">
        <v>3289</v>
      </c>
      <c r="E728" s="9">
        <v>1.3863172804532577</v>
      </c>
      <c r="F728" s="9">
        <v>489.37</v>
      </c>
      <c r="G728" s="1" t="s">
        <v>8544</v>
      </c>
      <c r="H728" s="1">
        <f>SUMIF([1]Sheet1!$G:$G,A728,[1]Sheet1!$O:$O)</f>
        <v>489.36</v>
      </c>
      <c r="I728" s="21">
        <f t="shared" si="11"/>
        <v>9.9999999999909051E-3</v>
      </c>
    </row>
    <row r="729" spans="1:9" x14ac:dyDescent="0.25">
      <c r="A729" s="18" t="s">
        <v>8547</v>
      </c>
      <c r="B729" s="4" t="s">
        <v>2301</v>
      </c>
      <c r="C729" s="4" t="s">
        <v>879</v>
      </c>
      <c r="D729" s="4" t="s">
        <v>3289</v>
      </c>
      <c r="E729" s="9">
        <v>3.313333333333333</v>
      </c>
      <c r="F729" s="9">
        <v>39.76</v>
      </c>
      <c r="G729" s="1" t="s">
        <v>8548</v>
      </c>
      <c r="H729" s="1">
        <f>SUMIF([1]Sheet1!$G:$G,A729,[1]Sheet1!$O:$O)</f>
        <v>39.76</v>
      </c>
      <c r="I729" s="21">
        <f t="shared" si="11"/>
        <v>0</v>
      </c>
    </row>
    <row r="730" spans="1:9" x14ac:dyDescent="0.25">
      <c r="A730" s="18" t="s">
        <v>8590</v>
      </c>
      <c r="B730" s="4" t="s">
        <v>2302</v>
      </c>
      <c r="C730" s="4" t="s">
        <v>880</v>
      </c>
      <c r="D730" s="4" t="s">
        <v>3290</v>
      </c>
      <c r="E730" s="9">
        <v>19.336923076923078</v>
      </c>
      <c r="F730" s="9">
        <v>251.38000000000002</v>
      </c>
      <c r="G730" s="1" t="s">
        <v>8591</v>
      </c>
      <c r="H730" s="1">
        <f>SUMIF([1]Sheet1!$G:$G,A730,[1]Sheet1!$O:$O)</f>
        <v>251.38</v>
      </c>
      <c r="I730" s="21">
        <f t="shared" si="11"/>
        <v>0</v>
      </c>
    </row>
    <row r="731" spans="1:9" x14ac:dyDescent="0.25">
      <c r="A731" s="18" t="s">
        <v>8588</v>
      </c>
      <c r="B731" s="4" t="s">
        <v>2303</v>
      </c>
      <c r="C731" s="4" t="s">
        <v>881</v>
      </c>
      <c r="D731" s="4" t="s">
        <v>3290</v>
      </c>
      <c r="E731" s="9">
        <v>14.407500000000001</v>
      </c>
      <c r="F731" s="9">
        <v>57.63</v>
      </c>
      <c r="G731" s="1" t="s">
        <v>8589</v>
      </c>
      <c r="H731" s="1">
        <f>SUMIF([1]Sheet1!$G:$G,A731,[1]Sheet1!$O:$O)</f>
        <v>57.63</v>
      </c>
      <c r="I731" s="21">
        <f t="shared" si="11"/>
        <v>0</v>
      </c>
    </row>
    <row r="732" spans="1:9" x14ac:dyDescent="0.25">
      <c r="A732" s="18" t="s">
        <v>8605</v>
      </c>
      <c r="B732" s="4" t="s">
        <v>2304</v>
      </c>
      <c r="C732" s="4" t="s">
        <v>882</v>
      </c>
      <c r="D732" s="4" t="s">
        <v>3290</v>
      </c>
      <c r="E732" s="9">
        <v>67.8</v>
      </c>
      <c r="F732" s="9">
        <v>67.8</v>
      </c>
      <c r="G732" s="1" t="s">
        <v>8606</v>
      </c>
      <c r="H732" s="1">
        <f>SUMIF([1]Sheet1!$G:$G,A732,[1]Sheet1!$O:$O)</f>
        <v>67.8</v>
      </c>
      <c r="I732" s="21">
        <f t="shared" si="11"/>
        <v>0</v>
      </c>
    </row>
    <row r="733" spans="1:9" x14ac:dyDescent="0.25">
      <c r="A733" s="18" t="s">
        <v>8609</v>
      </c>
      <c r="B733" s="4" t="s">
        <v>2305</v>
      </c>
      <c r="C733" s="4" t="s">
        <v>883</v>
      </c>
      <c r="D733" s="4" t="s">
        <v>3290</v>
      </c>
      <c r="E733" s="9">
        <v>29.66</v>
      </c>
      <c r="F733" s="9">
        <v>29.66</v>
      </c>
      <c r="G733" s="1" t="s">
        <v>8610</v>
      </c>
      <c r="H733" s="1">
        <f>SUMIF([1]Sheet1!$G:$G,A733,[1]Sheet1!$O:$O)</f>
        <v>29.66</v>
      </c>
      <c r="I733" s="21">
        <f t="shared" si="11"/>
        <v>0</v>
      </c>
    </row>
    <row r="734" spans="1:9" x14ac:dyDescent="0.25">
      <c r="A734" s="18" t="s">
        <v>8601</v>
      </c>
      <c r="B734" s="4" t="s">
        <v>2306</v>
      </c>
      <c r="C734" s="4" t="s">
        <v>884</v>
      </c>
      <c r="D734" s="4" t="s">
        <v>3290</v>
      </c>
      <c r="E734" s="9">
        <v>18.645</v>
      </c>
      <c r="F734" s="9">
        <v>37.29</v>
      </c>
      <c r="G734" s="1" t="s">
        <v>8602</v>
      </c>
      <c r="H734" s="1">
        <f>SUMIF([1]Sheet1!$G:$G,A734,[1]Sheet1!$O:$O)</f>
        <v>37.29</v>
      </c>
      <c r="I734" s="21">
        <f t="shared" si="11"/>
        <v>0</v>
      </c>
    </row>
    <row r="735" spans="1:9" x14ac:dyDescent="0.25">
      <c r="A735" s="18" t="s">
        <v>8557</v>
      </c>
      <c r="B735" s="4" t="s">
        <v>2307</v>
      </c>
      <c r="C735" s="4" t="s">
        <v>885</v>
      </c>
      <c r="D735" s="4" t="s">
        <v>3290</v>
      </c>
      <c r="E735" s="9">
        <v>6.78</v>
      </c>
      <c r="F735" s="9">
        <v>27.12</v>
      </c>
      <c r="G735" s="1" t="s">
        <v>8558</v>
      </c>
      <c r="H735" s="1">
        <f>SUMIF([1]Sheet1!$G:$G,A735,[1]Sheet1!$O:$O)</f>
        <v>27.12</v>
      </c>
      <c r="I735" s="21">
        <f t="shared" si="11"/>
        <v>0</v>
      </c>
    </row>
    <row r="736" spans="1:9" x14ac:dyDescent="0.25">
      <c r="A736" s="18" t="s">
        <v>7118</v>
      </c>
      <c r="B736" s="4" t="s">
        <v>2308</v>
      </c>
      <c r="C736" s="4" t="s">
        <v>886</v>
      </c>
      <c r="D736" s="4" t="s">
        <v>3289</v>
      </c>
      <c r="E736" s="9">
        <v>1791.1437956204379</v>
      </c>
      <c r="F736" s="9">
        <v>24538.67</v>
      </c>
      <c r="G736" s="1" t="s">
        <v>7119</v>
      </c>
      <c r="H736" s="1">
        <f>SUMIF([1]Sheet1!$G:$G,A736,[1]Sheet1!$O:$O)</f>
        <v>24538.67</v>
      </c>
      <c r="I736" s="21">
        <f t="shared" si="11"/>
        <v>0</v>
      </c>
    </row>
    <row r="737" spans="1:9" x14ac:dyDescent="0.25">
      <c r="A737" s="18" t="s">
        <v>10106</v>
      </c>
      <c r="B737" s="4" t="s">
        <v>2309</v>
      </c>
      <c r="C737" s="4" t="s">
        <v>887</v>
      </c>
      <c r="D737" s="4" t="s">
        <v>3290</v>
      </c>
      <c r="E737" s="9">
        <v>98.048909090909078</v>
      </c>
      <c r="F737" s="9">
        <v>10785.38</v>
      </c>
      <c r="G737" s="1" t="s">
        <v>10107</v>
      </c>
      <c r="H737" s="1">
        <f>SUMIF([1]Sheet1!$G:$G,A737,[1]Sheet1!$O:$O)</f>
        <v>10785.38</v>
      </c>
      <c r="I737" s="21">
        <f t="shared" si="11"/>
        <v>0</v>
      </c>
    </row>
    <row r="738" spans="1:9" x14ac:dyDescent="0.25">
      <c r="A738" s="18" t="s">
        <v>11781</v>
      </c>
      <c r="B738" s="4" t="s">
        <v>2310</v>
      </c>
      <c r="C738" s="4" t="s">
        <v>888</v>
      </c>
      <c r="D738" s="4" t="s">
        <v>3289</v>
      </c>
      <c r="E738" s="9">
        <v>64.582857142857137</v>
      </c>
      <c r="F738" s="9">
        <v>3616.6399999999994</v>
      </c>
      <c r="G738" s="1" t="s">
        <v>11782</v>
      </c>
      <c r="H738" s="1">
        <f>SUMIF([1]Sheet1!$G:$G,A738,[1]Sheet1!$O:$O)</f>
        <v>3616.64</v>
      </c>
      <c r="I738" s="21">
        <f t="shared" si="11"/>
        <v>0</v>
      </c>
    </row>
    <row r="739" spans="1:9" x14ac:dyDescent="0.25">
      <c r="A739" s="18" t="s">
        <v>10768</v>
      </c>
      <c r="B739" s="4" t="s">
        <v>2311</v>
      </c>
      <c r="C739" s="4" t="s">
        <v>889</v>
      </c>
      <c r="D739" s="4" t="s">
        <v>3291</v>
      </c>
      <c r="E739" s="9">
        <v>3.8132352941176473</v>
      </c>
      <c r="F739" s="9">
        <v>25.93</v>
      </c>
      <c r="G739" s="1" t="s">
        <v>10769</v>
      </c>
      <c r="H739" s="1">
        <f>SUMIF([1]Sheet1!$G:$G,A739,[1]Sheet1!$O:$O)</f>
        <v>25.93</v>
      </c>
      <c r="I739" s="21">
        <f t="shared" si="11"/>
        <v>0</v>
      </c>
    </row>
    <row r="740" spans="1:9" x14ac:dyDescent="0.25">
      <c r="A740" s="18" t="s">
        <v>6319</v>
      </c>
      <c r="B740" s="4" t="s">
        <v>2312</v>
      </c>
      <c r="C740" s="4" t="s">
        <v>890</v>
      </c>
      <c r="D740" s="4" t="s">
        <v>3290</v>
      </c>
      <c r="E740" s="9">
        <v>100.73574297188755</v>
      </c>
      <c r="F740" s="9">
        <v>25083.200000000001</v>
      </c>
      <c r="G740" s="1" t="s">
        <v>6320</v>
      </c>
      <c r="H740" s="1">
        <f>SUMIF([1]Sheet1!$G:$G,A740,[1]Sheet1!$O:$O)</f>
        <v>25083.19</v>
      </c>
      <c r="I740" s="21">
        <f t="shared" si="11"/>
        <v>1.0000000002037268E-2</v>
      </c>
    </row>
    <row r="741" spans="1:9" x14ac:dyDescent="0.25">
      <c r="A741" s="18" t="s">
        <v>11179</v>
      </c>
      <c r="B741" s="4" t="s">
        <v>2313</v>
      </c>
      <c r="C741" s="4" t="s">
        <v>891</v>
      </c>
      <c r="D741" s="4" t="s">
        <v>3290</v>
      </c>
      <c r="E741" s="9">
        <v>82.204999999999998</v>
      </c>
      <c r="F741" s="9">
        <v>164.41</v>
      </c>
      <c r="G741" s="1" t="s">
        <v>11180</v>
      </c>
      <c r="H741" s="1">
        <f>SUMIF([1]Sheet1!$G:$G,A741,[1]Sheet1!$O:$O)</f>
        <v>164.41</v>
      </c>
      <c r="I741" s="21">
        <f t="shared" si="11"/>
        <v>0</v>
      </c>
    </row>
    <row r="742" spans="1:9" x14ac:dyDescent="0.25">
      <c r="A742" s="18" t="s">
        <v>4415</v>
      </c>
      <c r="B742" s="4" t="s">
        <v>2314</v>
      </c>
      <c r="C742" s="4" t="s">
        <v>892</v>
      </c>
      <c r="D742" s="4" t="s">
        <v>3290</v>
      </c>
      <c r="E742" s="9">
        <v>33.9</v>
      </c>
      <c r="F742" s="9">
        <v>67.8</v>
      </c>
      <c r="G742" s="1" t="s">
        <v>4416</v>
      </c>
      <c r="H742" s="1">
        <f>SUMIF([1]Sheet1!$G:$G,A742,[1]Sheet1!$O:$O)</f>
        <v>67.8</v>
      </c>
      <c r="I742" s="21">
        <f t="shared" si="11"/>
        <v>0</v>
      </c>
    </row>
    <row r="743" spans="1:9" x14ac:dyDescent="0.25">
      <c r="A743" s="18" t="s">
        <v>5901</v>
      </c>
      <c r="B743" s="4" t="s">
        <v>2315</v>
      </c>
      <c r="C743" s="4" t="s">
        <v>893</v>
      </c>
      <c r="D743" s="4" t="s">
        <v>3291</v>
      </c>
      <c r="E743" s="9">
        <v>25.42330097087379</v>
      </c>
      <c r="F743" s="9">
        <v>392.79</v>
      </c>
      <c r="G743" s="1" t="s">
        <v>5902</v>
      </c>
      <c r="H743" s="1">
        <f>SUMIF([1]Sheet1!$G:$G,A743,[1]Sheet1!$O:$O)</f>
        <v>392.79</v>
      </c>
      <c r="I743" s="21">
        <f t="shared" si="11"/>
        <v>0</v>
      </c>
    </row>
    <row r="744" spans="1:9" x14ac:dyDescent="0.25">
      <c r="A744" s="18" t="s">
        <v>10924</v>
      </c>
      <c r="B744" s="4" t="s">
        <v>2316</v>
      </c>
      <c r="C744" s="4" t="s">
        <v>894</v>
      </c>
      <c r="D744" s="4" t="s">
        <v>3291</v>
      </c>
      <c r="E744" s="9">
        <v>18.644000000000002</v>
      </c>
      <c r="F744" s="9">
        <v>932.2</v>
      </c>
      <c r="G744" s="1" t="s">
        <v>10925</v>
      </c>
      <c r="H744" s="1">
        <f>SUMIF([1]Sheet1!$G:$G,A744,[1]Sheet1!$O:$O)</f>
        <v>932.2</v>
      </c>
      <c r="I744" s="21">
        <f t="shared" si="11"/>
        <v>0</v>
      </c>
    </row>
    <row r="745" spans="1:9" x14ac:dyDescent="0.25">
      <c r="A745" s="18" t="s">
        <v>10108</v>
      </c>
      <c r="B745" s="4" t="s">
        <v>2317</v>
      </c>
      <c r="C745" s="4" t="s">
        <v>887</v>
      </c>
      <c r="D745" s="4" t="s">
        <v>3290</v>
      </c>
      <c r="E745" s="9">
        <v>68.644545454545451</v>
      </c>
      <c r="F745" s="9">
        <v>2265.27</v>
      </c>
      <c r="G745" s="1" t="s">
        <v>10109</v>
      </c>
      <c r="H745" s="1">
        <f>SUMIF([1]Sheet1!$G:$G,A745,[1]Sheet1!$O:$O)</f>
        <v>2265.27</v>
      </c>
      <c r="I745" s="21">
        <f t="shared" si="11"/>
        <v>0</v>
      </c>
    </row>
    <row r="746" spans="1:9" x14ac:dyDescent="0.25">
      <c r="A746" s="18" t="s">
        <v>10167</v>
      </c>
      <c r="B746" s="4" t="s">
        <v>3154</v>
      </c>
      <c r="C746" s="4" t="s">
        <v>895</v>
      </c>
      <c r="D746" s="4" t="s">
        <v>3290</v>
      </c>
      <c r="E746" s="9">
        <v>154.23764705882354</v>
      </c>
      <c r="F746" s="9">
        <v>2622.04</v>
      </c>
      <c r="G746" s="1" t="s">
        <v>10170</v>
      </c>
      <c r="H746" s="1">
        <f>SUMIF([1]Sheet1!$G:$G,A746,[1]Sheet1!$O:$O)</f>
        <v>2622.04</v>
      </c>
      <c r="I746" s="21">
        <f t="shared" si="11"/>
        <v>0</v>
      </c>
    </row>
    <row r="747" spans="1:9" x14ac:dyDescent="0.25">
      <c r="A747" s="18" t="s">
        <v>10055</v>
      </c>
      <c r="B747" s="4" t="s">
        <v>2318</v>
      </c>
      <c r="C747" s="4" t="s">
        <v>896</v>
      </c>
      <c r="D747" s="4" t="s">
        <v>3290</v>
      </c>
      <c r="E747" s="9">
        <v>197.12880952380951</v>
      </c>
      <c r="F747" s="9">
        <v>16558.82</v>
      </c>
      <c r="G747" s="1" t="s">
        <v>10058</v>
      </c>
      <c r="H747" s="1">
        <f>SUMIF([1]Sheet1!$G:$G,A747,[1]Sheet1!$O:$O)</f>
        <v>16558.82</v>
      </c>
      <c r="I747" s="21">
        <f t="shared" si="11"/>
        <v>0</v>
      </c>
    </row>
    <row r="748" spans="1:9" x14ac:dyDescent="0.25">
      <c r="A748" s="18" t="s">
        <v>9225</v>
      </c>
      <c r="B748" s="4" t="s">
        <v>2319</v>
      </c>
      <c r="C748" s="4" t="s">
        <v>897</v>
      </c>
      <c r="D748" s="4" t="s">
        <v>3290</v>
      </c>
      <c r="E748" s="9">
        <v>95.236666666666665</v>
      </c>
      <c r="F748" s="9">
        <v>571.41999999999996</v>
      </c>
      <c r="G748" s="1" t="s">
        <v>9226</v>
      </c>
      <c r="H748" s="1">
        <f>SUMIF([1]Sheet1!$G:$G,A748,[1]Sheet1!$O:$O)</f>
        <v>571.41999999999996</v>
      </c>
      <c r="I748" s="21">
        <f t="shared" si="11"/>
        <v>0</v>
      </c>
    </row>
    <row r="749" spans="1:9" x14ac:dyDescent="0.25">
      <c r="A749" s="18" t="s">
        <v>8545</v>
      </c>
      <c r="B749" s="4" t="s">
        <v>2320</v>
      </c>
      <c r="C749" s="4" t="s">
        <v>898</v>
      </c>
      <c r="D749" s="4" t="s">
        <v>3289</v>
      </c>
      <c r="E749" s="9">
        <v>38.134999999999998</v>
      </c>
      <c r="F749" s="9">
        <v>152.54</v>
      </c>
      <c r="G749" s="1" t="s">
        <v>8546</v>
      </c>
      <c r="H749" s="1">
        <f>SUMIF([1]Sheet1!$G:$G,A749,[1]Sheet1!$O:$O)</f>
        <v>152.54</v>
      </c>
      <c r="I749" s="21">
        <f t="shared" si="11"/>
        <v>0</v>
      </c>
    </row>
    <row r="750" spans="1:9" x14ac:dyDescent="0.25">
      <c r="A750" s="18" t="s">
        <v>8908</v>
      </c>
      <c r="B750" s="4" t="s">
        <v>2321</v>
      </c>
      <c r="C750" s="4" t="s">
        <v>899</v>
      </c>
      <c r="D750" s="4" t="s">
        <v>3290</v>
      </c>
      <c r="E750" s="9">
        <v>35.593072625698326</v>
      </c>
      <c r="F750" s="9">
        <v>6371.1600000000008</v>
      </c>
      <c r="G750" s="1" t="s">
        <v>8909</v>
      </c>
      <c r="H750" s="1">
        <f>SUMIF([1]Sheet1!$G:$G,A750,[1]Sheet1!$O:$O)</f>
        <v>6335.57</v>
      </c>
      <c r="I750" s="21">
        <f t="shared" si="11"/>
        <v>35.590000000001055</v>
      </c>
    </row>
    <row r="751" spans="1:9" x14ac:dyDescent="0.25">
      <c r="A751" s="18" t="s">
        <v>11105</v>
      </c>
      <c r="B751" s="4" t="s">
        <v>2322</v>
      </c>
      <c r="C751" s="4" t="s">
        <v>900</v>
      </c>
      <c r="D751" s="4" t="s">
        <v>3289</v>
      </c>
      <c r="E751" s="9">
        <v>35</v>
      </c>
      <c r="F751" s="9">
        <v>17.5</v>
      </c>
      <c r="G751" s="1" t="s">
        <v>11106</v>
      </c>
      <c r="H751" s="1">
        <f>SUMIF([1]Sheet1!$G:$G,A751,[1]Sheet1!$O:$O)</f>
        <v>17.5</v>
      </c>
      <c r="I751" s="21">
        <f t="shared" si="11"/>
        <v>0</v>
      </c>
    </row>
    <row r="752" spans="1:9" x14ac:dyDescent="0.25">
      <c r="A752" s="18" t="s">
        <v>5965</v>
      </c>
      <c r="B752" s="4" t="s">
        <v>2323</v>
      </c>
      <c r="C752" s="4" t="s">
        <v>901</v>
      </c>
      <c r="D752" s="4" t="s">
        <v>3289</v>
      </c>
      <c r="E752" s="9">
        <v>14.11700680272109</v>
      </c>
      <c r="F752" s="9">
        <v>830.08</v>
      </c>
      <c r="G752" s="1" t="s">
        <v>5966</v>
      </c>
      <c r="H752" s="1">
        <f>SUMIF([1]Sheet1!$G:$G,A752,[1]Sheet1!$O:$O)</f>
        <v>830.08</v>
      </c>
      <c r="I752" s="21">
        <f t="shared" si="11"/>
        <v>0</v>
      </c>
    </row>
    <row r="753" spans="1:9" x14ac:dyDescent="0.25">
      <c r="A753" s="18" t="s">
        <v>9857</v>
      </c>
      <c r="B753" s="4" t="s">
        <v>2324</v>
      </c>
      <c r="C753" s="4" t="s">
        <v>902</v>
      </c>
      <c r="D753" s="4" t="s">
        <v>3290</v>
      </c>
      <c r="E753" s="9">
        <v>1016.9466666666667</v>
      </c>
      <c r="F753" s="9">
        <v>6101.68</v>
      </c>
      <c r="G753" s="1" t="s">
        <v>9860</v>
      </c>
      <c r="H753" s="1">
        <f>SUMIF([1]Sheet1!$G:$G,A753,[1]Sheet1!$O:$O)</f>
        <v>6101.68</v>
      </c>
      <c r="I753" s="21">
        <f t="shared" si="11"/>
        <v>0</v>
      </c>
    </row>
    <row r="754" spans="1:9" x14ac:dyDescent="0.25">
      <c r="A754" s="18" t="s">
        <v>7070</v>
      </c>
      <c r="B754" s="4" t="s">
        <v>2325</v>
      </c>
      <c r="C754" s="4" t="s">
        <v>903</v>
      </c>
      <c r="D754" s="4" t="s">
        <v>3289</v>
      </c>
      <c r="E754" s="9">
        <v>80.50833333333334</v>
      </c>
      <c r="F754" s="9">
        <v>483.05000000000007</v>
      </c>
      <c r="G754" s="1" t="s">
        <v>7071</v>
      </c>
      <c r="H754" s="1">
        <f>SUMIF([1]Sheet1!$G:$G,A754,[1]Sheet1!$O:$O)</f>
        <v>483.05</v>
      </c>
      <c r="I754" s="21">
        <f t="shared" si="11"/>
        <v>0</v>
      </c>
    </row>
    <row r="755" spans="1:9" x14ac:dyDescent="0.25">
      <c r="A755" s="18" t="s">
        <v>10807</v>
      </c>
      <c r="B755" s="4" t="s">
        <v>2326</v>
      </c>
      <c r="C755" s="4" t="s">
        <v>904</v>
      </c>
      <c r="D755" s="4" t="s">
        <v>3290</v>
      </c>
      <c r="E755" s="9">
        <v>11.865</v>
      </c>
      <c r="F755" s="9">
        <v>23.73</v>
      </c>
      <c r="G755" s="1" t="s">
        <v>10808</v>
      </c>
      <c r="H755" s="1">
        <f>SUMIF([1]Sheet1!$G:$G,A755,[1]Sheet1!$O:$O)</f>
        <v>23.73</v>
      </c>
      <c r="I755" s="21">
        <f t="shared" si="11"/>
        <v>0</v>
      </c>
    </row>
    <row r="756" spans="1:9" x14ac:dyDescent="0.25">
      <c r="A756" s="18" t="s">
        <v>3706</v>
      </c>
      <c r="B756" s="4" t="s">
        <v>2327</v>
      </c>
      <c r="C756" s="4" t="s">
        <v>905</v>
      </c>
      <c r="D756" s="4" t="s">
        <v>3290</v>
      </c>
      <c r="E756" s="9">
        <v>194.16199999999998</v>
      </c>
      <c r="F756" s="9">
        <v>3883.24</v>
      </c>
      <c r="G756" s="1" t="s">
        <v>3707</v>
      </c>
      <c r="H756" s="1">
        <f>SUMIF([1]Sheet1!$G:$G,A756,[1]Sheet1!$O:$O)</f>
        <v>3883.24</v>
      </c>
      <c r="I756" s="21">
        <f t="shared" si="11"/>
        <v>0</v>
      </c>
    </row>
    <row r="757" spans="1:9" x14ac:dyDescent="0.25">
      <c r="A757" s="18" t="s">
        <v>10537</v>
      </c>
      <c r="B757" s="4" t="s">
        <v>2328</v>
      </c>
      <c r="C757" s="4" t="s">
        <v>906</v>
      </c>
      <c r="D757" s="4" t="s">
        <v>3290</v>
      </c>
      <c r="E757" s="9">
        <v>33.896666666666668</v>
      </c>
      <c r="F757" s="9">
        <v>203.38</v>
      </c>
      <c r="G757" s="1" t="s">
        <v>10538</v>
      </c>
      <c r="H757" s="1">
        <f>SUMIF([1]Sheet1!$G:$G,A757,[1]Sheet1!$O:$O)</f>
        <v>203.38</v>
      </c>
      <c r="I757" s="21">
        <f t="shared" si="11"/>
        <v>0</v>
      </c>
    </row>
    <row r="758" spans="1:9" x14ac:dyDescent="0.25">
      <c r="A758" s="18" t="s">
        <v>3739</v>
      </c>
      <c r="B758" s="4" t="s">
        <v>2329</v>
      </c>
      <c r="C758" s="4" t="s">
        <v>907</v>
      </c>
      <c r="D758" s="4" t="s">
        <v>3290</v>
      </c>
      <c r="E758" s="9">
        <v>355.93</v>
      </c>
      <c r="F758" s="9">
        <v>711.86</v>
      </c>
      <c r="G758" s="1" t="s">
        <v>3740</v>
      </c>
      <c r="H758" s="1">
        <f>SUMIF([1]Sheet1!$G:$G,A758,[1]Sheet1!$O:$O)</f>
        <v>711.86</v>
      </c>
      <c r="I758" s="21">
        <f t="shared" si="11"/>
        <v>0</v>
      </c>
    </row>
    <row r="759" spans="1:9" x14ac:dyDescent="0.25">
      <c r="A759" s="18" t="s">
        <v>10541</v>
      </c>
      <c r="B759" s="4" t="s">
        <v>2330</v>
      </c>
      <c r="C759" s="4" t="s">
        <v>908</v>
      </c>
      <c r="D759" s="4" t="s">
        <v>3290</v>
      </c>
      <c r="E759" s="9">
        <v>211.86500000000001</v>
      </c>
      <c r="F759" s="9">
        <v>847.46</v>
      </c>
      <c r="G759" s="1" t="s">
        <v>10542</v>
      </c>
      <c r="H759" s="1">
        <f>SUMIF([1]Sheet1!$G:$G,A759,[1]Sheet1!$O:$O)</f>
        <v>847.46</v>
      </c>
      <c r="I759" s="21">
        <f t="shared" si="11"/>
        <v>0</v>
      </c>
    </row>
    <row r="760" spans="1:9" x14ac:dyDescent="0.25">
      <c r="A760" s="18" t="s">
        <v>10543</v>
      </c>
      <c r="B760" s="4" t="s">
        <v>2331</v>
      </c>
      <c r="C760" s="4" t="s">
        <v>909</v>
      </c>
      <c r="D760" s="4" t="s">
        <v>3290</v>
      </c>
      <c r="E760" s="9">
        <v>177.96428571428572</v>
      </c>
      <c r="F760" s="9">
        <v>1245.75</v>
      </c>
      <c r="G760" s="1" t="s">
        <v>10544</v>
      </c>
      <c r="H760" s="1">
        <f>SUMIF([1]Sheet1!$G:$G,A760,[1]Sheet1!$O:$O)</f>
        <v>1245.75</v>
      </c>
      <c r="I760" s="21">
        <f t="shared" si="11"/>
        <v>0</v>
      </c>
    </row>
    <row r="761" spans="1:9" x14ac:dyDescent="0.25">
      <c r="A761" s="18" t="s">
        <v>4959</v>
      </c>
      <c r="B761" s="4" t="s">
        <v>3155</v>
      </c>
      <c r="C761" s="4" t="s">
        <v>910</v>
      </c>
      <c r="D761" s="4" t="s">
        <v>3290</v>
      </c>
      <c r="E761" s="9">
        <v>250</v>
      </c>
      <c r="F761" s="9">
        <v>250</v>
      </c>
      <c r="G761" s="1" t="s">
        <v>4960</v>
      </c>
      <c r="H761" s="1">
        <f>SUMIF([1]Sheet1!$G:$G,A761,[1]Sheet1!$O:$O)</f>
        <v>250</v>
      </c>
      <c r="I761" s="21">
        <f t="shared" si="11"/>
        <v>0</v>
      </c>
    </row>
    <row r="762" spans="1:9" x14ac:dyDescent="0.25">
      <c r="A762" s="18" t="s">
        <v>4961</v>
      </c>
      <c r="B762" s="4" t="s">
        <v>3156</v>
      </c>
      <c r="C762" s="4" t="s">
        <v>910</v>
      </c>
      <c r="D762" s="4" t="s">
        <v>3290</v>
      </c>
      <c r="E762" s="9">
        <v>250</v>
      </c>
      <c r="F762" s="9">
        <v>250</v>
      </c>
      <c r="G762" s="1" t="s">
        <v>4962</v>
      </c>
      <c r="H762" s="1">
        <f>SUMIF([1]Sheet1!$G:$G,A762,[1]Sheet1!$O:$O)</f>
        <v>250</v>
      </c>
      <c r="I762" s="21">
        <f t="shared" si="11"/>
        <v>0</v>
      </c>
    </row>
    <row r="763" spans="1:9" x14ac:dyDescent="0.25">
      <c r="A763" s="18" t="s">
        <v>4963</v>
      </c>
      <c r="B763" s="4" t="s">
        <v>3157</v>
      </c>
      <c r="C763" s="4" t="s">
        <v>910</v>
      </c>
      <c r="D763" s="4" t="s">
        <v>3290</v>
      </c>
      <c r="E763" s="9">
        <v>250</v>
      </c>
      <c r="F763" s="9">
        <v>250</v>
      </c>
      <c r="G763" s="1" t="s">
        <v>4964</v>
      </c>
      <c r="H763" s="1">
        <f>SUMIF([1]Sheet1!$G:$G,A763,[1]Sheet1!$O:$O)</f>
        <v>250</v>
      </c>
      <c r="I763" s="21">
        <f t="shared" si="11"/>
        <v>0</v>
      </c>
    </row>
    <row r="764" spans="1:9" x14ac:dyDescent="0.25">
      <c r="A764" s="18" t="s">
        <v>4967</v>
      </c>
      <c r="B764" s="4" t="s">
        <v>3158</v>
      </c>
      <c r="C764" s="4" t="s">
        <v>910</v>
      </c>
      <c r="D764" s="4" t="s">
        <v>3290</v>
      </c>
      <c r="E764" s="9">
        <v>250</v>
      </c>
      <c r="F764" s="9">
        <v>250</v>
      </c>
      <c r="G764" s="1" t="s">
        <v>4968</v>
      </c>
      <c r="H764" s="1">
        <f>SUMIF([1]Sheet1!$G:$G,A764,[1]Sheet1!$O:$O)</f>
        <v>250</v>
      </c>
      <c r="I764" s="21">
        <f t="shared" si="11"/>
        <v>0</v>
      </c>
    </row>
    <row r="765" spans="1:9" x14ac:dyDescent="0.25">
      <c r="A765" s="18" t="s">
        <v>4965</v>
      </c>
      <c r="B765" s="4" t="s">
        <v>3159</v>
      </c>
      <c r="C765" s="4" t="s">
        <v>910</v>
      </c>
      <c r="D765" s="4" t="s">
        <v>3290</v>
      </c>
      <c r="E765" s="9">
        <v>250</v>
      </c>
      <c r="F765" s="9">
        <v>250</v>
      </c>
      <c r="G765" s="1" t="s">
        <v>4966</v>
      </c>
      <c r="H765" s="1">
        <f>SUMIF([1]Sheet1!$G:$G,A765,[1]Sheet1!$O:$O)</f>
        <v>250</v>
      </c>
      <c r="I765" s="21">
        <f t="shared" si="11"/>
        <v>0</v>
      </c>
    </row>
    <row r="766" spans="1:9" x14ac:dyDescent="0.25">
      <c r="A766" s="18" t="s">
        <v>6458</v>
      </c>
      <c r="B766" s="4" t="s">
        <v>3160</v>
      </c>
      <c r="C766" s="4" t="s">
        <v>911</v>
      </c>
      <c r="D766" s="4" t="s">
        <v>3290</v>
      </c>
      <c r="E766" s="9">
        <v>200</v>
      </c>
      <c r="F766" s="9">
        <v>200</v>
      </c>
      <c r="G766" s="1" t="s">
        <v>6459</v>
      </c>
      <c r="H766" s="1">
        <f>SUMIF([1]Sheet1!$G:$G,A766,[1]Sheet1!$O:$O)</f>
        <v>200</v>
      </c>
      <c r="I766" s="21">
        <f t="shared" si="11"/>
        <v>0</v>
      </c>
    </row>
    <row r="767" spans="1:9" x14ac:dyDescent="0.25">
      <c r="A767" s="18" t="s">
        <v>6462</v>
      </c>
      <c r="B767" s="4" t="s">
        <v>3161</v>
      </c>
      <c r="C767" s="4" t="s">
        <v>911</v>
      </c>
      <c r="D767" s="4" t="s">
        <v>3290</v>
      </c>
      <c r="E767" s="9">
        <v>200</v>
      </c>
      <c r="F767" s="9">
        <v>200</v>
      </c>
      <c r="G767" s="1" t="s">
        <v>6463</v>
      </c>
      <c r="H767" s="1">
        <f>SUMIF([1]Sheet1!$G:$G,A767,[1]Sheet1!$O:$O)</f>
        <v>200</v>
      </c>
      <c r="I767" s="21">
        <f t="shared" si="11"/>
        <v>0</v>
      </c>
    </row>
    <row r="768" spans="1:9" x14ac:dyDescent="0.25">
      <c r="A768" s="18" t="s">
        <v>6460</v>
      </c>
      <c r="B768" s="4" t="s">
        <v>3162</v>
      </c>
      <c r="C768" s="4" t="s">
        <v>911</v>
      </c>
      <c r="D768" s="4" t="s">
        <v>3290</v>
      </c>
      <c r="E768" s="9">
        <v>200</v>
      </c>
      <c r="F768" s="9">
        <v>200</v>
      </c>
      <c r="G768" s="1" t="s">
        <v>6461</v>
      </c>
      <c r="H768" s="1">
        <f>SUMIF([1]Sheet1!$G:$G,A768,[1]Sheet1!$O:$O)</f>
        <v>200</v>
      </c>
      <c r="I768" s="21">
        <f t="shared" si="11"/>
        <v>0</v>
      </c>
    </row>
    <row r="769" spans="1:9" x14ac:dyDescent="0.25">
      <c r="A769" s="18" t="s">
        <v>6456</v>
      </c>
      <c r="B769" s="4" t="s">
        <v>3163</v>
      </c>
      <c r="C769" s="4" t="s">
        <v>911</v>
      </c>
      <c r="D769" s="4" t="s">
        <v>3290</v>
      </c>
      <c r="E769" s="9">
        <v>200</v>
      </c>
      <c r="F769" s="9">
        <v>200</v>
      </c>
      <c r="G769" s="1" t="s">
        <v>6457</v>
      </c>
      <c r="H769" s="1">
        <f>SUMIF([1]Sheet1!$G:$G,A769,[1]Sheet1!$O:$O)</f>
        <v>200</v>
      </c>
      <c r="I769" s="21">
        <f t="shared" si="11"/>
        <v>0</v>
      </c>
    </row>
    <row r="770" spans="1:9" x14ac:dyDescent="0.25">
      <c r="A770" s="18" t="s">
        <v>10578</v>
      </c>
      <c r="B770" s="4" t="s">
        <v>3164</v>
      </c>
      <c r="C770" s="4" t="s">
        <v>912</v>
      </c>
      <c r="D770" s="4" t="s">
        <v>3290</v>
      </c>
      <c r="E770" s="9">
        <v>489</v>
      </c>
      <c r="F770" s="9">
        <v>489</v>
      </c>
      <c r="G770" s="1" t="s">
        <v>10579</v>
      </c>
      <c r="H770" s="1">
        <f>SUMIF([1]Sheet1!$G:$G,A770,[1]Sheet1!$O:$O)</f>
        <v>489</v>
      </c>
      <c r="I770" s="21">
        <f t="shared" si="11"/>
        <v>0</v>
      </c>
    </row>
    <row r="771" spans="1:9" x14ac:dyDescent="0.25">
      <c r="A771" s="18" t="s">
        <v>4870</v>
      </c>
      <c r="B771" s="4" t="s">
        <v>3165</v>
      </c>
      <c r="C771" s="4" t="s">
        <v>913</v>
      </c>
      <c r="D771" s="4" t="s">
        <v>3290</v>
      </c>
      <c r="E771" s="9">
        <v>230</v>
      </c>
      <c r="F771" s="9">
        <v>230</v>
      </c>
      <c r="G771" s="1" t="s">
        <v>4871</v>
      </c>
      <c r="H771" s="1">
        <f>SUMIF([1]Sheet1!$G:$G,A771,[1]Sheet1!$O:$O)</f>
        <v>230</v>
      </c>
      <c r="I771" s="21">
        <f t="shared" ref="I771:I834" si="12">F771-H771</f>
        <v>0</v>
      </c>
    </row>
    <row r="772" spans="1:9" x14ac:dyDescent="0.25">
      <c r="A772" s="18" t="s">
        <v>4860</v>
      </c>
      <c r="B772" s="4" t="s">
        <v>3166</v>
      </c>
      <c r="C772" s="4" t="s">
        <v>914</v>
      </c>
      <c r="D772" s="4" t="s">
        <v>3290</v>
      </c>
      <c r="E772" s="9">
        <v>3718.04</v>
      </c>
      <c r="F772" s="9">
        <v>3718.04</v>
      </c>
      <c r="G772" s="1" t="s">
        <v>4863</v>
      </c>
      <c r="H772" s="1">
        <f>SUMIF([1]Sheet1!$G:$G,A772,[1]Sheet1!$O:$O)</f>
        <v>3718.04</v>
      </c>
      <c r="I772" s="21">
        <f t="shared" si="12"/>
        <v>0</v>
      </c>
    </row>
    <row r="773" spans="1:9" x14ac:dyDescent="0.25">
      <c r="A773" s="18" t="s">
        <v>3342</v>
      </c>
      <c r="B773" s="4" t="s">
        <v>3167</v>
      </c>
      <c r="C773" s="4" t="s">
        <v>915</v>
      </c>
      <c r="D773" s="4" t="s">
        <v>3290</v>
      </c>
      <c r="E773" s="9">
        <v>427.6</v>
      </c>
      <c r="F773" s="9">
        <v>427.6</v>
      </c>
      <c r="G773" s="1" t="s">
        <v>3345</v>
      </c>
      <c r="H773" s="1">
        <f>SUMIF([1]Sheet1!$G:$G,A773,[1]Sheet1!$O:$O)</f>
        <v>427.6</v>
      </c>
      <c r="I773" s="21">
        <f t="shared" si="12"/>
        <v>0</v>
      </c>
    </row>
    <row r="774" spans="1:9" x14ac:dyDescent="0.25">
      <c r="A774" s="18" t="s">
        <v>3346</v>
      </c>
      <c r="B774" s="4" t="s">
        <v>3168</v>
      </c>
      <c r="C774" s="4" t="s">
        <v>916</v>
      </c>
      <c r="D774" s="4" t="s">
        <v>3290</v>
      </c>
      <c r="E774" s="9">
        <v>427.6</v>
      </c>
      <c r="F774" s="9">
        <v>427.6</v>
      </c>
      <c r="G774" s="1" t="s">
        <v>3347</v>
      </c>
      <c r="H774" s="1">
        <f>SUMIF([1]Sheet1!$G:$G,A774,[1]Sheet1!$O:$O)</f>
        <v>427.6</v>
      </c>
      <c r="I774" s="21">
        <f t="shared" si="12"/>
        <v>0</v>
      </c>
    </row>
    <row r="775" spans="1:9" x14ac:dyDescent="0.25">
      <c r="A775" s="18" t="s">
        <v>4955</v>
      </c>
      <c r="B775" s="4" t="s">
        <v>3169</v>
      </c>
      <c r="C775" s="4" t="s">
        <v>917</v>
      </c>
      <c r="D775" s="4" t="s">
        <v>3290</v>
      </c>
      <c r="E775" s="9">
        <v>1448.47</v>
      </c>
      <c r="F775" s="9">
        <v>1448.47</v>
      </c>
      <c r="G775" s="1" t="s">
        <v>4956</v>
      </c>
      <c r="H775" s="1">
        <f>SUMIF([1]Sheet1!$G:$G,A775,[1]Sheet1!$O:$O)</f>
        <v>1448.47</v>
      </c>
      <c r="I775" s="21">
        <f t="shared" si="12"/>
        <v>0</v>
      </c>
    </row>
    <row r="776" spans="1:9" x14ac:dyDescent="0.25">
      <c r="A776" s="18" t="s">
        <v>4957</v>
      </c>
      <c r="B776" s="4" t="s">
        <v>3170</v>
      </c>
      <c r="C776" s="4" t="s">
        <v>917</v>
      </c>
      <c r="D776" s="4" t="s">
        <v>3290</v>
      </c>
      <c r="E776" s="9">
        <v>1448.47</v>
      </c>
      <c r="F776" s="9">
        <v>1448.47</v>
      </c>
      <c r="G776" s="1" t="s">
        <v>4958</v>
      </c>
      <c r="H776" s="1">
        <f>SUMIF([1]Sheet1!$G:$G,A776,[1]Sheet1!$O:$O)</f>
        <v>1448.47</v>
      </c>
      <c r="I776" s="21">
        <f t="shared" si="12"/>
        <v>0</v>
      </c>
    </row>
    <row r="777" spans="1:9" x14ac:dyDescent="0.25">
      <c r="A777" s="18" t="s">
        <v>4953</v>
      </c>
      <c r="B777" s="4" t="s">
        <v>3171</v>
      </c>
      <c r="C777" s="4" t="s">
        <v>917</v>
      </c>
      <c r="D777" s="4" t="s">
        <v>3290</v>
      </c>
      <c r="E777" s="9">
        <v>1448.47</v>
      </c>
      <c r="F777" s="9">
        <v>1448.47</v>
      </c>
      <c r="G777" s="1" t="s">
        <v>4954</v>
      </c>
      <c r="H777" s="1">
        <f>SUMIF([1]Sheet1!$G:$G,A777,[1]Sheet1!$O:$O)</f>
        <v>1448.47</v>
      </c>
      <c r="I777" s="21">
        <f t="shared" si="12"/>
        <v>0</v>
      </c>
    </row>
    <row r="778" spans="1:9" x14ac:dyDescent="0.25">
      <c r="A778" s="18" t="s">
        <v>4864</v>
      </c>
      <c r="B778" s="4" t="s">
        <v>3172</v>
      </c>
      <c r="C778" s="4" t="s">
        <v>914</v>
      </c>
      <c r="D778" s="4" t="s">
        <v>3290</v>
      </c>
      <c r="E778" s="9">
        <v>1220.8</v>
      </c>
      <c r="F778" s="9">
        <v>1220.8</v>
      </c>
      <c r="G778" s="1" t="s">
        <v>4865</v>
      </c>
      <c r="H778" s="1">
        <f>SUMIF([1]Sheet1!$G:$G,A778,[1]Sheet1!$O:$O)</f>
        <v>1220.8</v>
      </c>
      <c r="I778" s="21">
        <f t="shared" si="12"/>
        <v>0</v>
      </c>
    </row>
    <row r="779" spans="1:9" x14ac:dyDescent="0.25">
      <c r="A779" s="18" t="s">
        <v>4866</v>
      </c>
      <c r="B779" s="4" t="s">
        <v>3173</v>
      </c>
      <c r="C779" s="4" t="s">
        <v>914</v>
      </c>
      <c r="D779" s="4" t="s">
        <v>3290</v>
      </c>
      <c r="E779" s="9">
        <v>1220.8</v>
      </c>
      <c r="F779" s="9">
        <v>1220.8</v>
      </c>
      <c r="G779" s="1" t="s">
        <v>4867</v>
      </c>
      <c r="H779" s="1">
        <f>SUMIF([1]Sheet1!$G:$G,A779,[1]Sheet1!$O:$O)</f>
        <v>1220.8</v>
      </c>
      <c r="I779" s="21">
        <f t="shared" si="12"/>
        <v>0</v>
      </c>
    </row>
    <row r="780" spans="1:9" x14ac:dyDescent="0.25">
      <c r="A780" s="18" t="s">
        <v>9977</v>
      </c>
      <c r="B780" s="4" t="s">
        <v>2332</v>
      </c>
      <c r="C780" s="4" t="s">
        <v>918</v>
      </c>
      <c r="D780" s="4" t="s">
        <v>3290</v>
      </c>
      <c r="E780" s="9">
        <v>0.67812499999999998</v>
      </c>
      <c r="F780" s="9">
        <v>10.85</v>
      </c>
      <c r="G780" s="1" t="s">
        <v>9978</v>
      </c>
      <c r="H780" s="1">
        <f>SUMIF([1]Sheet1!$G:$G,A780,[1]Sheet1!$O:$O)</f>
        <v>10.85</v>
      </c>
      <c r="I780" s="21">
        <f t="shared" si="12"/>
        <v>0</v>
      </c>
    </row>
    <row r="781" spans="1:9" x14ac:dyDescent="0.25">
      <c r="A781" s="18" t="s">
        <v>5817</v>
      </c>
      <c r="B781" s="4" t="s">
        <v>2333</v>
      </c>
      <c r="C781" s="4" t="s">
        <v>919</v>
      </c>
      <c r="D781" s="4" t="s">
        <v>3290</v>
      </c>
      <c r="E781" s="9">
        <v>8.8212500000000009</v>
      </c>
      <c r="F781" s="9">
        <v>493.99000000000007</v>
      </c>
      <c r="G781" s="1" t="s">
        <v>5818</v>
      </c>
      <c r="H781" s="1">
        <f>SUMIF([1]Sheet1!$G:$G,A781,[1]Sheet1!$O:$O)</f>
        <v>493.99</v>
      </c>
      <c r="I781" s="21">
        <f t="shared" si="12"/>
        <v>0</v>
      </c>
    </row>
    <row r="782" spans="1:9" x14ac:dyDescent="0.25">
      <c r="A782" s="18" t="s">
        <v>5153</v>
      </c>
      <c r="B782" s="4" t="s">
        <v>2334</v>
      </c>
      <c r="C782" s="4" t="s">
        <v>920</v>
      </c>
      <c r="D782" s="4" t="s">
        <v>3292</v>
      </c>
      <c r="E782" s="9">
        <v>8.4421708871502865</v>
      </c>
      <c r="F782" s="9">
        <v>5470.78</v>
      </c>
      <c r="G782" s="1" t="s">
        <v>5154</v>
      </c>
      <c r="H782" s="1">
        <f>SUMIF([1]Sheet1!$G:$G,A782,[1]Sheet1!$O:$O)</f>
        <v>5470.8</v>
      </c>
      <c r="I782" s="21">
        <f t="shared" si="12"/>
        <v>-2.0000000000436557E-2</v>
      </c>
    </row>
    <row r="783" spans="1:9" x14ac:dyDescent="0.25">
      <c r="A783" s="18" t="s">
        <v>7692</v>
      </c>
      <c r="B783" s="4" t="s">
        <v>2335</v>
      </c>
      <c r="C783" s="4" t="s">
        <v>921</v>
      </c>
      <c r="D783" s="4" t="s">
        <v>3290</v>
      </c>
      <c r="E783" s="9">
        <v>59.32</v>
      </c>
      <c r="F783" s="9">
        <v>118.64</v>
      </c>
      <c r="G783" s="1" t="s">
        <v>7693</v>
      </c>
      <c r="H783" s="1">
        <f>SUMIF([1]Sheet1!$G:$G,A783,[1]Sheet1!$O:$O)</f>
        <v>118.64</v>
      </c>
      <c r="I783" s="21">
        <f t="shared" si="12"/>
        <v>0</v>
      </c>
    </row>
    <row r="784" spans="1:9" x14ac:dyDescent="0.25">
      <c r="A784" s="18" t="s">
        <v>7654</v>
      </c>
      <c r="B784" s="4" t="s">
        <v>2336</v>
      </c>
      <c r="C784" s="4" t="s">
        <v>922</v>
      </c>
      <c r="D784" s="4" t="s">
        <v>3290</v>
      </c>
      <c r="E784" s="9">
        <v>42.375</v>
      </c>
      <c r="F784" s="9">
        <v>84.75</v>
      </c>
      <c r="G784" s="1" t="s">
        <v>7655</v>
      </c>
      <c r="H784" s="1">
        <f>SUMIF([1]Sheet1!$G:$G,A784,[1]Sheet1!$O:$O)</f>
        <v>84.75</v>
      </c>
      <c r="I784" s="21">
        <f t="shared" si="12"/>
        <v>0</v>
      </c>
    </row>
    <row r="785" spans="1:9" x14ac:dyDescent="0.25">
      <c r="A785" s="18" t="s">
        <v>7312</v>
      </c>
      <c r="B785" s="4" t="s">
        <v>2337</v>
      </c>
      <c r="C785" s="4" t="s">
        <v>923</v>
      </c>
      <c r="D785" s="4" t="s">
        <v>3289</v>
      </c>
      <c r="E785" s="9">
        <v>536.267545925577</v>
      </c>
      <c r="F785" s="9">
        <v>11384.96</v>
      </c>
      <c r="G785" s="1" t="s">
        <v>7313</v>
      </c>
      <c r="H785" s="1">
        <f>SUMIF([1]Sheet1!$G:$G,A785,[1]Sheet1!$O:$O)</f>
        <v>11384.96</v>
      </c>
      <c r="I785" s="21">
        <f t="shared" si="12"/>
        <v>0</v>
      </c>
    </row>
    <row r="786" spans="1:9" x14ac:dyDescent="0.25">
      <c r="A786" s="18" t="s">
        <v>7274</v>
      </c>
      <c r="B786" s="4" t="s">
        <v>2338</v>
      </c>
      <c r="C786" s="4" t="s">
        <v>924</v>
      </c>
      <c r="D786" s="4" t="s">
        <v>3289</v>
      </c>
      <c r="E786" s="9">
        <v>284.74568638090068</v>
      </c>
      <c r="F786" s="9">
        <v>52478.63</v>
      </c>
      <c r="G786" s="1" t="s">
        <v>7275</v>
      </c>
      <c r="H786" s="1">
        <f>SUMIF([1]Sheet1!$G:$G,A786,[1]Sheet1!$O:$O)</f>
        <v>52478.63</v>
      </c>
      <c r="I786" s="21">
        <f t="shared" si="12"/>
        <v>0</v>
      </c>
    </row>
    <row r="787" spans="1:9" x14ac:dyDescent="0.25">
      <c r="A787" s="18" t="s">
        <v>7164</v>
      </c>
      <c r="B787" s="4" t="s">
        <v>2339</v>
      </c>
      <c r="C787" s="4" t="s">
        <v>925</v>
      </c>
      <c r="D787" s="4" t="s">
        <v>3289</v>
      </c>
      <c r="E787" s="9">
        <v>221.23780487804879</v>
      </c>
      <c r="F787" s="9">
        <v>362.83</v>
      </c>
      <c r="G787" s="1" t="s">
        <v>7165</v>
      </c>
      <c r="H787" s="1">
        <f>SUMIF([1]Sheet1!$G:$G,A787,[1]Sheet1!$O:$O)</f>
        <v>362.83</v>
      </c>
      <c r="I787" s="21">
        <f t="shared" si="12"/>
        <v>0</v>
      </c>
    </row>
    <row r="788" spans="1:9" x14ac:dyDescent="0.25">
      <c r="A788" s="18" t="s">
        <v>7091</v>
      </c>
      <c r="B788" s="4" t="s">
        <v>2340</v>
      </c>
      <c r="C788" s="4" t="s">
        <v>926</v>
      </c>
      <c r="D788" s="4" t="s">
        <v>3289</v>
      </c>
      <c r="E788" s="9">
        <v>93.224999999999994</v>
      </c>
      <c r="F788" s="9">
        <v>74.58</v>
      </c>
      <c r="G788" s="1" t="s">
        <v>7092</v>
      </c>
      <c r="H788" s="1">
        <f>SUMIF([1]Sheet1!$G:$G,A788,[1]Sheet1!$O:$O)</f>
        <v>74.58</v>
      </c>
      <c r="I788" s="21">
        <f t="shared" si="12"/>
        <v>0</v>
      </c>
    </row>
    <row r="789" spans="1:9" x14ac:dyDescent="0.25">
      <c r="A789" s="18" t="s">
        <v>7205</v>
      </c>
      <c r="B789" s="4" t="s">
        <v>2341</v>
      </c>
      <c r="C789" s="4" t="s">
        <v>927</v>
      </c>
      <c r="D789" s="4" t="s">
        <v>3289</v>
      </c>
      <c r="E789" s="9">
        <v>305.76358695652175</v>
      </c>
      <c r="F789" s="9">
        <v>1125.21</v>
      </c>
      <c r="G789" s="1" t="s">
        <v>7206</v>
      </c>
      <c r="H789" s="1">
        <f>SUMIF([1]Sheet1!$G:$G,A789,[1]Sheet1!$O:$O)</f>
        <v>1125.21</v>
      </c>
      <c r="I789" s="21">
        <f t="shared" si="12"/>
        <v>0</v>
      </c>
    </row>
    <row r="790" spans="1:9" x14ac:dyDescent="0.25">
      <c r="A790" s="18" t="s">
        <v>7207</v>
      </c>
      <c r="B790" s="4" t="s">
        <v>2342</v>
      </c>
      <c r="C790" s="4" t="s">
        <v>928</v>
      </c>
      <c r="D790" s="4" t="s">
        <v>3289</v>
      </c>
      <c r="E790" s="9">
        <v>405.08</v>
      </c>
      <c r="F790" s="9">
        <v>607.62</v>
      </c>
      <c r="G790" s="1" t="s">
        <v>7208</v>
      </c>
      <c r="H790" s="1">
        <f>SUMIF([1]Sheet1!$G:$G,A790,[1]Sheet1!$O:$O)</f>
        <v>607.62</v>
      </c>
      <c r="I790" s="21">
        <f t="shared" si="12"/>
        <v>0</v>
      </c>
    </row>
    <row r="791" spans="1:9" x14ac:dyDescent="0.25">
      <c r="A791" s="18" t="s">
        <v>7298</v>
      </c>
      <c r="B791" s="4" t="s">
        <v>2343</v>
      </c>
      <c r="C791" s="4" t="s">
        <v>929</v>
      </c>
      <c r="D791" s="4" t="s">
        <v>3289</v>
      </c>
      <c r="E791" s="9">
        <v>995.03703703703707</v>
      </c>
      <c r="F791" s="9">
        <v>14776.3</v>
      </c>
      <c r="G791" s="1" t="s">
        <v>7299</v>
      </c>
      <c r="H791" s="1">
        <f>SUMIF([1]Sheet1!$G:$G,A791,[1]Sheet1!$O:$O)</f>
        <v>14776.3</v>
      </c>
      <c r="I791" s="21">
        <f t="shared" si="12"/>
        <v>0</v>
      </c>
    </row>
    <row r="792" spans="1:9" x14ac:dyDescent="0.25">
      <c r="A792" s="18" t="s">
        <v>7493</v>
      </c>
      <c r="B792" s="4" t="s">
        <v>2344</v>
      </c>
      <c r="C792" s="4" t="s">
        <v>930</v>
      </c>
      <c r="D792" s="4" t="s">
        <v>3289</v>
      </c>
      <c r="E792" s="9">
        <v>89.831106360235168</v>
      </c>
      <c r="F792" s="9">
        <v>1680.74</v>
      </c>
      <c r="G792" s="1" t="s">
        <v>7494</v>
      </c>
      <c r="H792" s="1">
        <f>SUMIF([1]Sheet1!$G:$G,A792,[1]Sheet1!$O:$O)</f>
        <v>1680.74</v>
      </c>
      <c r="I792" s="21">
        <f t="shared" si="12"/>
        <v>0</v>
      </c>
    </row>
    <row r="793" spans="1:9" x14ac:dyDescent="0.25">
      <c r="A793" s="18" t="s">
        <v>6595</v>
      </c>
      <c r="B793" s="4" t="s">
        <v>2345</v>
      </c>
      <c r="C793" s="4" t="s">
        <v>931</v>
      </c>
      <c r="D793" s="4" t="s">
        <v>3291</v>
      </c>
      <c r="E793" s="9">
        <v>2.118552036199095</v>
      </c>
      <c r="F793" s="9">
        <v>140.46</v>
      </c>
      <c r="G793" s="1" t="s">
        <v>6596</v>
      </c>
      <c r="H793" s="1">
        <f>SUMIF([1]Sheet1!$G:$G,A793,[1]Sheet1!$O:$O)</f>
        <v>140.46</v>
      </c>
      <c r="I793" s="21">
        <f t="shared" si="12"/>
        <v>0</v>
      </c>
    </row>
    <row r="794" spans="1:9" x14ac:dyDescent="0.25">
      <c r="A794" s="18" t="s">
        <v>6587</v>
      </c>
      <c r="B794" s="4" t="s">
        <v>2346</v>
      </c>
      <c r="C794" s="4" t="s">
        <v>932</v>
      </c>
      <c r="D794" s="4" t="s">
        <v>3291</v>
      </c>
      <c r="E794" s="9">
        <v>25.922549019607846</v>
      </c>
      <c r="F794" s="9">
        <v>264.41000000000003</v>
      </c>
      <c r="G794" s="1" t="s">
        <v>6588</v>
      </c>
      <c r="H794" s="1">
        <f>SUMIF([1]Sheet1!$G:$G,A794,[1]Sheet1!$O:$O)</f>
        <v>264.41000000000003</v>
      </c>
      <c r="I794" s="21">
        <f t="shared" si="12"/>
        <v>0</v>
      </c>
    </row>
    <row r="795" spans="1:9" x14ac:dyDescent="0.25">
      <c r="A795" s="18" t="s">
        <v>7160</v>
      </c>
      <c r="B795" s="4" t="s">
        <v>2347</v>
      </c>
      <c r="C795" s="4" t="s">
        <v>933</v>
      </c>
      <c r="D795" s="4" t="s">
        <v>3289</v>
      </c>
      <c r="E795" s="9">
        <v>228.184140969163</v>
      </c>
      <c r="F795" s="9">
        <v>5179.78</v>
      </c>
      <c r="G795" s="1" t="s">
        <v>7161</v>
      </c>
      <c r="H795" s="1">
        <f>SUMIF([1]Sheet1!$G:$G,A795,[1]Sheet1!$O:$O)</f>
        <v>5179.78</v>
      </c>
      <c r="I795" s="21">
        <f t="shared" si="12"/>
        <v>0</v>
      </c>
    </row>
    <row r="796" spans="1:9" x14ac:dyDescent="0.25">
      <c r="A796" s="18" t="s">
        <v>7068</v>
      </c>
      <c r="B796" s="4" t="s">
        <v>2348</v>
      </c>
      <c r="C796" s="4" t="s">
        <v>934</v>
      </c>
      <c r="D796" s="4" t="s">
        <v>3289</v>
      </c>
      <c r="E796" s="9">
        <v>29.661000000000001</v>
      </c>
      <c r="F796" s="9">
        <v>296.61</v>
      </c>
      <c r="G796" s="1" t="s">
        <v>7069</v>
      </c>
      <c r="H796" s="1">
        <f>SUMIF([1]Sheet1!$G:$G,A796,[1]Sheet1!$O:$O)</f>
        <v>296.61</v>
      </c>
      <c r="I796" s="21">
        <f t="shared" si="12"/>
        <v>0</v>
      </c>
    </row>
    <row r="797" spans="1:9" x14ac:dyDescent="0.25">
      <c r="A797" s="18" t="s">
        <v>7074</v>
      </c>
      <c r="B797" s="4" t="s">
        <v>2349</v>
      </c>
      <c r="C797" s="4" t="s">
        <v>935</v>
      </c>
      <c r="D797" s="4" t="s">
        <v>3289</v>
      </c>
      <c r="E797" s="9">
        <v>135.59444444444443</v>
      </c>
      <c r="F797" s="9">
        <v>244.07</v>
      </c>
      <c r="G797" s="1" t="s">
        <v>7075</v>
      </c>
      <c r="H797" s="1">
        <f>SUMIF([1]Sheet1!$G:$G,A797,[1]Sheet1!$O:$O)</f>
        <v>244.07</v>
      </c>
      <c r="I797" s="21">
        <f t="shared" si="12"/>
        <v>0</v>
      </c>
    </row>
    <row r="798" spans="1:9" x14ac:dyDescent="0.25">
      <c r="A798" s="18" t="s">
        <v>7127</v>
      </c>
      <c r="B798" s="4" t="s">
        <v>2350</v>
      </c>
      <c r="C798" s="4" t="s">
        <v>936</v>
      </c>
      <c r="D798" s="4" t="s">
        <v>3289</v>
      </c>
      <c r="E798" s="9">
        <v>132.20339999999999</v>
      </c>
      <c r="F798" s="9">
        <v>13220.339999999998</v>
      </c>
      <c r="G798" s="1" t="s">
        <v>7130</v>
      </c>
      <c r="H798" s="1">
        <f>SUMIF([1]Sheet1!$G:$G,A798,[1]Sheet1!$O:$O)</f>
        <v>13220.34</v>
      </c>
      <c r="I798" s="21">
        <f t="shared" si="12"/>
        <v>0</v>
      </c>
    </row>
    <row r="799" spans="1:9" x14ac:dyDescent="0.25">
      <c r="A799" s="18" t="s">
        <v>7151</v>
      </c>
      <c r="B799" s="4" t="s">
        <v>2351</v>
      </c>
      <c r="C799" s="4" t="s">
        <v>937</v>
      </c>
      <c r="D799" s="4" t="s">
        <v>3289</v>
      </c>
      <c r="E799" s="9">
        <v>192.52506596306068</v>
      </c>
      <c r="F799" s="9">
        <v>729.67</v>
      </c>
      <c r="G799" s="1" t="s">
        <v>7152</v>
      </c>
      <c r="H799" s="1">
        <f>SUMIF([1]Sheet1!$G:$G,A799,[1]Sheet1!$O:$O)</f>
        <v>729.67</v>
      </c>
      <c r="I799" s="21">
        <f t="shared" si="12"/>
        <v>0</v>
      </c>
    </row>
    <row r="800" spans="1:9" x14ac:dyDescent="0.25">
      <c r="A800" s="18" t="s">
        <v>7310</v>
      </c>
      <c r="B800" s="4" t="s">
        <v>2352</v>
      </c>
      <c r="C800" s="4" t="s">
        <v>938</v>
      </c>
      <c r="D800" s="4" t="s">
        <v>3289</v>
      </c>
      <c r="E800" s="9">
        <v>266.99767441860462</v>
      </c>
      <c r="F800" s="9">
        <v>1148.0899999999999</v>
      </c>
      <c r="G800" s="1" t="s">
        <v>7311</v>
      </c>
      <c r="H800" s="1">
        <f>SUMIF([1]Sheet1!$G:$G,A800,[1]Sheet1!$O:$O)</f>
        <v>1148.0899999999999</v>
      </c>
      <c r="I800" s="21">
        <f t="shared" si="12"/>
        <v>0</v>
      </c>
    </row>
    <row r="801" spans="1:9" x14ac:dyDescent="0.25">
      <c r="A801" s="18" t="s">
        <v>7743</v>
      </c>
      <c r="B801" s="4" t="s">
        <v>2353</v>
      </c>
      <c r="C801" s="4" t="s">
        <v>939</v>
      </c>
      <c r="D801" s="4" t="s">
        <v>3290</v>
      </c>
      <c r="E801" s="9">
        <v>466.1</v>
      </c>
      <c r="F801" s="9">
        <v>932.2</v>
      </c>
      <c r="G801" s="1" t="s">
        <v>7744</v>
      </c>
      <c r="H801" s="1">
        <f>SUMIF([1]Sheet1!$G:$G,A801,[1]Sheet1!$O:$O)</f>
        <v>932.2</v>
      </c>
      <c r="I801" s="21">
        <f t="shared" si="12"/>
        <v>0</v>
      </c>
    </row>
    <row r="802" spans="1:9" x14ac:dyDescent="0.25">
      <c r="A802" s="18" t="s">
        <v>7685</v>
      </c>
      <c r="B802" s="4" t="s">
        <v>2354</v>
      </c>
      <c r="C802" s="4" t="s">
        <v>940</v>
      </c>
      <c r="D802" s="4" t="s">
        <v>3290</v>
      </c>
      <c r="E802" s="9">
        <v>48.303750000000001</v>
      </c>
      <c r="F802" s="9">
        <v>386.43</v>
      </c>
      <c r="G802" s="1" t="s">
        <v>7686</v>
      </c>
      <c r="H802" s="1">
        <f>SUMIF([1]Sheet1!$G:$G,A802,[1]Sheet1!$O:$O)</f>
        <v>386.43</v>
      </c>
      <c r="I802" s="21">
        <f t="shared" si="12"/>
        <v>0</v>
      </c>
    </row>
    <row r="803" spans="1:9" x14ac:dyDescent="0.25">
      <c r="A803" s="18" t="s">
        <v>8272</v>
      </c>
      <c r="B803" s="4" t="s">
        <v>2355</v>
      </c>
      <c r="C803" s="4" t="s">
        <v>202</v>
      </c>
      <c r="D803" s="4" t="s">
        <v>3290</v>
      </c>
      <c r="E803" s="9">
        <v>74.733333333333334</v>
      </c>
      <c r="F803" s="9">
        <v>224.2</v>
      </c>
      <c r="G803" s="1" t="s">
        <v>8273</v>
      </c>
      <c r="H803" s="1">
        <f>SUMIF([1]Sheet1!$G:$G,A803,[1]Sheet1!$O:$O)</f>
        <v>149.47</v>
      </c>
      <c r="I803" s="21">
        <f t="shared" si="12"/>
        <v>74.72999999999999</v>
      </c>
    </row>
    <row r="804" spans="1:9" x14ac:dyDescent="0.25">
      <c r="A804" s="18" t="s">
        <v>9413</v>
      </c>
      <c r="B804" s="4" t="s">
        <v>2356</v>
      </c>
      <c r="C804" s="4" t="s">
        <v>941</v>
      </c>
      <c r="D804" s="4" t="s">
        <v>3292</v>
      </c>
      <c r="E804" s="9">
        <v>18.499668462494817</v>
      </c>
      <c r="F804" s="9">
        <v>22319.85</v>
      </c>
      <c r="G804" s="1" t="s">
        <v>9414</v>
      </c>
      <c r="H804" s="1">
        <f>SUMIF([1]Sheet1!$G:$G,A804,[1]Sheet1!$O:$O)</f>
        <v>22319.89</v>
      </c>
      <c r="I804" s="21">
        <f t="shared" si="12"/>
        <v>-4.0000000000873115E-2</v>
      </c>
    </row>
    <row r="805" spans="1:9" x14ac:dyDescent="0.25">
      <c r="A805" s="18" t="s">
        <v>5240</v>
      </c>
      <c r="B805" s="4" t="s">
        <v>2357</v>
      </c>
      <c r="C805" s="4" t="s">
        <v>942</v>
      </c>
      <c r="D805" s="4" t="s">
        <v>3292</v>
      </c>
      <c r="E805" s="9">
        <v>17.227332549941245</v>
      </c>
      <c r="F805" s="9">
        <v>14660.46</v>
      </c>
      <c r="G805" s="1" t="s">
        <v>5241</v>
      </c>
      <c r="H805" s="1">
        <f>SUMIF([1]Sheet1!$G:$G,A805,[1]Sheet1!$O:$O)</f>
        <v>14660.43</v>
      </c>
      <c r="I805" s="21">
        <f t="shared" si="12"/>
        <v>2.9999999998835847E-2</v>
      </c>
    </row>
    <row r="806" spans="1:9" x14ac:dyDescent="0.25">
      <c r="A806" s="18" t="s">
        <v>9406</v>
      </c>
      <c r="B806" s="4" t="s">
        <v>2358</v>
      </c>
      <c r="C806" s="4" t="s">
        <v>943</v>
      </c>
      <c r="D806" s="4" t="s">
        <v>3291</v>
      </c>
      <c r="E806" s="9">
        <v>4.3925925925925924</v>
      </c>
      <c r="F806" s="9">
        <v>11.86</v>
      </c>
      <c r="G806" s="1" t="s">
        <v>9407</v>
      </c>
      <c r="H806" s="1">
        <f>SUMIF([1]Sheet1!$G:$G,A806,[1]Sheet1!$O:$O)</f>
        <v>11.86</v>
      </c>
      <c r="I806" s="21">
        <f t="shared" si="12"/>
        <v>0</v>
      </c>
    </row>
    <row r="807" spans="1:9" x14ac:dyDescent="0.25">
      <c r="A807" s="18" t="s">
        <v>11984</v>
      </c>
      <c r="B807" s="4" t="s">
        <v>2359</v>
      </c>
      <c r="C807" s="4" t="s">
        <v>944</v>
      </c>
      <c r="D807" s="4" t="s">
        <v>3290</v>
      </c>
      <c r="E807" s="9">
        <v>9.1692307692307686</v>
      </c>
      <c r="F807" s="9">
        <v>119.19999999999999</v>
      </c>
      <c r="G807" s="1" t="s">
        <v>11985</v>
      </c>
      <c r="H807" s="1">
        <f>SUMIF([1]Sheet1!$G:$G,A807,[1]Sheet1!$O:$O)</f>
        <v>119.2</v>
      </c>
      <c r="I807" s="21">
        <f t="shared" si="12"/>
        <v>0</v>
      </c>
    </row>
    <row r="808" spans="1:9" x14ac:dyDescent="0.25">
      <c r="A808" s="18" t="s">
        <v>6741</v>
      </c>
      <c r="B808" s="4" t="s">
        <v>2360</v>
      </c>
      <c r="C808" s="4" t="s">
        <v>945</v>
      </c>
      <c r="D808" s="4" t="s">
        <v>3290</v>
      </c>
      <c r="E808" s="9">
        <v>81.355999999999995</v>
      </c>
      <c r="F808" s="9">
        <v>1627.12</v>
      </c>
      <c r="G808" s="1" t="s">
        <v>6742</v>
      </c>
      <c r="H808" s="1">
        <f>SUMIF([1]Sheet1!$G:$G,A808,[1]Sheet1!$O:$O)</f>
        <v>1627.12</v>
      </c>
      <c r="I808" s="21">
        <f t="shared" si="12"/>
        <v>0</v>
      </c>
    </row>
    <row r="809" spans="1:9" x14ac:dyDescent="0.25">
      <c r="A809" s="18" t="s">
        <v>7288</v>
      </c>
      <c r="B809" s="4" t="s">
        <v>2361</v>
      </c>
      <c r="C809" s="4" t="s">
        <v>946</v>
      </c>
      <c r="D809" s="4" t="s">
        <v>3289</v>
      </c>
      <c r="E809" s="9">
        <v>89.989539748953959</v>
      </c>
      <c r="F809" s="9">
        <v>860.29999999999984</v>
      </c>
      <c r="G809" s="1" t="s">
        <v>7289</v>
      </c>
      <c r="H809" s="1">
        <f>SUMIF([1]Sheet1!$G:$G,A809,[1]Sheet1!$O:$O)</f>
        <v>860.3</v>
      </c>
      <c r="I809" s="21">
        <f t="shared" si="12"/>
        <v>0</v>
      </c>
    </row>
    <row r="810" spans="1:9" x14ac:dyDescent="0.25">
      <c r="A810" s="18" t="s">
        <v>10732</v>
      </c>
      <c r="B810" s="4" t="s">
        <v>2362</v>
      </c>
      <c r="C810" s="4" t="s">
        <v>947</v>
      </c>
      <c r="D810" s="4" t="s">
        <v>3290</v>
      </c>
      <c r="E810" s="9">
        <v>0.196938202247191</v>
      </c>
      <c r="F810" s="9">
        <v>140.22</v>
      </c>
      <c r="G810" s="1" t="s">
        <v>10733</v>
      </c>
      <c r="H810" s="1">
        <f>SUMIF([1]Sheet1!$G:$G,A810,[1]Sheet1!$O:$O)</f>
        <v>140.19</v>
      </c>
      <c r="I810" s="21">
        <f t="shared" si="12"/>
        <v>3.0000000000001137E-2</v>
      </c>
    </row>
    <row r="811" spans="1:9" x14ac:dyDescent="0.25">
      <c r="A811" s="18" t="s">
        <v>9501</v>
      </c>
      <c r="B811" s="4" t="s">
        <v>2363</v>
      </c>
      <c r="C811" s="4" t="s">
        <v>948</v>
      </c>
      <c r="D811" s="4" t="s">
        <v>3290</v>
      </c>
      <c r="E811" s="9">
        <v>0.249364161849711</v>
      </c>
      <c r="F811" s="9">
        <v>172.56</v>
      </c>
      <c r="G811" s="1" t="s">
        <v>9502</v>
      </c>
      <c r="H811" s="1">
        <f>SUMIF([1]Sheet1!$G:$G,A811,[1]Sheet1!$O:$O)</f>
        <v>172.58</v>
      </c>
      <c r="I811" s="21">
        <f t="shared" si="12"/>
        <v>-2.0000000000010232E-2</v>
      </c>
    </row>
    <row r="812" spans="1:9" x14ac:dyDescent="0.25">
      <c r="A812" s="18" t="s">
        <v>9453</v>
      </c>
      <c r="B812" s="4" t="s">
        <v>2364</v>
      </c>
      <c r="C812" s="4" t="s">
        <v>949</v>
      </c>
      <c r="D812" s="4" t="s">
        <v>3290</v>
      </c>
      <c r="E812" s="9">
        <v>0.23558273381294961</v>
      </c>
      <c r="F812" s="9">
        <v>163.72999999999999</v>
      </c>
      <c r="G812" s="1" t="s">
        <v>9454</v>
      </c>
      <c r="H812" s="1">
        <f>SUMIF([1]Sheet1!$G:$G,A812,[1]Sheet1!$O:$O)</f>
        <v>163.74</v>
      </c>
      <c r="I812" s="21">
        <f t="shared" si="12"/>
        <v>-1.0000000000019327E-2</v>
      </c>
    </row>
    <row r="813" spans="1:9" x14ac:dyDescent="0.25">
      <c r="A813" s="18" t="s">
        <v>10744</v>
      </c>
      <c r="B813" s="4" t="s">
        <v>2365</v>
      </c>
      <c r="C813" s="4" t="s">
        <v>950</v>
      </c>
      <c r="D813" s="4" t="s">
        <v>3290</v>
      </c>
      <c r="E813" s="9">
        <v>0.37404605263157892</v>
      </c>
      <c r="F813" s="9">
        <v>113.71</v>
      </c>
      <c r="G813" s="1" t="s">
        <v>10745</v>
      </c>
      <c r="H813" s="1">
        <f>SUMIF([1]Sheet1!$G:$G,A813,[1]Sheet1!$O:$O)</f>
        <v>97.24</v>
      </c>
      <c r="I813" s="21">
        <f t="shared" si="12"/>
        <v>16.47</v>
      </c>
    </row>
    <row r="814" spans="1:9" x14ac:dyDescent="0.25">
      <c r="A814" s="18" t="s">
        <v>11579</v>
      </c>
      <c r="B814" s="4" t="s">
        <v>2366</v>
      </c>
      <c r="C814" s="4" t="s">
        <v>951</v>
      </c>
      <c r="D814" s="4" t="s">
        <v>3290</v>
      </c>
      <c r="E814" s="9">
        <v>3.2199999999999998</v>
      </c>
      <c r="F814" s="9">
        <v>48.3</v>
      </c>
      <c r="G814" s="1" t="s">
        <v>11580</v>
      </c>
      <c r="H814" s="1">
        <f>SUMIF([1]Sheet1!$G:$G,A814,[1]Sheet1!$O:$O)</f>
        <v>48.3</v>
      </c>
      <c r="I814" s="21">
        <f t="shared" si="12"/>
        <v>0</v>
      </c>
    </row>
    <row r="815" spans="1:9" x14ac:dyDescent="0.25">
      <c r="A815" s="18" t="s">
        <v>9514</v>
      </c>
      <c r="B815" s="4" t="s">
        <v>2367</v>
      </c>
      <c r="C815" s="4" t="s">
        <v>952</v>
      </c>
      <c r="D815" s="4" t="s">
        <v>3290</v>
      </c>
      <c r="E815" s="9">
        <v>0.43031100478468903</v>
      </c>
      <c r="F815" s="9">
        <v>179.87</v>
      </c>
      <c r="G815" s="1" t="s">
        <v>9515</v>
      </c>
      <c r="H815" s="1">
        <f>SUMIF([1]Sheet1!$G:$G,A815,[1]Sheet1!$O:$O)</f>
        <v>160.93</v>
      </c>
      <c r="I815" s="21">
        <f t="shared" si="12"/>
        <v>18.939999999999998</v>
      </c>
    </row>
    <row r="816" spans="1:9" x14ac:dyDescent="0.25">
      <c r="A816" s="18" t="s">
        <v>9487</v>
      </c>
      <c r="B816" s="4" t="s">
        <v>2368</v>
      </c>
      <c r="C816" s="4" t="s">
        <v>953</v>
      </c>
      <c r="D816" s="4" t="s">
        <v>3290</v>
      </c>
      <c r="E816" s="9">
        <v>4.1999999999999996E-2</v>
      </c>
      <c r="F816" s="9">
        <v>0.41999999999999993</v>
      </c>
      <c r="G816" s="1" t="s">
        <v>9488</v>
      </c>
      <c r="H816" s="1">
        <f>SUMIF([1]Sheet1!$G:$G,A816,[1]Sheet1!$O:$O)</f>
        <v>0.42</v>
      </c>
      <c r="I816" s="21">
        <f t="shared" si="12"/>
        <v>0</v>
      </c>
    </row>
    <row r="817" spans="1:9" x14ac:dyDescent="0.25">
      <c r="A817" s="18" t="s">
        <v>10740</v>
      </c>
      <c r="B817" s="4" t="s">
        <v>2369</v>
      </c>
      <c r="C817" s="4" t="s">
        <v>954</v>
      </c>
      <c r="D817" s="4" t="s">
        <v>3290</v>
      </c>
      <c r="E817" s="9">
        <v>0.32357142857142857</v>
      </c>
      <c r="F817" s="9">
        <v>72.48</v>
      </c>
      <c r="G817" s="1" t="s">
        <v>10741</v>
      </c>
      <c r="H817" s="1">
        <f>SUMIF([1]Sheet1!$G:$G,A817,[1]Sheet1!$O:$O)</f>
        <v>72.489999999999995</v>
      </c>
      <c r="I817" s="21">
        <f t="shared" si="12"/>
        <v>-9.9999999999909051E-3</v>
      </c>
    </row>
    <row r="818" spans="1:9" x14ac:dyDescent="0.25">
      <c r="A818" s="18" t="s">
        <v>9533</v>
      </c>
      <c r="B818" s="4" t="s">
        <v>2370</v>
      </c>
      <c r="C818" s="4" t="s">
        <v>955</v>
      </c>
      <c r="D818" s="4" t="s">
        <v>3290</v>
      </c>
      <c r="E818" s="9">
        <v>0.97546255506607926</v>
      </c>
      <c r="F818" s="9">
        <v>664.29</v>
      </c>
      <c r="G818" s="1" t="s">
        <v>9534</v>
      </c>
      <c r="H818" s="1">
        <f>SUMIF([1]Sheet1!$G:$G,A818,[1]Sheet1!$O:$O)</f>
        <v>664.32</v>
      </c>
      <c r="I818" s="21">
        <f t="shared" si="12"/>
        <v>-3.0000000000086402E-2</v>
      </c>
    </row>
    <row r="819" spans="1:9" x14ac:dyDescent="0.25">
      <c r="A819" s="18" t="s">
        <v>9242</v>
      </c>
      <c r="B819" s="4" t="s">
        <v>2371</v>
      </c>
      <c r="C819" s="4" t="s">
        <v>956</v>
      </c>
      <c r="D819" s="4" t="s">
        <v>3290</v>
      </c>
      <c r="E819" s="9">
        <v>12.715</v>
      </c>
      <c r="F819" s="9">
        <v>25.43</v>
      </c>
      <c r="G819" s="1" t="s">
        <v>9243</v>
      </c>
      <c r="H819" s="1">
        <f>SUMIF([1]Sheet1!$G:$G,A819,[1]Sheet1!$O:$O)</f>
        <v>25.43</v>
      </c>
      <c r="I819" s="21">
        <f t="shared" si="12"/>
        <v>0</v>
      </c>
    </row>
    <row r="820" spans="1:9" x14ac:dyDescent="0.25">
      <c r="A820" s="18" t="s">
        <v>9280</v>
      </c>
      <c r="B820" s="4" t="s">
        <v>2372</v>
      </c>
      <c r="C820" s="4" t="s">
        <v>957</v>
      </c>
      <c r="D820" s="4" t="s">
        <v>3291</v>
      </c>
      <c r="E820" s="9">
        <v>202.16944893196916</v>
      </c>
      <c r="F820" s="9">
        <v>123891.46</v>
      </c>
      <c r="G820" s="1" t="s">
        <v>9281</v>
      </c>
      <c r="H820" s="1">
        <f>SUMIF([1]Sheet1!$G:$G,A820,[1]Sheet1!$O:$O)</f>
        <v>123891.43</v>
      </c>
      <c r="I820" s="21">
        <f t="shared" si="12"/>
        <v>3.0000000013387762E-2</v>
      </c>
    </row>
    <row r="821" spans="1:9" x14ac:dyDescent="0.25">
      <c r="A821" s="18" t="s">
        <v>10611</v>
      </c>
      <c r="B821" s="4" t="s">
        <v>2373</v>
      </c>
      <c r="C821" s="4" t="s">
        <v>958</v>
      </c>
      <c r="D821" s="4" t="s">
        <v>3291</v>
      </c>
      <c r="E821" s="9">
        <v>46.61</v>
      </c>
      <c r="F821" s="9">
        <v>885.59</v>
      </c>
      <c r="G821" s="1" t="s">
        <v>10612</v>
      </c>
      <c r="H821" s="1">
        <f>SUMIF([1]Sheet1!$G:$G,A821,[1]Sheet1!$O:$O)</f>
        <v>885.59</v>
      </c>
      <c r="I821" s="21">
        <f t="shared" si="12"/>
        <v>0</v>
      </c>
    </row>
    <row r="822" spans="1:9" x14ac:dyDescent="0.25">
      <c r="A822" s="18" t="s">
        <v>7294</v>
      </c>
      <c r="B822" s="4" t="s">
        <v>2374</v>
      </c>
      <c r="C822" s="4" t="s">
        <v>959</v>
      </c>
      <c r="D822" s="4" t="s">
        <v>3289</v>
      </c>
      <c r="E822" s="9">
        <v>634.69927272727273</v>
      </c>
      <c r="F822" s="9">
        <v>52362.69</v>
      </c>
      <c r="G822" s="1" t="s">
        <v>7295</v>
      </c>
      <c r="H822" s="1">
        <f>SUMIF([1]Sheet1!$G:$G,A822,[1]Sheet1!$O:$O)</f>
        <v>52362.69</v>
      </c>
      <c r="I822" s="21">
        <f t="shared" si="12"/>
        <v>0</v>
      </c>
    </row>
    <row r="823" spans="1:9" x14ac:dyDescent="0.25">
      <c r="A823" s="18" t="s">
        <v>8098</v>
      </c>
      <c r="B823" s="4" t="s">
        <v>2375</v>
      </c>
      <c r="C823" s="4" t="s">
        <v>960</v>
      </c>
      <c r="D823" s="4" t="s">
        <v>3290</v>
      </c>
      <c r="E823" s="9">
        <v>5300</v>
      </c>
      <c r="F823" s="9">
        <v>10600</v>
      </c>
      <c r="G823" s="1" t="s">
        <v>8099</v>
      </c>
      <c r="H823" s="1">
        <f>SUMIF([1]Sheet1!$G:$G,A823,[1]Sheet1!$O:$O)</f>
        <v>10600</v>
      </c>
      <c r="I823" s="21">
        <f t="shared" si="12"/>
        <v>0</v>
      </c>
    </row>
    <row r="824" spans="1:9" x14ac:dyDescent="0.25">
      <c r="A824" s="18" t="s">
        <v>8126</v>
      </c>
      <c r="B824" s="4" t="s">
        <v>2376</v>
      </c>
      <c r="C824" s="4" t="s">
        <v>961</v>
      </c>
      <c r="D824" s="4" t="s">
        <v>3290</v>
      </c>
      <c r="E824" s="9">
        <v>4067.8</v>
      </c>
      <c r="F824" s="9">
        <v>4067.8</v>
      </c>
      <c r="G824" s="1" t="s">
        <v>8127</v>
      </c>
      <c r="H824" s="1">
        <f>SUMIF([1]Sheet1!$G:$G,A824,[1]Sheet1!$O:$O)</f>
        <v>4067.8</v>
      </c>
      <c r="I824" s="21">
        <f t="shared" si="12"/>
        <v>0</v>
      </c>
    </row>
    <row r="825" spans="1:9" x14ac:dyDescent="0.25">
      <c r="A825" s="18" t="s">
        <v>7413</v>
      </c>
      <c r="B825" s="4" t="s">
        <v>2377</v>
      </c>
      <c r="C825" s="4" t="s">
        <v>962</v>
      </c>
      <c r="D825" s="4" t="s">
        <v>3289</v>
      </c>
      <c r="E825" s="9">
        <v>359.04921009624115</v>
      </c>
      <c r="F825" s="9">
        <v>19772.84</v>
      </c>
      <c r="G825" s="1" t="s">
        <v>7414</v>
      </c>
      <c r="H825" s="1">
        <f>SUMIF([1]Sheet1!$G:$G,A825,[1]Sheet1!$O:$O)</f>
        <v>19772.84</v>
      </c>
      <c r="I825" s="21">
        <f t="shared" si="12"/>
        <v>0</v>
      </c>
    </row>
    <row r="826" spans="1:9" x14ac:dyDescent="0.25">
      <c r="A826" s="18" t="s">
        <v>7125</v>
      </c>
      <c r="B826" s="4" t="s">
        <v>2378</v>
      </c>
      <c r="C826" s="4" t="s">
        <v>963</v>
      </c>
      <c r="D826" s="4" t="s">
        <v>3289</v>
      </c>
      <c r="E826" s="9">
        <v>71</v>
      </c>
      <c r="F826" s="9">
        <v>596.4</v>
      </c>
      <c r="G826" s="1" t="s">
        <v>7126</v>
      </c>
      <c r="H826" s="1">
        <f>SUMIF([1]Sheet1!$G:$G,A826,[1]Sheet1!$O:$O)</f>
        <v>596.4</v>
      </c>
      <c r="I826" s="21">
        <f t="shared" si="12"/>
        <v>0</v>
      </c>
    </row>
    <row r="827" spans="1:9" x14ac:dyDescent="0.25">
      <c r="A827" s="18" t="s">
        <v>7061</v>
      </c>
      <c r="B827" s="4" t="s">
        <v>2379</v>
      </c>
      <c r="C827" s="4" t="s">
        <v>964</v>
      </c>
      <c r="D827" s="4" t="s">
        <v>3289</v>
      </c>
      <c r="E827" s="9">
        <v>20</v>
      </c>
      <c r="F827" s="9">
        <v>248</v>
      </c>
      <c r="G827" s="1" t="s">
        <v>7062</v>
      </c>
      <c r="H827" s="1">
        <f>SUMIF([1]Sheet1!$G:$G,A827,[1]Sheet1!$O:$O)</f>
        <v>248</v>
      </c>
      <c r="I827" s="21">
        <f t="shared" si="12"/>
        <v>0</v>
      </c>
    </row>
    <row r="828" spans="1:9" x14ac:dyDescent="0.25">
      <c r="A828" s="18" t="s">
        <v>8720</v>
      </c>
      <c r="B828" s="4" t="s">
        <v>2380</v>
      </c>
      <c r="C828" s="4" t="s">
        <v>965</v>
      </c>
      <c r="D828" s="4" t="s">
        <v>3290</v>
      </c>
      <c r="E828" s="9">
        <v>7.6269444444444439</v>
      </c>
      <c r="F828" s="9">
        <v>274.57</v>
      </c>
      <c r="G828" s="1" t="s">
        <v>8722</v>
      </c>
      <c r="H828" s="1">
        <f>SUMIF([1]Sheet1!$G:$G,A828,[1]Sheet1!$O:$O)</f>
        <v>274.57</v>
      </c>
      <c r="I828" s="21">
        <f t="shared" si="12"/>
        <v>0</v>
      </c>
    </row>
    <row r="829" spans="1:9" x14ac:dyDescent="0.25">
      <c r="A829" s="18" t="s">
        <v>6908</v>
      </c>
      <c r="B829" s="4" t="s">
        <v>2381</v>
      </c>
      <c r="C829" s="4" t="s">
        <v>966</v>
      </c>
      <c r="D829" s="4" t="s">
        <v>3290</v>
      </c>
      <c r="E829" s="9">
        <v>30.932500000000001</v>
      </c>
      <c r="F829" s="9">
        <v>247.46</v>
      </c>
      <c r="G829" s="1" t="s">
        <v>6909</v>
      </c>
      <c r="H829" s="1">
        <f>SUMIF([1]Sheet1!$G:$G,A829,[1]Sheet1!$O:$O)</f>
        <v>247.46</v>
      </c>
      <c r="I829" s="21">
        <f t="shared" si="12"/>
        <v>0</v>
      </c>
    </row>
    <row r="830" spans="1:9" x14ac:dyDescent="0.25">
      <c r="A830" s="18" t="s">
        <v>7708</v>
      </c>
      <c r="B830" s="4" t="s">
        <v>2382</v>
      </c>
      <c r="C830" s="4" t="s">
        <v>967</v>
      </c>
      <c r="D830" s="4" t="s">
        <v>3290</v>
      </c>
      <c r="E830" s="9">
        <v>550.84666666666669</v>
      </c>
      <c r="F830" s="9">
        <v>3305.08</v>
      </c>
      <c r="G830" s="1" t="s">
        <v>7709</v>
      </c>
      <c r="H830" s="1">
        <f>SUMIF([1]Sheet1!$G:$G,A830,[1]Sheet1!$O:$O)</f>
        <v>3305.08</v>
      </c>
      <c r="I830" s="21">
        <f t="shared" si="12"/>
        <v>0</v>
      </c>
    </row>
    <row r="831" spans="1:9" x14ac:dyDescent="0.25">
      <c r="A831" s="18" t="s">
        <v>5632</v>
      </c>
      <c r="B831" s="4" t="s">
        <v>2383</v>
      </c>
      <c r="C831" s="4" t="s">
        <v>968</v>
      </c>
      <c r="D831" s="4" t="s">
        <v>3290</v>
      </c>
      <c r="E831" s="9">
        <v>12</v>
      </c>
      <c r="F831" s="9">
        <v>168</v>
      </c>
      <c r="G831" s="1" t="s">
        <v>5635</v>
      </c>
      <c r="H831" s="1">
        <f>SUMIF([1]Sheet1!$G:$G,A831,[1]Sheet1!$O:$O)</f>
        <v>168</v>
      </c>
      <c r="I831" s="21">
        <f t="shared" si="12"/>
        <v>0</v>
      </c>
    </row>
    <row r="832" spans="1:9" x14ac:dyDescent="0.25">
      <c r="A832" s="18" t="s">
        <v>8239</v>
      </c>
      <c r="B832" s="4" t="s">
        <v>2384</v>
      </c>
      <c r="C832" s="4" t="s">
        <v>969</v>
      </c>
      <c r="D832" s="4" t="s">
        <v>3290</v>
      </c>
      <c r="E832" s="9">
        <v>6.8642857142857139</v>
      </c>
      <c r="F832" s="9">
        <v>48.05</v>
      </c>
      <c r="G832" s="1" t="s">
        <v>8240</v>
      </c>
      <c r="H832" s="1">
        <f>SUMIF([1]Sheet1!$G:$G,A832,[1]Sheet1!$O:$O)</f>
        <v>48.05</v>
      </c>
      <c r="I832" s="21">
        <f t="shared" si="12"/>
        <v>0</v>
      </c>
    </row>
    <row r="833" spans="1:9" x14ac:dyDescent="0.25">
      <c r="A833" s="18" t="s">
        <v>8895</v>
      </c>
      <c r="B833" s="4" t="s">
        <v>2385</v>
      </c>
      <c r="C833" s="4" t="s">
        <v>970</v>
      </c>
      <c r="D833" s="4" t="s">
        <v>3290</v>
      </c>
      <c r="E833" s="9">
        <v>203.39000000000001</v>
      </c>
      <c r="F833" s="9">
        <v>1423.73</v>
      </c>
      <c r="G833" s="1" t="s">
        <v>8896</v>
      </c>
      <c r="H833" s="1">
        <f>SUMIF([1]Sheet1!$G:$G,A833,[1]Sheet1!$O:$O)</f>
        <v>1423.73</v>
      </c>
      <c r="I833" s="21">
        <f t="shared" si="12"/>
        <v>0</v>
      </c>
    </row>
    <row r="834" spans="1:9" x14ac:dyDescent="0.25">
      <c r="A834" s="18" t="s">
        <v>11764</v>
      </c>
      <c r="B834" s="4" t="s">
        <v>2386</v>
      </c>
      <c r="C834" s="4" t="s">
        <v>971</v>
      </c>
      <c r="D834" s="4" t="s">
        <v>3289</v>
      </c>
      <c r="E834" s="9">
        <v>6.3550000000000004</v>
      </c>
      <c r="F834" s="9">
        <v>12.71</v>
      </c>
      <c r="G834" s="1" t="s">
        <v>11765</v>
      </c>
      <c r="H834" s="1">
        <f>SUMIF([1]Sheet1!$G:$G,A834,[1]Sheet1!$O:$O)</f>
        <v>12.71</v>
      </c>
      <c r="I834" s="21">
        <f t="shared" si="12"/>
        <v>0</v>
      </c>
    </row>
    <row r="835" spans="1:9" x14ac:dyDescent="0.25">
      <c r="A835" s="18" t="s">
        <v>9246</v>
      </c>
      <c r="B835" s="4" t="s">
        <v>2387</v>
      </c>
      <c r="C835" s="4" t="s">
        <v>972</v>
      </c>
      <c r="D835" s="4" t="s">
        <v>3290</v>
      </c>
      <c r="E835" s="9">
        <v>16.850000000000001</v>
      </c>
      <c r="F835" s="9">
        <v>84.25</v>
      </c>
      <c r="G835" s="1" t="s">
        <v>9247</v>
      </c>
      <c r="H835" s="1">
        <f>SUMIF([1]Sheet1!$G:$G,A835,[1]Sheet1!$O:$O)</f>
        <v>84.25</v>
      </c>
      <c r="I835" s="21">
        <f t="shared" ref="I835:I898" si="13">F835-H835</f>
        <v>0</v>
      </c>
    </row>
    <row r="836" spans="1:9" x14ac:dyDescent="0.25">
      <c r="A836" s="18" t="s">
        <v>9115</v>
      </c>
      <c r="B836" s="4" t="s">
        <v>2388</v>
      </c>
      <c r="C836" s="4" t="s">
        <v>973</v>
      </c>
      <c r="D836" s="4" t="s">
        <v>3290</v>
      </c>
      <c r="E836" s="9">
        <v>0.84666666666666668</v>
      </c>
      <c r="F836" s="9">
        <v>5.08</v>
      </c>
      <c r="G836" s="1" t="s">
        <v>9116</v>
      </c>
      <c r="H836" s="1">
        <f>SUMIF([1]Sheet1!$G:$G,A836,[1]Sheet1!$O:$O)</f>
        <v>5.08</v>
      </c>
      <c r="I836" s="21">
        <f t="shared" si="13"/>
        <v>0</v>
      </c>
    </row>
    <row r="837" spans="1:9" x14ac:dyDescent="0.25">
      <c r="A837" s="18" t="s">
        <v>6546</v>
      </c>
      <c r="B837" s="4" t="s">
        <v>2389</v>
      </c>
      <c r="C837" s="4" t="s">
        <v>974</v>
      </c>
      <c r="D837" s="4" t="s">
        <v>3290</v>
      </c>
      <c r="E837" s="9">
        <v>213.98341176470589</v>
      </c>
      <c r="F837" s="9">
        <v>18188.59</v>
      </c>
      <c r="G837" s="1" t="s">
        <v>6547</v>
      </c>
      <c r="H837" s="1">
        <f>SUMIF([1]Sheet1!$G:$G,A837,[1]Sheet1!$O:$O)</f>
        <v>18188.59</v>
      </c>
      <c r="I837" s="21">
        <f t="shared" si="13"/>
        <v>0</v>
      </c>
    </row>
    <row r="838" spans="1:9" x14ac:dyDescent="0.25">
      <c r="A838" s="18" t="s">
        <v>11390</v>
      </c>
      <c r="B838" s="4" t="s">
        <v>2390</v>
      </c>
      <c r="C838" s="4" t="s">
        <v>975</v>
      </c>
      <c r="D838" s="4" t="s">
        <v>3291</v>
      </c>
      <c r="E838" s="9">
        <v>16.95</v>
      </c>
      <c r="F838" s="9">
        <v>13.56</v>
      </c>
      <c r="G838" s="1" t="s">
        <v>11391</v>
      </c>
      <c r="H838" s="1">
        <f>SUMIF([1]Sheet1!$G:$G,A838,[1]Sheet1!$O:$O)</f>
        <v>13.56</v>
      </c>
      <c r="I838" s="21">
        <f t="shared" si="13"/>
        <v>0</v>
      </c>
    </row>
    <row r="839" spans="1:9" x14ac:dyDescent="0.25">
      <c r="A839" s="18" t="s">
        <v>7928</v>
      </c>
      <c r="B839" s="4" t="s">
        <v>2391</v>
      </c>
      <c r="C839" s="4" t="s">
        <v>976</v>
      </c>
      <c r="D839" s="4" t="s">
        <v>3290</v>
      </c>
      <c r="E839" s="9">
        <v>66.95</v>
      </c>
      <c r="F839" s="9">
        <v>66.95</v>
      </c>
      <c r="G839" s="1" t="s">
        <v>7929</v>
      </c>
      <c r="H839" s="1">
        <f>SUMIF([1]Sheet1!$G:$G,A839,[1]Sheet1!$O:$O)</f>
        <v>66.95</v>
      </c>
      <c r="I839" s="21">
        <f t="shared" si="13"/>
        <v>0</v>
      </c>
    </row>
    <row r="840" spans="1:9" x14ac:dyDescent="0.25">
      <c r="A840" s="18" t="s">
        <v>7868</v>
      </c>
      <c r="B840" s="4" t="s">
        <v>2392</v>
      </c>
      <c r="C840" s="4" t="s">
        <v>977</v>
      </c>
      <c r="D840" s="4" t="s">
        <v>3290</v>
      </c>
      <c r="E840" s="9">
        <v>25.24</v>
      </c>
      <c r="F840" s="9">
        <v>25.24</v>
      </c>
      <c r="G840" s="1" t="s">
        <v>7869</v>
      </c>
      <c r="H840" s="1">
        <f>SUMIF([1]Sheet1!$G:$G,A840,[1]Sheet1!$O:$O)</f>
        <v>25.24</v>
      </c>
      <c r="I840" s="21">
        <f t="shared" si="13"/>
        <v>0</v>
      </c>
    </row>
    <row r="841" spans="1:9" x14ac:dyDescent="0.25">
      <c r="A841" s="18" t="s">
        <v>5891</v>
      </c>
      <c r="B841" s="4" t="s">
        <v>2393</v>
      </c>
      <c r="C841" s="4" t="s">
        <v>978</v>
      </c>
      <c r="D841" s="4" t="s">
        <v>3291</v>
      </c>
      <c r="E841" s="9">
        <v>2.9643652561247218</v>
      </c>
      <c r="F841" s="9">
        <v>13.310000000000002</v>
      </c>
      <c r="G841" s="1" t="s">
        <v>5892</v>
      </c>
      <c r="H841" s="1">
        <f>SUMIF([1]Sheet1!$G:$G,A841,[1]Sheet1!$O:$O)</f>
        <v>13.31</v>
      </c>
      <c r="I841" s="21">
        <f t="shared" si="13"/>
        <v>0</v>
      </c>
    </row>
    <row r="842" spans="1:9" x14ac:dyDescent="0.25">
      <c r="A842" s="18" t="s">
        <v>4389</v>
      </c>
      <c r="B842" s="4" t="s">
        <v>2394</v>
      </c>
      <c r="C842" s="4" t="s">
        <v>979</v>
      </c>
      <c r="D842" s="4" t="s">
        <v>3290</v>
      </c>
      <c r="E842" s="9">
        <v>15728.815000000001</v>
      </c>
      <c r="F842" s="9">
        <v>31457.63</v>
      </c>
      <c r="G842" s="1" t="s">
        <v>4392</v>
      </c>
      <c r="H842" s="1">
        <f>SUMIF([1]Sheet1!$G:$G,A842,[1]Sheet1!$O:$O)</f>
        <v>31457.63</v>
      </c>
      <c r="I842" s="21">
        <f t="shared" si="13"/>
        <v>0</v>
      </c>
    </row>
    <row r="843" spans="1:9" x14ac:dyDescent="0.25">
      <c r="A843" s="18" t="s">
        <v>6568</v>
      </c>
      <c r="B843" s="4" t="s">
        <v>2395</v>
      </c>
      <c r="C843" s="4" t="s">
        <v>980</v>
      </c>
      <c r="D843" s="4" t="s">
        <v>3291</v>
      </c>
      <c r="E843" s="9">
        <v>1.9063670411985019</v>
      </c>
      <c r="F843" s="9">
        <v>15.27</v>
      </c>
      <c r="G843" s="1" t="s">
        <v>6569</v>
      </c>
      <c r="H843" s="1">
        <f>SUMIF([1]Sheet1!$G:$G,A843,[1]Sheet1!$O:$O)</f>
        <v>15.27</v>
      </c>
      <c r="I843" s="21">
        <f t="shared" si="13"/>
        <v>0</v>
      </c>
    </row>
    <row r="844" spans="1:9" x14ac:dyDescent="0.25">
      <c r="A844" s="18" t="s">
        <v>6583</v>
      </c>
      <c r="B844" s="4" t="s">
        <v>2396</v>
      </c>
      <c r="C844" s="4" t="s">
        <v>981</v>
      </c>
      <c r="D844" s="4" t="s">
        <v>3291</v>
      </c>
      <c r="E844" s="9">
        <v>2.5387426900584793</v>
      </c>
      <c r="F844" s="9">
        <v>173.65</v>
      </c>
      <c r="G844" s="1" t="s">
        <v>6584</v>
      </c>
      <c r="H844" s="1">
        <f>SUMIF([1]Sheet1!$G:$G,A844,[1]Sheet1!$O:$O)</f>
        <v>173.65</v>
      </c>
      <c r="I844" s="21">
        <f t="shared" si="13"/>
        <v>0</v>
      </c>
    </row>
    <row r="845" spans="1:9" x14ac:dyDescent="0.25">
      <c r="A845" s="18" t="s">
        <v>10154</v>
      </c>
      <c r="B845" s="4" t="s">
        <v>3174</v>
      </c>
      <c r="C845" s="4" t="s">
        <v>982</v>
      </c>
      <c r="D845" s="4" t="s">
        <v>3290</v>
      </c>
      <c r="E845" s="9">
        <v>40284.154999999999</v>
      </c>
      <c r="F845" s="9">
        <v>80568.31</v>
      </c>
      <c r="G845" s="1" t="s">
        <v>10155</v>
      </c>
      <c r="H845" s="1">
        <f>SUMIF([1]Sheet1!$G:$G,A845,[1]Sheet1!$O:$O)</f>
        <v>0</v>
      </c>
      <c r="I845" s="21">
        <f t="shared" si="13"/>
        <v>80568.31</v>
      </c>
    </row>
    <row r="846" spans="1:9" x14ac:dyDescent="0.25">
      <c r="A846" s="18" t="s">
        <v>6256</v>
      </c>
      <c r="B846" s="4" t="s">
        <v>3175</v>
      </c>
      <c r="C846" s="4" t="s">
        <v>983</v>
      </c>
      <c r="D846" s="4" t="s">
        <v>3290</v>
      </c>
      <c r="E846" s="9">
        <v>178.625</v>
      </c>
      <c r="F846" s="9">
        <v>357.25</v>
      </c>
      <c r="G846" s="1" t="s">
        <v>6257</v>
      </c>
      <c r="H846" s="1">
        <f>SUMIF([1]Sheet1!$G:$G,A846,[1]Sheet1!$O:$O)</f>
        <v>357.25</v>
      </c>
      <c r="I846" s="21">
        <f t="shared" si="13"/>
        <v>0</v>
      </c>
    </row>
    <row r="847" spans="1:9" x14ac:dyDescent="0.25">
      <c r="A847" s="18" t="s">
        <v>10139</v>
      </c>
      <c r="B847" s="4" t="s">
        <v>3176</v>
      </c>
      <c r="C847" s="4" t="s">
        <v>984</v>
      </c>
      <c r="D847" s="4" t="s">
        <v>3290</v>
      </c>
      <c r="E847" s="9">
        <v>3305.08</v>
      </c>
      <c r="F847" s="9">
        <v>3305.08</v>
      </c>
      <c r="G847" s="1" t="s">
        <v>10142</v>
      </c>
      <c r="H847" s="1">
        <f>SUMIF([1]Sheet1!$G:$G,A847,[1]Sheet1!$O:$O)</f>
        <v>3305.08</v>
      </c>
      <c r="I847" s="21">
        <f t="shared" si="13"/>
        <v>0</v>
      </c>
    </row>
    <row r="848" spans="1:9" x14ac:dyDescent="0.25">
      <c r="A848" s="18" t="s">
        <v>10171</v>
      </c>
      <c r="B848" s="4" t="s">
        <v>2397</v>
      </c>
      <c r="C848" s="4" t="s">
        <v>985</v>
      </c>
      <c r="D848" s="4" t="s">
        <v>3290</v>
      </c>
      <c r="E848" s="9">
        <v>106.77944444444444</v>
      </c>
      <c r="F848" s="9">
        <v>7688.119999999999</v>
      </c>
      <c r="G848" s="1" t="s">
        <v>10172</v>
      </c>
      <c r="H848" s="1">
        <f>SUMIF([1]Sheet1!$G:$G,A848,[1]Sheet1!$O:$O)</f>
        <v>7688.12</v>
      </c>
      <c r="I848" s="21">
        <f t="shared" si="13"/>
        <v>0</v>
      </c>
    </row>
    <row r="849" spans="1:9" x14ac:dyDescent="0.25">
      <c r="A849" s="18" t="s">
        <v>10209</v>
      </c>
      <c r="B849" s="4" t="s">
        <v>3177</v>
      </c>
      <c r="C849" s="4" t="s">
        <v>986</v>
      </c>
      <c r="D849" s="4" t="s">
        <v>3290</v>
      </c>
      <c r="E849" s="9">
        <v>4862.62</v>
      </c>
      <c r="F849" s="9">
        <v>9725.24</v>
      </c>
      <c r="G849" s="1" t="s">
        <v>10210</v>
      </c>
      <c r="H849" s="1">
        <f>SUMIF([1]Sheet1!$G:$G,A849,[1]Sheet1!$O:$O)</f>
        <v>9725.24</v>
      </c>
      <c r="I849" s="21">
        <f t="shared" si="13"/>
        <v>0</v>
      </c>
    </row>
    <row r="850" spans="1:9" x14ac:dyDescent="0.25">
      <c r="A850" s="18" t="s">
        <v>10156</v>
      </c>
      <c r="B850" s="4" t="s">
        <v>3178</v>
      </c>
      <c r="C850" s="4" t="s">
        <v>987</v>
      </c>
      <c r="D850" s="4" t="s">
        <v>3290</v>
      </c>
      <c r="E850" s="9">
        <v>78106.426000000007</v>
      </c>
      <c r="F850" s="9">
        <v>781064.26</v>
      </c>
      <c r="G850" s="1" t="s">
        <v>10157</v>
      </c>
      <c r="H850" s="1">
        <f>SUMIF([1]Sheet1!$G:$G,A850,[1]Sheet1!$O:$O)</f>
        <v>781064.26</v>
      </c>
      <c r="I850" s="21">
        <f t="shared" si="13"/>
        <v>0</v>
      </c>
    </row>
    <row r="851" spans="1:9" x14ac:dyDescent="0.25">
      <c r="A851" s="18" t="s">
        <v>4891</v>
      </c>
      <c r="B851" s="4" t="s">
        <v>3179</v>
      </c>
      <c r="C851" s="4" t="s">
        <v>988</v>
      </c>
      <c r="D851" s="4" t="s">
        <v>3290</v>
      </c>
      <c r="E851" s="9">
        <v>4583.05</v>
      </c>
      <c r="F851" s="9">
        <v>4583.05</v>
      </c>
      <c r="G851" s="1" t="s">
        <v>4892</v>
      </c>
      <c r="H851" s="1">
        <f>SUMIF([1]Sheet1!$G:$G,A851,[1]Sheet1!$O:$O)</f>
        <v>4583.05</v>
      </c>
      <c r="I851" s="21">
        <f t="shared" si="13"/>
        <v>0</v>
      </c>
    </row>
    <row r="852" spans="1:9" x14ac:dyDescent="0.25">
      <c r="A852" s="18" t="s">
        <v>10030</v>
      </c>
      <c r="B852" s="4" t="s">
        <v>3180</v>
      </c>
      <c r="C852" s="4" t="s">
        <v>989</v>
      </c>
      <c r="D852" s="4" t="s">
        <v>3290</v>
      </c>
      <c r="E852" s="9">
        <v>2241.126666666667</v>
      </c>
      <c r="F852" s="9">
        <v>47063.66</v>
      </c>
      <c r="G852" s="1" t="s">
        <v>10033</v>
      </c>
      <c r="H852" s="1">
        <f>SUMIF([1]Sheet1!$G:$G,A852,[1]Sheet1!$O:$O)</f>
        <v>47063.66</v>
      </c>
      <c r="I852" s="21">
        <f t="shared" si="13"/>
        <v>0</v>
      </c>
    </row>
    <row r="853" spans="1:9" x14ac:dyDescent="0.25">
      <c r="A853" s="18" t="s">
        <v>10053</v>
      </c>
      <c r="B853" s="4" t="s">
        <v>3181</v>
      </c>
      <c r="C853" s="4" t="s">
        <v>990</v>
      </c>
      <c r="D853" s="4" t="s">
        <v>3290</v>
      </c>
      <c r="E853" s="9">
        <v>9637.434444444445</v>
      </c>
      <c r="F853" s="9">
        <v>173473.82</v>
      </c>
      <c r="G853" s="1" t="s">
        <v>10054</v>
      </c>
      <c r="H853" s="1">
        <f>SUMIF([1]Sheet1!$G:$G,A853,[1]Sheet1!$O:$O)</f>
        <v>71021.960000000006</v>
      </c>
      <c r="I853" s="21">
        <f t="shared" si="13"/>
        <v>102451.86</v>
      </c>
    </row>
    <row r="854" spans="1:9" x14ac:dyDescent="0.25">
      <c r="A854" s="18" t="s">
        <v>10059</v>
      </c>
      <c r="B854" s="4" t="s">
        <v>2398</v>
      </c>
      <c r="C854" s="4" t="s">
        <v>991</v>
      </c>
      <c r="D854" s="4" t="s">
        <v>3290</v>
      </c>
      <c r="E854" s="9">
        <v>195.42699999999999</v>
      </c>
      <c r="F854" s="9">
        <v>1954.27</v>
      </c>
      <c r="G854" s="1" t="s">
        <v>10060</v>
      </c>
      <c r="H854" s="1">
        <f>SUMIF([1]Sheet1!$G:$G,A854,[1]Sheet1!$O:$O)</f>
        <v>1954.27</v>
      </c>
      <c r="I854" s="21">
        <f t="shared" si="13"/>
        <v>0</v>
      </c>
    </row>
    <row r="855" spans="1:9" x14ac:dyDescent="0.25">
      <c r="A855" s="18" t="s">
        <v>10088</v>
      </c>
      <c r="B855" s="4" t="s">
        <v>3182</v>
      </c>
      <c r="C855" s="4" t="s">
        <v>992</v>
      </c>
      <c r="D855" s="4" t="s">
        <v>3290</v>
      </c>
      <c r="E855" s="9">
        <v>10839.10375</v>
      </c>
      <c r="F855" s="9">
        <v>86712.83</v>
      </c>
      <c r="G855" s="1" t="s">
        <v>10089</v>
      </c>
      <c r="H855" s="1">
        <f>SUMIF([1]Sheet1!$G:$G,A855,[1]Sheet1!$O:$O)</f>
        <v>24515.07</v>
      </c>
      <c r="I855" s="21">
        <f t="shared" si="13"/>
        <v>62197.760000000002</v>
      </c>
    </row>
    <row r="856" spans="1:9" x14ac:dyDescent="0.25">
      <c r="A856" s="18" t="s">
        <v>4881</v>
      </c>
      <c r="B856" s="4" t="s">
        <v>3183</v>
      </c>
      <c r="C856" s="4" t="s">
        <v>993</v>
      </c>
      <c r="D856" s="4" t="s">
        <v>3290</v>
      </c>
      <c r="E856" s="9">
        <v>5783.8966666666665</v>
      </c>
      <c r="F856" s="9">
        <v>17351.689999999999</v>
      </c>
      <c r="G856" s="1" t="s">
        <v>4882</v>
      </c>
      <c r="H856" s="1">
        <f>SUMIF([1]Sheet1!$G:$G,A856,[1]Sheet1!$O:$O)</f>
        <v>17351.689999999999</v>
      </c>
      <c r="I856" s="21">
        <f t="shared" si="13"/>
        <v>0</v>
      </c>
    </row>
    <row r="857" spans="1:9" x14ac:dyDescent="0.25">
      <c r="A857" s="18" t="s">
        <v>7633</v>
      </c>
      <c r="B857" s="4" t="s">
        <v>2399</v>
      </c>
      <c r="C857" s="4" t="s">
        <v>994</v>
      </c>
      <c r="D857" s="4" t="s">
        <v>3290</v>
      </c>
      <c r="E857" s="9">
        <v>26.963999999999999</v>
      </c>
      <c r="F857" s="9">
        <v>269.64</v>
      </c>
      <c r="G857" s="1" t="s">
        <v>7636</v>
      </c>
      <c r="H857" s="1">
        <f>SUMIF([1]Sheet1!$G:$G,A857,[1]Sheet1!$O:$O)</f>
        <v>269.64</v>
      </c>
      <c r="I857" s="21">
        <f t="shared" si="13"/>
        <v>0</v>
      </c>
    </row>
    <row r="858" spans="1:9" x14ac:dyDescent="0.25">
      <c r="A858" s="18" t="s">
        <v>11626</v>
      </c>
      <c r="B858" s="4" t="s">
        <v>2400</v>
      </c>
      <c r="C858" s="4" t="s">
        <v>995</v>
      </c>
      <c r="D858" s="4" t="s">
        <v>3291</v>
      </c>
      <c r="E858" s="9">
        <v>4.2371527777777773</v>
      </c>
      <c r="F858" s="9">
        <v>122.02999999999999</v>
      </c>
      <c r="G858" s="1" t="s">
        <v>11627</v>
      </c>
      <c r="H858" s="1">
        <f>SUMIF([1]Sheet1!$G:$G,A858,[1]Sheet1!$O:$O)</f>
        <v>122.03</v>
      </c>
      <c r="I858" s="21">
        <f t="shared" si="13"/>
        <v>0</v>
      </c>
    </row>
    <row r="859" spans="1:9" x14ac:dyDescent="0.25">
      <c r="A859" s="18" t="s">
        <v>11219</v>
      </c>
      <c r="B859" s="4" t="s">
        <v>2401</v>
      </c>
      <c r="C859" s="4" t="s">
        <v>996</v>
      </c>
      <c r="D859" s="4" t="s">
        <v>3291</v>
      </c>
      <c r="E859" s="9">
        <v>14.908323083230831</v>
      </c>
      <c r="F859" s="9">
        <v>1818.07</v>
      </c>
      <c r="G859" s="1" t="s">
        <v>11220</v>
      </c>
      <c r="H859" s="1">
        <f>SUMIF([1]Sheet1!$G:$G,A859,[1]Sheet1!$O:$O)</f>
        <v>1818.07</v>
      </c>
      <c r="I859" s="21">
        <f t="shared" si="13"/>
        <v>0</v>
      </c>
    </row>
    <row r="860" spans="1:9" x14ac:dyDescent="0.25">
      <c r="A860" s="18" t="s">
        <v>10199</v>
      </c>
      <c r="B860" s="4" t="s">
        <v>3184</v>
      </c>
      <c r="C860" s="4" t="s">
        <v>997</v>
      </c>
      <c r="D860" s="4" t="s">
        <v>3290</v>
      </c>
      <c r="E860" s="9">
        <v>578.35461538461539</v>
      </c>
      <c r="F860" s="9">
        <v>7518.61</v>
      </c>
      <c r="G860" s="1" t="s">
        <v>10200</v>
      </c>
      <c r="H860" s="1">
        <f>SUMIF([1]Sheet1!$G:$G,A860,[1]Sheet1!$O:$O)</f>
        <v>7518.61</v>
      </c>
      <c r="I860" s="21">
        <f t="shared" si="13"/>
        <v>0</v>
      </c>
    </row>
    <row r="861" spans="1:9" x14ac:dyDescent="0.25">
      <c r="A861" s="18" t="s">
        <v>8713</v>
      </c>
      <c r="B861" s="4" t="s">
        <v>2402</v>
      </c>
      <c r="C861" s="4" t="s">
        <v>998</v>
      </c>
      <c r="D861" s="4" t="s">
        <v>3290</v>
      </c>
      <c r="E861" s="9">
        <v>67.793333333333337</v>
      </c>
      <c r="F861" s="9">
        <v>203.38</v>
      </c>
      <c r="G861" s="1" t="s">
        <v>8714</v>
      </c>
      <c r="H861" s="1">
        <f>SUMIF([1]Sheet1!$G:$G,A861,[1]Sheet1!$O:$O)</f>
        <v>203.38</v>
      </c>
      <c r="I861" s="21">
        <f t="shared" si="13"/>
        <v>0</v>
      </c>
    </row>
    <row r="862" spans="1:9" x14ac:dyDescent="0.25">
      <c r="A862" s="18" t="s">
        <v>9783</v>
      </c>
      <c r="B862" s="4" t="s">
        <v>2403</v>
      </c>
      <c r="C862" s="4" t="s">
        <v>999</v>
      </c>
      <c r="D862" s="4" t="s">
        <v>3290</v>
      </c>
      <c r="E862" s="9">
        <v>2.2112820512820512</v>
      </c>
      <c r="F862" s="9">
        <v>431.2</v>
      </c>
      <c r="G862" s="1" t="s">
        <v>9784</v>
      </c>
      <c r="H862" s="1">
        <f>SUMIF([1]Sheet1!$G:$G,A862,[1]Sheet1!$O:$O)</f>
        <v>422.36</v>
      </c>
      <c r="I862" s="21">
        <f t="shared" si="13"/>
        <v>8.839999999999975</v>
      </c>
    </row>
    <row r="863" spans="1:9" x14ac:dyDescent="0.25">
      <c r="A863" s="18" t="s">
        <v>6548</v>
      </c>
      <c r="B863" s="4" t="s">
        <v>2404</v>
      </c>
      <c r="C863" s="4" t="s">
        <v>1000</v>
      </c>
      <c r="D863" s="4" t="s">
        <v>3290</v>
      </c>
      <c r="E863" s="9">
        <v>2.1187499999999999</v>
      </c>
      <c r="F863" s="9">
        <v>16.95</v>
      </c>
      <c r="G863" s="1" t="s">
        <v>6549</v>
      </c>
      <c r="H863" s="1">
        <f>SUMIF([1]Sheet1!$G:$G,A863,[1]Sheet1!$O:$O)</f>
        <v>16.95</v>
      </c>
      <c r="I863" s="21">
        <f t="shared" si="13"/>
        <v>0</v>
      </c>
    </row>
    <row r="864" spans="1:9" x14ac:dyDescent="0.25">
      <c r="A864" s="18" t="s">
        <v>7189</v>
      </c>
      <c r="B864" s="4" t="s">
        <v>2405</v>
      </c>
      <c r="C864" s="4" t="s">
        <v>1001</v>
      </c>
      <c r="D864" s="4" t="s">
        <v>3289</v>
      </c>
      <c r="E864" s="9">
        <v>187.28814285714284</v>
      </c>
      <c r="F864" s="9">
        <v>13110.169999999998</v>
      </c>
      <c r="G864" s="1" t="s">
        <v>7192</v>
      </c>
      <c r="H864" s="1">
        <f>SUMIF([1]Sheet1!$G:$G,A864,[1]Sheet1!$O:$O)</f>
        <v>13110.17</v>
      </c>
      <c r="I864" s="21">
        <f t="shared" si="13"/>
        <v>0</v>
      </c>
    </row>
    <row r="865" spans="1:9" x14ac:dyDescent="0.25">
      <c r="A865" s="18" t="s">
        <v>5718</v>
      </c>
      <c r="B865" s="4" t="s">
        <v>2406</v>
      </c>
      <c r="C865" s="4" t="s">
        <v>1002</v>
      </c>
      <c r="D865" s="4" t="s">
        <v>3289</v>
      </c>
      <c r="E865" s="9">
        <v>0.93632478632478633</v>
      </c>
      <c r="F865" s="9">
        <v>109.55</v>
      </c>
      <c r="G865" s="1" t="s">
        <v>5719</v>
      </c>
      <c r="H865" s="1">
        <f>SUMIF([1]Sheet1!$G:$G,A865,[1]Sheet1!$O:$O)</f>
        <v>109.55</v>
      </c>
      <c r="I865" s="21">
        <f t="shared" si="13"/>
        <v>0</v>
      </c>
    </row>
    <row r="866" spans="1:9" x14ac:dyDescent="0.25">
      <c r="A866" s="18" t="s">
        <v>7353</v>
      </c>
      <c r="B866" s="4" t="s">
        <v>2407</v>
      </c>
      <c r="C866" s="4" t="s">
        <v>1003</v>
      </c>
      <c r="D866" s="4" t="s">
        <v>3289</v>
      </c>
      <c r="E866" s="9">
        <v>1528.2415094339624</v>
      </c>
      <c r="F866" s="9">
        <v>4049.84</v>
      </c>
      <c r="G866" s="1" t="s">
        <v>7354</v>
      </c>
      <c r="H866" s="1">
        <f>SUMIF([1]Sheet1!$G:$G,A866,[1]Sheet1!$O:$O)</f>
        <v>4049.84</v>
      </c>
      <c r="I866" s="21">
        <f t="shared" si="13"/>
        <v>0</v>
      </c>
    </row>
    <row r="867" spans="1:9" x14ac:dyDescent="0.25">
      <c r="A867" s="18" t="s">
        <v>7698</v>
      </c>
      <c r="B867" s="4" t="s">
        <v>2408</v>
      </c>
      <c r="C867" s="4" t="s">
        <v>1004</v>
      </c>
      <c r="D867" s="4" t="s">
        <v>3290</v>
      </c>
      <c r="E867" s="9">
        <v>214.83166666666668</v>
      </c>
      <c r="F867" s="9">
        <v>1288.99</v>
      </c>
      <c r="G867" s="1" t="s">
        <v>7699</v>
      </c>
      <c r="H867" s="1">
        <f>SUMIF([1]Sheet1!$G:$G,A867,[1]Sheet1!$O:$O)</f>
        <v>1288.99</v>
      </c>
      <c r="I867" s="21">
        <f t="shared" si="13"/>
        <v>0</v>
      </c>
    </row>
    <row r="868" spans="1:9" x14ac:dyDescent="0.25">
      <c r="A868" s="18" t="s">
        <v>11597</v>
      </c>
      <c r="B868" s="4" t="s">
        <v>2409</v>
      </c>
      <c r="C868" s="4" t="s">
        <v>1005</v>
      </c>
      <c r="D868" s="4" t="s">
        <v>3290</v>
      </c>
      <c r="E868" s="9">
        <v>4.6610416666666667</v>
      </c>
      <c r="F868" s="9">
        <v>223.73000000000002</v>
      </c>
      <c r="G868" s="1" t="s">
        <v>11598</v>
      </c>
      <c r="H868" s="1">
        <f>SUMIF([1]Sheet1!$G:$G,A868,[1]Sheet1!$O:$O)</f>
        <v>223.73</v>
      </c>
      <c r="I868" s="21">
        <f t="shared" si="13"/>
        <v>0</v>
      </c>
    </row>
    <row r="869" spans="1:9" x14ac:dyDescent="0.25">
      <c r="A869" s="18" t="s">
        <v>10758</v>
      </c>
      <c r="B869" s="4" t="s">
        <v>2410</v>
      </c>
      <c r="C869" s="4" t="s">
        <v>1006</v>
      </c>
      <c r="D869" s="4" t="s">
        <v>3290</v>
      </c>
      <c r="E869" s="9">
        <v>1.3051851851851852</v>
      </c>
      <c r="F869" s="9">
        <v>211.44</v>
      </c>
      <c r="G869" s="1" t="s">
        <v>10759</v>
      </c>
      <c r="H869" s="1">
        <f>SUMIF([1]Sheet1!$G:$G,A869,[1]Sheet1!$O:$O)</f>
        <v>211.44</v>
      </c>
      <c r="I869" s="21">
        <f t="shared" si="13"/>
        <v>0</v>
      </c>
    </row>
    <row r="870" spans="1:9" x14ac:dyDescent="0.25">
      <c r="A870" s="18" t="s">
        <v>9526</v>
      </c>
      <c r="B870" s="4" t="s">
        <v>2411</v>
      </c>
      <c r="C870" s="4" t="s">
        <v>1007</v>
      </c>
      <c r="D870" s="4" t="s">
        <v>3290</v>
      </c>
      <c r="E870" s="9">
        <v>0.42666666666666669</v>
      </c>
      <c r="F870" s="9">
        <v>71.680000000000007</v>
      </c>
      <c r="G870" s="1" t="s">
        <v>9527</v>
      </c>
      <c r="H870" s="1">
        <f>SUMIF([1]Sheet1!$G:$G,A870,[1]Sheet1!$O:$O)</f>
        <v>71.69</v>
      </c>
      <c r="I870" s="21">
        <f t="shared" si="13"/>
        <v>-9.9999999999909051E-3</v>
      </c>
    </row>
    <row r="871" spans="1:9" x14ac:dyDescent="0.25">
      <c r="A871" s="18" t="s">
        <v>9491</v>
      </c>
      <c r="B871" s="4" t="s">
        <v>2412</v>
      </c>
      <c r="C871" s="4" t="s">
        <v>1008</v>
      </c>
      <c r="D871" s="4" t="s">
        <v>3290</v>
      </c>
      <c r="E871" s="9">
        <v>8.0666666666666664E-3</v>
      </c>
      <c r="F871" s="9">
        <v>1.21</v>
      </c>
      <c r="G871" s="1" t="s">
        <v>9492</v>
      </c>
      <c r="H871" s="1">
        <f>SUMIF([1]Sheet1!$G:$G,A871,[1]Sheet1!$O:$O)</f>
        <v>1.22</v>
      </c>
      <c r="I871" s="21">
        <f t="shared" si="13"/>
        <v>-1.0000000000000009E-2</v>
      </c>
    </row>
    <row r="872" spans="1:9" x14ac:dyDescent="0.25">
      <c r="A872" s="18" t="s">
        <v>9468</v>
      </c>
      <c r="B872" s="4" t="s">
        <v>2413</v>
      </c>
      <c r="C872" s="4" t="s">
        <v>1009</v>
      </c>
      <c r="D872" s="4" t="s">
        <v>3290</v>
      </c>
      <c r="E872" s="9">
        <v>0.63019230769230772</v>
      </c>
      <c r="F872" s="9">
        <v>98.31</v>
      </c>
      <c r="G872" s="1" t="s">
        <v>9469</v>
      </c>
      <c r="H872" s="1">
        <f>SUMIF([1]Sheet1!$G:$G,A872,[1]Sheet1!$O:$O)</f>
        <v>98.31</v>
      </c>
      <c r="I872" s="21">
        <f t="shared" si="13"/>
        <v>0</v>
      </c>
    </row>
    <row r="873" spans="1:9" x14ac:dyDescent="0.25">
      <c r="A873" s="18" t="s">
        <v>9154</v>
      </c>
      <c r="B873" s="4" t="s">
        <v>2414</v>
      </c>
      <c r="C873" s="4" t="s">
        <v>1010</v>
      </c>
      <c r="D873" s="4" t="s">
        <v>3290</v>
      </c>
      <c r="E873" s="9">
        <v>202.19</v>
      </c>
      <c r="F873" s="9">
        <v>202.19</v>
      </c>
      <c r="G873" s="1" t="s">
        <v>9155</v>
      </c>
      <c r="H873" s="1">
        <f>SUMIF([1]Sheet1!$G:$G,A873,[1]Sheet1!$O:$O)</f>
        <v>202.19</v>
      </c>
      <c r="I873" s="21">
        <f t="shared" si="13"/>
        <v>0</v>
      </c>
    </row>
    <row r="874" spans="1:9" x14ac:dyDescent="0.25">
      <c r="A874" s="18" t="s">
        <v>9159</v>
      </c>
      <c r="B874" s="4" t="s">
        <v>2415</v>
      </c>
      <c r="C874" s="4" t="s">
        <v>1011</v>
      </c>
      <c r="D874" s="4" t="s">
        <v>3290</v>
      </c>
      <c r="E874" s="9">
        <v>42.372500000000002</v>
      </c>
      <c r="F874" s="9">
        <v>169.49</v>
      </c>
      <c r="G874" s="1" t="s">
        <v>9160</v>
      </c>
      <c r="H874" s="1">
        <f>SUMIF([1]Sheet1!$G:$G,A874,[1]Sheet1!$O:$O)</f>
        <v>169.49</v>
      </c>
      <c r="I874" s="21">
        <f t="shared" si="13"/>
        <v>0</v>
      </c>
    </row>
    <row r="875" spans="1:9" x14ac:dyDescent="0.25">
      <c r="A875" s="18" t="s">
        <v>9204</v>
      </c>
      <c r="B875" s="4" t="s">
        <v>2416</v>
      </c>
      <c r="C875" s="4" t="s">
        <v>1012</v>
      </c>
      <c r="D875" s="4" t="s">
        <v>3290</v>
      </c>
      <c r="E875" s="9">
        <v>634.03</v>
      </c>
      <c r="F875" s="9">
        <v>634.03</v>
      </c>
      <c r="G875" s="1" t="s">
        <v>9205</v>
      </c>
      <c r="H875" s="1">
        <f>SUMIF([1]Sheet1!$G:$G,A875,[1]Sheet1!$O:$O)</f>
        <v>634.03</v>
      </c>
      <c r="I875" s="21">
        <f t="shared" si="13"/>
        <v>0</v>
      </c>
    </row>
    <row r="876" spans="1:9" x14ac:dyDescent="0.25">
      <c r="A876" s="18" t="s">
        <v>9206</v>
      </c>
      <c r="B876" s="4" t="s">
        <v>3185</v>
      </c>
      <c r="C876" s="4" t="s">
        <v>1013</v>
      </c>
      <c r="D876" s="4" t="s">
        <v>3290</v>
      </c>
      <c r="E876" s="9">
        <v>381.36</v>
      </c>
      <c r="F876" s="9">
        <v>381.36</v>
      </c>
      <c r="G876" s="1" t="s">
        <v>9209</v>
      </c>
      <c r="H876" s="1">
        <f>SUMIF([1]Sheet1!$G:$G,A876,[1]Sheet1!$O:$O)</f>
        <v>381.36</v>
      </c>
      <c r="I876" s="21">
        <f t="shared" si="13"/>
        <v>0</v>
      </c>
    </row>
    <row r="877" spans="1:9" x14ac:dyDescent="0.25">
      <c r="A877" s="18" t="s">
        <v>4703</v>
      </c>
      <c r="B877" s="4" t="s">
        <v>3186</v>
      </c>
      <c r="C877" s="4" t="s">
        <v>1014</v>
      </c>
      <c r="D877" s="4" t="s">
        <v>3290</v>
      </c>
      <c r="E877" s="9">
        <v>296.61</v>
      </c>
      <c r="F877" s="9">
        <v>296.61</v>
      </c>
      <c r="G877" s="1" t="s">
        <v>4706</v>
      </c>
      <c r="H877" s="1">
        <f>SUMIF([1]Sheet1!$G:$G,A877,[1]Sheet1!$O:$O)</f>
        <v>296.61</v>
      </c>
      <c r="I877" s="21">
        <f t="shared" si="13"/>
        <v>0</v>
      </c>
    </row>
    <row r="878" spans="1:9" x14ac:dyDescent="0.25">
      <c r="A878" s="18" t="s">
        <v>10678</v>
      </c>
      <c r="B878" s="4" t="s">
        <v>2417</v>
      </c>
      <c r="C878" s="4" t="s">
        <v>1015</v>
      </c>
      <c r="D878" s="4" t="s">
        <v>3295</v>
      </c>
      <c r="E878" s="9">
        <v>33.888888888888886</v>
      </c>
      <c r="F878" s="9">
        <v>3.05</v>
      </c>
      <c r="G878" s="1" t="s">
        <v>10679</v>
      </c>
      <c r="H878" s="1">
        <f>SUMIF([1]Sheet1!$G:$G,A878,[1]Sheet1!$O:$O)</f>
        <v>3.05</v>
      </c>
      <c r="I878" s="21">
        <f t="shared" si="13"/>
        <v>0</v>
      </c>
    </row>
    <row r="879" spans="1:9" x14ac:dyDescent="0.25">
      <c r="A879" s="18" t="s">
        <v>8617</v>
      </c>
      <c r="B879" s="4" t="s">
        <v>2418</v>
      </c>
      <c r="C879" s="4" t="s">
        <v>1016</v>
      </c>
      <c r="D879" s="4" t="s">
        <v>3290</v>
      </c>
      <c r="E879" s="9">
        <v>33.049999999999997</v>
      </c>
      <c r="F879" s="9">
        <v>33.049999999999997</v>
      </c>
      <c r="G879" s="1" t="s">
        <v>8618</v>
      </c>
      <c r="H879" s="1">
        <f>SUMIF([1]Sheet1!$G:$G,A879,[1]Sheet1!$O:$O)</f>
        <v>33.049999999999997</v>
      </c>
      <c r="I879" s="21">
        <f t="shared" si="13"/>
        <v>0</v>
      </c>
    </row>
    <row r="880" spans="1:9" x14ac:dyDescent="0.25">
      <c r="A880" s="18" t="s">
        <v>4817</v>
      </c>
      <c r="B880" s="4" t="s">
        <v>2419</v>
      </c>
      <c r="C880" s="4" t="s">
        <v>1017</v>
      </c>
      <c r="D880" s="4" t="s">
        <v>3290</v>
      </c>
      <c r="E880" s="9">
        <v>46.61</v>
      </c>
      <c r="F880" s="9">
        <v>326.27</v>
      </c>
      <c r="G880" s="1" t="s">
        <v>4818</v>
      </c>
      <c r="H880" s="1">
        <f>SUMIF([1]Sheet1!$G:$G,A880,[1]Sheet1!$O:$O)</f>
        <v>326.27</v>
      </c>
      <c r="I880" s="21">
        <f t="shared" si="13"/>
        <v>0</v>
      </c>
    </row>
    <row r="881" spans="1:9" x14ac:dyDescent="0.25">
      <c r="A881" s="18" t="s">
        <v>4813</v>
      </c>
      <c r="B881" s="4" t="s">
        <v>2420</v>
      </c>
      <c r="C881" s="4" t="s">
        <v>1018</v>
      </c>
      <c r="D881" s="4" t="s">
        <v>3290</v>
      </c>
      <c r="E881" s="9">
        <v>29.66</v>
      </c>
      <c r="F881" s="9">
        <v>29.66</v>
      </c>
      <c r="G881" s="1" t="s">
        <v>4814</v>
      </c>
      <c r="H881" s="1">
        <f>SUMIF([1]Sheet1!$G:$G,A881,[1]Sheet1!$O:$O)</f>
        <v>29.66</v>
      </c>
      <c r="I881" s="21">
        <f t="shared" si="13"/>
        <v>0</v>
      </c>
    </row>
    <row r="882" spans="1:9" x14ac:dyDescent="0.25">
      <c r="A882" s="18" t="s">
        <v>8531</v>
      </c>
      <c r="B882" s="4" t="s">
        <v>2421</v>
      </c>
      <c r="C882" s="4" t="s">
        <v>1019</v>
      </c>
      <c r="D882" s="4" t="s">
        <v>3289</v>
      </c>
      <c r="E882" s="9">
        <v>0.71815203145478379</v>
      </c>
      <c r="F882" s="9">
        <v>109.59</v>
      </c>
      <c r="G882" s="1" t="s">
        <v>8532</v>
      </c>
      <c r="H882" s="1">
        <f>SUMIF([1]Sheet1!$G:$G,A882,[1]Sheet1!$O:$O)</f>
        <v>109.6</v>
      </c>
      <c r="I882" s="21">
        <f t="shared" si="13"/>
        <v>-9.9999999999909051E-3</v>
      </c>
    </row>
    <row r="883" spans="1:9" x14ac:dyDescent="0.25">
      <c r="A883" s="18" t="s">
        <v>8611</v>
      </c>
      <c r="B883" s="4" t="s">
        <v>2422</v>
      </c>
      <c r="C883" s="4" t="s">
        <v>1020</v>
      </c>
      <c r="D883" s="4" t="s">
        <v>3290</v>
      </c>
      <c r="E883" s="9">
        <v>80.510000000000005</v>
      </c>
      <c r="F883" s="9">
        <v>80.510000000000005</v>
      </c>
      <c r="G883" s="1" t="s">
        <v>8612</v>
      </c>
      <c r="H883" s="1">
        <f>SUMIF([1]Sheet1!$G:$G,A883,[1]Sheet1!$O:$O)</f>
        <v>80.510000000000005</v>
      </c>
      <c r="I883" s="21">
        <f t="shared" si="13"/>
        <v>0</v>
      </c>
    </row>
    <row r="884" spans="1:9" x14ac:dyDescent="0.25">
      <c r="A884" s="18" t="s">
        <v>8629</v>
      </c>
      <c r="B884" s="4" t="s">
        <v>2423</v>
      </c>
      <c r="C884" s="4" t="s">
        <v>1021</v>
      </c>
      <c r="D884" s="4" t="s">
        <v>3290</v>
      </c>
      <c r="E884" s="9">
        <v>66.099999999999994</v>
      </c>
      <c r="F884" s="9">
        <v>66.099999999999994</v>
      </c>
      <c r="G884" s="1" t="s">
        <v>8630</v>
      </c>
      <c r="H884" s="1">
        <f>SUMIF([1]Sheet1!$G:$G,A884,[1]Sheet1!$O:$O)</f>
        <v>66.099999999999994</v>
      </c>
      <c r="I884" s="21">
        <f t="shared" si="13"/>
        <v>0</v>
      </c>
    </row>
    <row r="885" spans="1:9" x14ac:dyDescent="0.25">
      <c r="A885" s="18" t="s">
        <v>8627</v>
      </c>
      <c r="B885" s="4" t="s">
        <v>2424</v>
      </c>
      <c r="C885" s="4" t="s">
        <v>1022</v>
      </c>
      <c r="D885" s="4" t="s">
        <v>3290</v>
      </c>
      <c r="E885" s="9">
        <v>42.37</v>
      </c>
      <c r="F885" s="9">
        <v>42.37</v>
      </c>
      <c r="G885" s="1" t="s">
        <v>8628</v>
      </c>
      <c r="H885" s="1">
        <f>SUMIF([1]Sheet1!$G:$G,A885,[1]Sheet1!$O:$O)</f>
        <v>42.37</v>
      </c>
      <c r="I885" s="21">
        <f t="shared" si="13"/>
        <v>0</v>
      </c>
    </row>
    <row r="886" spans="1:9" x14ac:dyDescent="0.25">
      <c r="A886" s="18" t="s">
        <v>8615</v>
      </c>
      <c r="B886" s="4" t="s">
        <v>2425</v>
      </c>
      <c r="C886" s="4" t="s">
        <v>1023</v>
      </c>
      <c r="D886" s="4" t="s">
        <v>3290</v>
      </c>
      <c r="E886" s="9">
        <v>46.61</v>
      </c>
      <c r="F886" s="9">
        <v>46.61</v>
      </c>
      <c r="G886" s="1" t="s">
        <v>8616</v>
      </c>
      <c r="H886" s="1">
        <f>SUMIF([1]Sheet1!$G:$G,A886,[1]Sheet1!$O:$O)</f>
        <v>46.61</v>
      </c>
      <c r="I886" s="21">
        <f t="shared" si="13"/>
        <v>0</v>
      </c>
    </row>
    <row r="887" spans="1:9" x14ac:dyDescent="0.25">
      <c r="A887" s="18" t="s">
        <v>8484</v>
      </c>
      <c r="B887" s="4" t="s">
        <v>2426</v>
      </c>
      <c r="C887" s="4" t="s">
        <v>1024</v>
      </c>
      <c r="D887" s="4" t="s">
        <v>3290</v>
      </c>
      <c r="E887" s="9">
        <v>29.66</v>
      </c>
      <c r="F887" s="9">
        <v>118.64</v>
      </c>
      <c r="G887" s="1" t="s">
        <v>8485</v>
      </c>
      <c r="H887" s="1">
        <f>SUMIF([1]Sheet1!$G:$G,A887,[1]Sheet1!$O:$O)</f>
        <v>118.64</v>
      </c>
      <c r="I887" s="21">
        <f t="shared" si="13"/>
        <v>0</v>
      </c>
    </row>
    <row r="888" spans="1:9" x14ac:dyDescent="0.25">
      <c r="A888" s="18" t="s">
        <v>7631</v>
      </c>
      <c r="B888" s="4" t="s">
        <v>2427</v>
      </c>
      <c r="C888" s="4" t="s">
        <v>1025</v>
      </c>
      <c r="D888" s="4" t="s">
        <v>3290</v>
      </c>
      <c r="E888" s="9">
        <v>8.4749999999999996</v>
      </c>
      <c r="F888" s="9">
        <v>33.9</v>
      </c>
      <c r="G888" s="1" t="s">
        <v>7632</v>
      </c>
      <c r="H888" s="1">
        <f>SUMIF([1]Sheet1!$G:$G,A888,[1]Sheet1!$O:$O)</f>
        <v>33.9</v>
      </c>
      <c r="I888" s="21">
        <f t="shared" si="13"/>
        <v>0</v>
      </c>
    </row>
    <row r="889" spans="1:9" x14ac:dyDescent="0.25">
      <c r="A889" s="18" t="s">
        <v>8498</v>
      </c>
      <c r="B889" s="4" t="s">
        <v>2428</v>
      </c>
      <c r="C889" s="4" t="s">
        <v>1026</v>
      </c>
      <c r="D889" s="4" t="s">
        <v>3290</v>
      </c>
      <c r="E889" s="9">
        <v>61.02</v>
      </c>
      <c r="F889" s="9">
        <v>61.02</v>
      </c>
      <c r="G889" s="1" t="s">
        <v>8499</v>
      </c>
      <c r="H889" s="1">
        <f>SUMIF([1]Sheet1!$G:$G,A889,[1]Sheet1!$O:$O)</f>
        <v>61.02</v>
      </c>
      <c r="I889" s="21">
        <f t="shared" si="13"/>
        <v>0</v>
      </c>
    </row>
    <row r="890" spans="1:9" x14ac:dyDescent="0.25">
      <c r="A890" s="18" t="s">
        <v>8496</v>
      </c>
      <c r="B890" s="4" t="s">
        <v>2429</v>
      </c>
      <c r="C890" s="4" t="s">
        <v>1027</v>
      </c>
      <c r="D890" s="4" t="s">
        <v>3290</v>
      </c>
      <c r="E890" s="9">
        <v>34.744999999999997</v>
      </c>
      <c r="F890" s="9">
        <v>138.97999999999999</v>
      </c>
      <c r="G890" s="1" t="s">
        <v>8497</v>
      </c>
      <c r="H890" s="1">
        <f>SUMIF([1]Sheet1!$G:$G,A890,[1]Sheet1!$O:$O)</f>
        <v>138.97999999999999</v>
      </c>
      <c r="I890" s="21">
        <f t="shared" si="13"/>
        <v>0</v>
      </c>
    </row>
    <row r="891" spans="1:9" x14ac:dyDescent="0.25">
      <c r="A891" s="18" t="s">
        <v>8645</v>
      </c>
      <c r="B891" s="4" t="s">
        <v>2430</v>
      </c>
      <c r="C891" s="4" t="s">
        <v>1028</v>
      </c>
      <c r="D891" s="4" t="s">
        <v>3290</v>
      </c>
      <c r="E891" s="9">
        <v>50.847142857142856</v>
      </c>
      <c r="F891" s="9">
        <v>355.93</v>
      </c>
      <c r="G891" s="1" t="s">
        <v>8646</v>
      </c>
      <c r="H891" s="1">
        <f>SUMIF([1]Sheet1!$G:$G,A891,[1]Sheet1!$O:$O)</f>
        <v>355.93</v>
      </c>
      <c r="I891" s="21">
        <f t="shared" si="13"/>
        <v>0</v>
      </c>
    </row>
    <row r="892" spans="1:9" x14ac:dyDescent="0.25">
      <c r="A892" s="18" t="s">
        <v>8633</v>
      </c>
      <c r="B892" s="4" t="s">
        <v>2431</v>
      </c>
      <c r="C892" s="4" t="s">
        <v>1029</v>
      </c>
      <c r="D892" s="4" t="s">
        <v>3290</v>
      </c>
      <c r="E892" s="9">
        <v>21.187142857142856</v>
      </c>
      <c r="F892" s="9">
        <v>148.31</v>
      </c>
      <c r="G892" s="1" t="s">
        <v>8634</v>
      </c>
      <c r="H892" s="1">
        <f>SUMIF([1]Sheet1!$G:$G,A892,[1]Sheet1!$O:$O)</f>
        <v>148.31</v>
      </c>
      <c r="I892" s="21">
        <f t="shared" si="13"/>
        <v>0</v>
      </c>
    </row>
    <row r="893" spans="1:9" x14ac:dyDescent="0.25">
      <c r="A893" s="18" t="s">
        <v>4146</v>
      </c>
      <c r="B893" s="4" t="s">
        <v>2432</v>
      </c>
      <c r="C893" s="4" t="s">
        <v>1030</v>
      </c>
      <c r="D893" s="4" t="s">
        <v>3289</v>
      </c>
      <c r="E893" s="9">
        <v>4.8310064239828696</v>
      </c>
      <c r="F893" s="9">
        <v>1128.04</v>
      </c>
      <c r="G893" s="1" t="s">
        <v>4147</v>
      </c>
      <c r="H893" s="1">
        <f>SUMIF([1]Sheet1!$G:$G,A893,[1]Sheet1!$O:$O)</f>
        <v>1128.04</v>
      </c>
      <c r="I893" s="21">
        <f t="shared" si="13"/>
        <v>0</v>
      </c>
    </row>
    <row r="894" spans="1:9" x14ac:dyDescent="0.25">
      <c r="A894" s="18" t="s">
        <v>8468</v>
      </c>
      <c r="B894" s="4" t="s">
        <v>2433</v>
      </c>
      <c r="C894" s="4" t="s">
        <v>1031</v>
      </c>
      <c r="D894" s="4" t="s">
        <v>3290</v>
      </c>
      <c r="E894" s="9">
        <v>12.71</v>
      </c>
      <c r="F894" s="9">
        <v>12.71</v>
      </c>
      <c r="G894" s="1" t="s">
        <v>8469</v>
      </c>
      <c r="H894" s="1">
        <f>SUMIF([1]Sheet1!$G:$G,A894,[1]Sheet1!$O:$O)</f>
        <v>12.71</v>
      </c>
      <c r="I894" s="21">
        <f t="shared" si="13"/>
        <v>0</v>
      </c>
    </row>
    <row r="895" spans="1:9" x14ac:dyDescent="0.25">
      <c r="A895" s="18" t="s">
        <v>7856</v>
      </c>
      <c r="B895" s="4" t="s">
        <v>2434</v>
      </c>
      <c r="C895" s="4" t="s">
        <v>1032</v>
      </c>
      <c r="D895" s="4" t="s">
        <v>3290</v>
      </c>
      <c r="E895" s="9">
        <v>8.4749999999999996</v>
      </c>
      <c r="F895" s="9">
        <v>50.849999999999994</v>
      </c>
      <c r="G895" s="1" t="s">
        <v>7857</v>
      </c>
      <c r="H895" s="1">
        <f>SUMIF([1]Sheet1!$G:$G,A895,[1]Sheet1!$O:$O)</f>
        <v>50.85</v>
      </c>
      <c r="I895" s="21">
        <f t="shared" si="13"/>
        <v>0</v>
      </c>
    </row>
    <row r="896" spans="1:9" x14ac:dyDescent="0.25">
      <c r="A896" s="18" t="s">
        <v>11407</v>
      </c>
      <c r="B896" s="4" t="s">
        <v>2435</v>
      </c>
      <c r="C896" s="4" t="s">
        <v>1033</v>
      </c>
      <c r="D896" s="4" t="s">
        <v>3290</v>
      </c>
      <c r="E896" s="9">
        <v>5.2966666666666669</v>
      </c>
      <c r="F896" s="9">
        <v>63.56</v>
      </c>
      <c r="G896" s="1" t="s">
        <v>11408</v>
      </c>
      <c r="H896" s="1">
        <f>SUMIF([1]Sheet1!$G:$G,A896,[1]Sheet1!$O:$O)</f>
        <v>63.56</v>
      </c>
      <c r="I896" s="21">
        <f t="shared" si="13"/>
        <v>0</v>
      </c>
    </row>
    <row r="897" spans="1:9" x14ac:dyDescent="0.25">
      <c r="A897" s="18" t="s">
        <v>4729</v>
      </c>
      <c r="B897" s="4" t="s">
        <v>2436</v>
      </c>
      <c r="C897" s="4" t="s">
        <v>1034</v>
      </c>
      <c r="D897" s="4" t="s">
        <v>3290</v>
      </c>
      <c r="E897" s="9">
        <v>5.2960000000000003</v>
      </c>
      <c r="F897" s="9">
        <v>26.48</v>
      </c>
      <c r="G897" s="1" t="s">
        <v>4730</v>
      </c>
      <c r="H897" s="1">
        <f>SUMIF([1]Sheet1!$G:$G,A897,[1]Sheet1!$O:$O)</f>
        <v>26.48</v>
      </c>
      <c r="I897" s="21">
        <f t="shared" si="13"/>
        <v>0</v>
      </c>
    </row>
    <row r="898" spans="1:9" x14ac:dyDescent="0.25">
      <c r="A898" s="18" t="s">
        <v>4555</v>
      </c>
      <c r="B898" s="4" t="s">
        <v>2437</v>
      </c>
      <c r="C898" s="4" t="s">
        <v>1035</v>
      </c>
      <c r="D898" s="4" t="s">
        <v>3290</v>
      </c>
      <c r="E898" s="9">
        <v>16.95</v>
      </c>
      <c r="F898" s="9">
        <v>50.849999999999994</v>
      </c>
      <c r="G898" s="1" t="s">
        <v>4556</v>
      </c>
      <c r="H898" s="1">
        <f>SUMIF([1]Sheet1!$G:$G,A898,[1]Sheet1!$O:$O)</f>
        <v>50.85</v>
      </c>
      <c r="I898" s="21">
        <f t="shared" si="13"/>
        <v>0</v>
      </c>
    </row>
    <row r="899" spans="1:9" x14ac:dyDescent="0.25">
      <c r="A899" s="18" t="s">
        <v>8075</v>
      </c>
      <c r="B899" s="4" t="s">
        <v>2438</v>
      </c>
      <c r="C899" s="4" t="s">
        <v>1036</v>
      </c>
      <c r="D899" s="4" t="s">
        <v>3290</v>
      </c>
      <c r="E899" s="9">
        <v>4.2383333333333333</v>
      </c>
      <c r="F899" s="9">
        <v>25.43</v>
      </c>
      <c r="G899" s="1" t="s">
        <v>8076</v>
      </c>
      <c r="H899" s="1">
        <f>SUMIF([1]Sheet1!$G:$G,A899,[1]Sheet1!$O:$O)</f>
        <v>25.43</v>
      </c>
      <c r="I899" s="21">
        <f t="shared" ref="I899:I962" si="14">F899-H899</f>
        <v>0</v>
      </c>
    </row>
    <row r="900" spans="1:9" x14ac:dyDescent="0.25">
      <c r="A900" s="18" t="s">
        <v>8482</v>
      </c>
      <c r="B900" s="4" t="s">
        <v>2439</v>
      </c>
      <c r="C900" s="4" t="s">
        <v>1037</v>
      </c>
      <c r="D900" s="4" t="s">
        <v>3290</v>
      </c>
      <c r="E900" s="9">
        <v>15.255000000000001</v>
      </c>
      <c r="F900" s="9">
        <v>30.51</v>
      </c>
      <c r="G900" s="1" t="s">
        <v>8483</v>
      </c>
      <c r="H900" s="1">
        <f>SUMIF([1]Sheet1!$G:$G,A900,[1]Sheet1!$O:$O)</f>
        <v>30.51</v>
      </c>
      <c r="I900" s="21">
        <f t="shared" si="14"/>
        <v>0</v>
      </c>
    </row>
    <row r="901" spans="1:9" x14ac:dyDescent="0.25">
      <c r="A901" s="18" t="s">
        <v>10133</v>
      </c>
      <c r="B901" s="4" t="s">
        <v>2440</v>
      </c>
      <c r="C901" s="4" t="s">
        <v>1038</v>
      </c>
      <c r="D901" s="4" t="s">
        <v>3290</v>
      </c>
      <c r="E901" s="9">
        <v>42.37</v>
      </c>
      <c r="F901" s="9">
        <v>42.37</v>
      </c>
      <c r="G901" s="1" t="s">
        <v>10134</v>
      </c>
      <c r="H901" s="1">
        <f>SUMIF([1]Sheet1!$G:$G,A901,[1]Sheet1!$O:$O)</f>
        <v>42.37</v>
      </c>
      <c r="I901" s="21">
        <f t="shared" si="14"/>
        <v>0</v>
      </c>
    </row>
    <row r="902" spans="1:9" x14ac:dyDescent="0.25">
      <c r="A902" s="18" t="s">
        <v>10061</v>
      </c>
      <c r="B902" s="4" t="s">
        <v>2441</v>
      </c>
      <c r="C902" s="4" t="s">
        <v>1039</v>
      </c>
      <c r="D902" s="4" t="s">
        <v>3290</v>
      </c>
      <c r="E902" s="9">
        <v>181.3956</v>
      </c>
      <c r="F902" s="9">
        <v>9069.7800000000007</v>
      </c>
      <c r="G902" s="1" t="s">
        <v>10062</v>
      </c>
      <c r="H902" s="1">
        <f>SUMIF([1]Sheet1!$G:$G,A902,[1]Sheet1!$O:$O)</f>
        <v>8706.99</v>
      </c>
      <c r="I902" s="21">
        <f t="shared" si="14"/>
        <v>362.79000000000087</v>
      </c>
    </row>
    <row r="903" spans="1:9" x14ac:dyDescent="0.25">
      <c r="A903" s="18" t="s">
        <v>9418</v>
      </c>
      <c r="B903" s="4" t="s">
        <v>2442</v>
      </c>
      <c r="C903" s="4" t="s">
        <v>1040</v>
      </c>
      <c r="D903" s="4" t="s">
        <v>3291</v>
      </c>
      <c r="E903" s="9">
        <v>8.3357142857142854</v>
      </c>
      <c r="F903" s="9">
        <v>116.69999999999999</v>
      </c>
      <c r="G903" s="1" t="s">
        <v>9419</v>
      </c>
      <c r="H903" s="1">
        <f>SUMIF([1]Sheet1!$G:$G,A903,[1]Sheet1!$O:$O)</f>
        <v>116.7</v>
      </c>
      <c r="I903" s="21">
        <f t="shared" si="14"/>
        <v>0</v>
      </c>
    </row>
    <row r="904" spans="1:9" x14ac:dyDescent="0.25">
      <c r="A904" s="18" t="s">
        <v>9615</v>
      </c>
      <c r="B904" s="4" t="s">
        <v>2443</v>
      </c>
      <c r="C904" s="4" t="s">
        <v>1041</v>
      </c>
      <c r="D904" s="4" t="s">
        <v>3290</v>
      </c>
      <c r="E904" s="9">
        <v>275.42</v>
      </c>
      <c r="F904" s="9">
        <v>275.42</v>
      </c>
      <c r="G904" s="1" t="s">
        <v>9616</v>
      </c>
      <c r="H904" s="1">
        <f>SUMIF([1]Sheet1!$G:$G,A904,[1]Sheet1!$O:$O)</f>
        <v>275.42</v>
      </c>
      <c r="I904" s="21">
        <f t="shared" si="14"/>
        <v>0</v>
      </c>
    </row>
    <row r="905" spans="1:9" x14ac:dyDescent="0.25">
      <c r="A905" s="18" t="s">
        <v>7305</v>
      </c>
      <c r="B905" s="4" t="s">
        <v>2444</v>
      </c>
      <c r="C905" s="4" t="s">
        <v>1042</v>
      </c>
      <c r="D905" s="4" t="s">
        <v>3289</v>
      </c>
      <c r="E905" s="9">
        <v>327.57777777777778</v>
      </c>
      <c r="F905" s="9">
        <v>294.82</v>
      </c>
      <c r="G905" s="1" t="s">
        <v>7306</v>
      </c>
      <c r="H905" s="1">
        <f>SUMIF([1]Sheet1!$G:$G,A905,[1]Sheet1!$O:$O)</f>
        <v>294.82</v>
      </c>
      <c r="I905" s="21">
        <f t="shared" si="14"/>
        <v>0</v>
      </c>
    </row>
    <row r="906" spans="1:9" x14ac:dyDescent="0.25">
      <c r="A906" s="18" t="s">
        <v>7089</v>
      </c>
      <c r="B906" s="4" t="s">
        <v>2445</v>
      </c>
      <c r="C906" s="4" t="s">
        <v>1043</v>
      </c>
      <c r="D906" s="4" t="s">
        <v>3289</v>
      </c>
      <c r="E906" s="9">
        <v>220.33911254775199</v>
      </c>
      <c r="F906" s="9">
        <v>7498.14</v>
      </c>
      <c r="G906" s="1" t="s">
        <v>7090</v>
      </c>
      <c r="H906" s="1">
        <f>SUMIF([1]Sheet1!$G:$G,A906,[1]Sheet1!$O:$O)</f>
        <v>7498.14</v>
      </c>
      <c r="I906" s="21">
        <f t="shared" si="14"/>
        <v>0</v>
      </c>
    </row>
    <row r="907" spans="1:9" x14ac:dyDescent="0.25">
      <c r="A907" s="18" t="s">
        <v>7252</v>
      </c>
      <c r="B907" s="4" t="s">
        <v>2446</v>
      </c>
      <c r="C907" s="4" t="s">
        <v>1044</v>
      </c>
      <c r="D907" s="4" t="s">
        <v>3289</v>
      </c>
      <c r="E907" s="9">
        <v>11.86</v>
      </c>
      <c r="F907" s="9">
        <v>11.86</v>
      </c>
      <c r="G907" s="1" t="s">
        <v>7253</v>
      </c>
      <c r="H907" s="1">
        <f>SUMIF([1]Sheet1!$G:$G,A907,[1]Sheet1!$O:$O)</f>
        <v>11.86</v>
      </c>
      <c r="I907" s="21">
        <f t="shared" si="14"/>
        <v>0</v>
      </c>
    </row>
    <row r="908" spans="1:9" x14ac:dyDescent="0.25">
      <c r="A908" s="18" t="s">
        <v>7282</v>
      </c>
      <c r="B908" s="4" t="s">
        <v>2447</v>
      </c>
      <c r="C908" s="4" t="s">
        <v>1045</v>
      </c>
      <c r="D908" s="4" t="s">
        <v>3289</v>
      </c>
      <c r="E908" s="9">
        <v>30.506666666666664</v>
      </c>
      <c r="F908" s="9">
        <v>45.76</v>
      </c>
      <c r="G908" s="1" t="s">
        <v>7283</v>
      </c>
      <c r="H908" s="1">
        <f>SUMIF([1]Sheet1!$G:$G,A908,[1]Sheet1!$O:$O)</f>
        <v>45.76</v>
      </c>
      <c r="I908" s="21">
        <f t="shared" si="14"/>
        <v>0</v>
      </c>
    </row>
    <row r="909" spans="1:9" x14ac:dyDescent="0.25">
      <c r="A909" s="18" t="s">
        <v>7137</v>
      </c>
      <c r="B909" s="4" t="s">
        <v>2448</v>
      </c>
      <c r="C909" s="4" t="s">
        <v>1046</v>
      </c>
      <c r="D909" s="4" t="s">
        <v>3289</v>
      </c>
      <c r="E909" s="9">
        <v>144.06874999999999</v>
      </c>
      <c r="F909" s="9">
        <v>230.51</v>
      </c>
      <c r="G909" s="1" t="s">
        <v>7140</v>
      </c>
      <c r="H909" s="1">
        <f>SUMIF([1]Sheet1!$G:$G,A909,[1]Sheet1!$O:$O)</f>
        <v>230.51</v>
      </c>
      <c r="I909" s="21">
        <f t="shared" si="14"/>
        <v>0</v>
      </c>
    </row>
    <row r="910" spans="1:9" x14ac:dyDescent="0.25">
      <c r="A910" s="18" t="s">
        <v>7488</v>
      </c>
      <c r="B910" s="4" t="s">
        <v>2449</v>
      </c>
      <c r="C910" s="4" t="s">
        <v>1047</v>
      </c>
      <c r="D910" s="4" t="s">
        <v>3289</v>
      </c>
      <c r="E910" s="9">
        <v>59.999999999999993</v>
      </c>
      <c r="F910" s="9">
        <v>588</v>
      </c>
      <c r="G910" s="1" t="s">
        <v>7489</v>
      </c>
      <c r="H910" s="1">
        <f>SUMIF([1]Sheet1!$G:$G,A910,[1]Sheet1!$O:$O)</f>
        <v>588</v>
      </c>
      <c r="I910" s="21">
        <f t="shared" si="14"/>
        <v>0</v>
      </c>
    </row>
    <row r="911" spans="1:9" x14ac:dyDescent="0.25">
      <c r="A911" s="18" t="s">
        <v>7106</v>
      </c>
      <c r="B911" s="4" t="s">
        <v>2450</v>
      </c>
      <c r="C911" s="4" t="s">
        <v>1048</v>
      </c>
      <c r="D911" s="4" t="s">
        <v>3289</v>
      </c>
      <c r="E911" s="9">
        <v>88.975999999999999</v>
      </c>
      <c r="F911" s="9">
        <v>55.61</v>
      </c>
      <c r="G911" s="1" t="s">
        <v>7107</v>
      </c>
      <c r="H911" s="1">
        <f>SUMIF([1]Sheet1!$G:$G,A911,[1]Sheet1!$O:$O)</f>
        <v>55.61</v>
      </c>
      <c r="I911" s="21">
        <f t="shared" si="14"/>
        <v>0</v>
      </c>
    </row>
    <row r="912" spans="1:9" x14ac:dyDescent="0.25">
      <c r="A912" s="18" t="s">
        <v>7185</v>
      </c>
      <c r="B912" s="4" t="s">
        <v>2451</v>
      </c>
      <c r="C912" s="4" t="s">
        <v>1049</v>
      </c>
      <c r="D912" s="4" t="s">
        <v>3289</v>
      </c>
      <c r="E912" s="9">
        <v>121.87811320754717</v>
      </c>
      <c r="F912" s="9">
        <v>3229.77</v>
      </c>
      <c r="G912" s="1" t="s">
        <v>7188</v>
      </c>
      <c r="H912" s="1">
        <f>SUMIF([1]Sheet1!$G:$G,A912,[1]Sheet1!$O:$O)</f>
        <v>3229.77</v>
      </c>
      <c r="I912" s="21">
        <f t="shared" si="14"/>
        <v>0</v>
      </c>
    </row>
    <row r="913" spans="1:9" x14ac:dyDescent="0.25">
      <c r="A913" s="18" t="s">
        <v>7250</v>
      </c>
      <c r="B913" s="4" t="s">
        <v>2452</v>
      </c>
      <c r="C913" s="4" t="s">
        <v>1050</v>
      </c>
      <c r="D913" s="4" t="s">
        <v>3289</v>
      </c>
      <c r="E913" s="9">
        <v>13.56</v>
      </c>
      <c r="F913" s="9">
        <v>6.78</v>
      </c>
      <c r="G913" s="1" t="s">
        <v>7251</v>
      </c>
      <c r="H913" s="1">
        <f>SUMIF([1]Sheet1!$G:$G,A913,[1]Sheet1!$O:$O)</f>
        <v>6.78</v>
      </c>
      <c r="I913" s="21">
        <f t="shared" si="14"/>
        <v>0</v>
      </c>
    </row>
    <row r="914" spans="1:9" x14ac:dyDescent="0.25">
      <c r="A914" s="18" t="s">
        <v>7220</v>
      </c>
      <c r="B914" s="4" t="s">
        <v>2453</v>
      </c>
      <c r="C914" s="4" t="s">
        <v>1051</v>
      </c>
      <c r="D914" s="4" t="s">
        <v>3289</v>
      </c>
      <c r="E914" s="9">
        <v>150.21352968246663</v>
      </c>
      <c r="F914" s="9">
        <v>3264.14</v>
      </c>
      <c r="G914" s="1" t="s">
        <v>7221</v>
      </c>
      <c r="H914" s="1">
        <f>SUMIF([1]Sheet1!$G:$G,A914,[1]Sheet1!$O:$O)</f>
        <v>3264.14</v>
      </c>
      <c r="I914" s="21">
        <f t="shared" si="14"/>
        <v>0</v>
      </c>
    </row>
    <row r="915" spans="1:9" x14ac:dyDescent="0.25">
      <c r="A915" s="18" t="s">
        <v>3952</v>
      </c>
      <c r="B915" s="4" t="s">
        <v>2454</v>
      </c>
      <c r="C915" s="4" t="s">
        <v>1052</v>
      </c>
      <c r="D915" s="4" t="s">
        <v>3290</v>
      </c>
      <c r="E915" s="9">
        <v>0.77166666666666661</v>
      </c>
      <c r="F915" s="9">
        <v>4.63</v>
      </c>
      <c r="G915" s="1" t="s">
        <v>3953</v>
      </c>
      <c r="H915" s="1">
        <f>SUMIF([1]Sheet1!$G:$G,A915,[1]Sheet1!$O:$O)</f>
        <v>4.63</v>
      </c>
      <c r="I915" s="21">
        <f t="shared" si="14"/>
        <v>0</v>
      </c>
    </row>
    <row r="916" spans="1:9" x14ac:dyDescent="0.25">
      <c r="A916" s="18" t="s">
        <v>7533</v>
      </c>
      <c r="B916" s="4" t="s">
        <v>2455</v>
      </c>
      <c r="C916" s="4" t="s">
        <v>1053</v>
      </c>
      <c r="D916" s="4" t="s">
        <v>3290</v>
      </c>
      <c r="E916" s="9">
        <v>223.97</v>
      </c>
      <c r="F916" s="9">
        <v>671.91</v>
      </c>
      <c r="G916" s="1" t="s">
        <v>7534</v>
      </c>
      <c r="H916" s="1">
        <f>SUMIF([1]Sheet1!$G:$G,A916,[1]Sheet1!$O:$O)</f>
        <v>671.91</v>
      </c>
      <c r="I916" s="21">
        <f t="shared" si="14"/>
        <v>0</v>
      </c>
    </row>
    <row r="917" spans="1:9" x14ac:dyDescent="0.25">
      <c r="A917" s="18" t="s">
        <v>7822</v>
      </c>
      <c r="B917" s="4" t="s">
        <v>2456</v>
      </c>
      <c r="C917" s="4" t="s">
        <v>1054</v>
      </c>
      <c r="D917" s="4" t="s">
        <v>3290</v>
      </c>
      <c r="E917" s="9">
        <v>100.285</v>
      </c>
      <c r="F917" s="9">
        <v>200.57</v>
      </c>
      <c r="G917" s="1" t="s">
        <v>7823</v>
      </c>
      <c r="H917" s="1">
        <f>SUMIF([1]Sheet1!$G:$G,A917,[1]Sheet1!$O:$O)</f>
        <v>200.57</v>
      </c>
      <c r="I917" s="21">
        <f t="shared" si="14"/>
        <v>0</v>
      </c>
    </row>
    <row r="918" spans="1:9" x14ac:dyDescent="0.25">
      <c r="A918" s="18" t="s">
        <v>11050</v>
      </c>
      <c r="B918" s="4" t="s">
        <v>2457</v>
      </c>
      <c r="C918" s="4" t="s">
        <v>1055</v>
      </c>
      <c r="D918" s="4" t="s">
        <v>3290</v>
      </c>
      <c r="E918" s="9">
        <v>100.10571428571428</v>
      </c>
      <c r="F918" s="9">
        <v>700.74</v>
      </c>
      <c r="G918" s="1" t="s">
        <v>11051</v>
      </c>
      <c r="H918" s="1">
        <f>SUMIF([1]Sheet1!$G:$G,A918,[1]Sheet1!$O:$O)</f>
        <v>700.74</v>
      </c>
      <c r="I918" s="21">
        <f t="shared" si="14"/>
        <v>0</v>
      </c>
    </row>
    <row r="919" spans="1:9" x14ac:dyDescent="0.25">
      <c r="A919" s="18" t="s">
        <v>6498</v>
      </c>
      <c r="B919" s="4" t="s">
        <v>2458</v>
      </c>
      <c r="C919" s="4" t="s">
        <v>1056</v>
      </c>
      <c r="D919" s="4" t="s">
        <v>3289</v>
      </c>
      <c r="E919" s="9">
        <v>5.0586338797814205</v>
      </c>
      <c r="F919" s="9">
        <v>925.7299999999999</v>
      </c>
      <c r="G919" s="1" t="s">
        <v>6499</v>
      </c>
      <c r="H919" s="1">
        <f>SUMIF([1]Sheet1!$G:$G,A919,[1]Sheet1!$O:$O)</f>
        <v>925.72</v>
      </c>
      <c r="I919" s="21">
        <f t="shared" si="14"/>
        <v>9.9999999998772182E-3</v>
      </c>
    </row>
    <row r="920" spans="1:9" x14ac:dyDescent="0.25">
      <c r="A920" s="18" t="s">
        <v>6770</v>
      </c>
      <c r="B920" s="4" t="s">
        <v>2459</v>
      </c>
      <c r="C920" s="4" t="s">
        <v>1057</v>
      </c>
      <c r="D920" s="4" t="s">
        <v>3289</v>
      </c>
      <c r="E920" s="9">
        <v>0.50857142857142856</v>
      </c>
      <c r="F920" s="9">
        <v>14.24</v>
      </c>
      <c r="G920" s="1" t="s">
        <v>6771</v>
      </c>
      <c r="H920" s="1">
        <f>SUMIF([1]Sheet1!$G:$G,A920,[1]Sheet1!$O:$O)</f>
        <v>14.24</v>
      </c>
      <c r="I920" s="21">
        <f t="shared" si="14"/>
        <v>0</v>
      </c>
    </row>
    <row r="921" spans="1:9" x14ac:dyDescent="0.25">
      <c r="A921" s="18" t="s">
        <v>6776</v>
      </c>
      <c r="B921" s="4" t="s">
        <v>2460</v>
      </c>
      <c r="C921" s="4" t="s">
        <v>1058</v>
      </c>
      <c r="D921" s="4" t="s">
        <v>3290</v>
      </c>
      <c r="E921" s="9">
        <v>72.03</v>
      </c>
      <c r="F921" s="9">
        <v>72.03</v>
      </c>
      <c r="G921" s="1" t="s">
        <v>6777</v>
      </c>
      <c r="H921" s="1">
        <f>SUMIF([1]Sheet1!$G:$G,A921,[1]Sheet1!$O:$O)</f>
        <v>0</v>
      </c>
      <c r="I921" s="21">
        <f t="shared" si="14"/>
        <v>72.03</v>
      </c>
    </row>
    <row r="922" spans="1:9" x14ac:dyDescent="0.25">
      <c r="A922" s="18" t="s">
        <v>10790</v>
      </c>
      <c r="B922" s="4" t="s">
        <v>2461</v>
      </c>
      <c r="C922" s="4" t="s">
        <v>1059</v>
      </c>
      <c r="D922" s="4" t="s">
        <v>3290</v>
      </c>
      <c r="E922" s="9">
        <v>2.9111111111111108E-2</v>
      </c>
      <c r="F922" s="9">
        <v>120.52</v>
      </c>
      <c r="G922" s="1" t="s">
        <v>10791</v>
      </c>
      <c r="H922" s="1">
        <f>SUMIF([1]Sheet1!$G:$G,A922,[1]Sheet1!$O:$O)</f>
        <v>120.47</v>
      </c>
      <c r="I922" s="21">
        <f t="shared" si="14"/>
        <v>4.9999999999997158E-2</v>
      </c>
    </row>
    <row r="923" spans="1:9" x14ac:dyDescent="0.25">
      <c r="A923" s="18" t="s">
        <v>10736</v>
      </c>
      <c r="B923" s="4" t="s">
        <v>2462</v>
      </c>
      <c r="C923" s="4" t="s">
        <v>1060</v>
      </c>
      <c r="D923" s="4" t="s">
        <v>3290</v>
      </c>
      <c r="E923" s="9">
        <v>0.1731266149870801</v>
      </c>
      <c r="F923" s="9">
        <v>67</v>
      </c>
      <c r="G923" s="1" t="s">
        <v>10737</v>
      </c>
      <c r="H923" s="1">
        <f>SUMIF([1]Sheet1!$G:$G,A923,[1]Sheet1!$O:$O)</f>
        <v>66.989999999999995</v>
      </c>
      <c r="I923" s="21">
        <f t="shared" si="14"/>
        <v>1.0000000000005116E-2</v>
      </c>
    </row>
    <row r="924" spans="1:9" x14ac:dyDescent="0.25">
      <c r="A924" s="18" t="s">
        <v>9535</v>
      </c>
      <c r="B924" s="4" t="s">
        <v>2463</v>
      </c>
      <c r="C924" s="4" t="s">
        <v>1061</v>
      </c>
      <c r="D924" s="4" t="s">
        <v>3291</v>
      </c>
      <c r="E924" s="9">
        <v>4.2374999999999998</v>
      </c>
      <c r="F924" s="9">
        <v>16.95</v>
      </c>
      <c r="G924" s="1" t="s">
        <v>9536</v>
      </c>
      <c r="H924" s="1">
        <f>SUMIF([1]Sheet1!$G:$G,A924,[1]Sheet1!$O:$O)</f>
        <v>16.95</v>
      </c>
      <c r="I924" s="21">
        <f t="shared" si="14"/>
        <v>0</v>
      </c>
    </row>
    <row r="925" spans="1:9" x14ac:dyDescent="0.25">
      <c r="A925" s="18" t="s">
        <v>11577</v>
      </c>
      <c r="B925" s="4" t="s">
        <v>2464</v>
      </c>
      <c r="C925" s="4" t="s">
        <v>1062</v>
      </c>
      <c r="D925" s="4" t="s">
        <v>3290</v>
      </c>
      <c r="E925" s="9">
        <v>1.8586516853932582</v>
      </c>
      <c r="F925" s="9">
        <v>165.42</v>
      </c>
      <c r="G925" s="1" t="s">
        <v>11578</v>
      </c>
      <c r="H925" s="1">
        <f>SUMIF([1]Sheet1!$G:$G,A925,[1]Sheet1!$O:$O)</f>
        <v>165.42</v>
      </c>
      <c r="I925" s="21">
        <f t="shared" si="14"/>
        <v>0</v>
      </c>
    </row>
    <row r="926" spans="1:9" x14ac:dyDescent="0.25">
      <c r="A926" s="18" t="s">
        <v>11635</v>
      </c>
      <c r="B926" s="4" t="s">
        <v>2465</v>
      </c>
      <c r="C926" s="4" t="s">
        <v>1063</v>
      </c>
      <c r="D926" s="4" t="s">
        <v>3290</v>
      </c>
      <c r="E926" s="9">
        <v>0.24765624999999999</v>
      </c>
      <c r="F926" s="9">
        <v>15.85</v>
      </c>
      <c r="G926" s="1" t="s">
        <v>11636</v>
      </c>
      <c r="H926" s="1">
        <f>SUMIF([1]Sheet1!$G:$G,A926,[1]Sheet1!$O:$O)</f>
        <v>15.85</v>
      </c>
      <c r="I926" s="21">
        <f t="shared" si="14"/>
        <v>0</v>
      </c>
    </row>
    <row r="927" spans="1:9" x14ac:dyDescent="0.25">
      <c r="A927" s="18" t="s">
        <v>9461</v>
      </c>
      <c r="B927" s="4" t="s">
        <v>2466</v>
      </c>
      <c r="C927" s="4" t="s">
        <v>1064</v>
      </c>
      <c r="D927" s="4" t="s">
        <v>3290</v>
      </c>
      <c r="E927" s="9">
        <v>0.50594594594594589</v>
      </c>
      <c r="F927" s="9">
        <v>74.88</v>
      </c>
      <c r="G927" s="1" t="s">
        <v>9462</v>
      </c>
      <c r="H927" s="1">
        <f>SUMIF([1]Sheet1!$G:$G,A927,[1]Sheet1!$O:$O)</f>
        <v>62.73</v>
      </c>
      <c r="I927" s="21">
        <f t="shared" si="14"/>
        <v>12.149999999999999</v>
      </c>
    </row>
    <row r="928" spans="1:9" x14ac:dyDescent="0.25">
      <c r="A928" s="18" t="s">
        <v>9457</v>
      </c>
      <c r="B928" s="4" t="s">
        <v>2467</v>
      </c>
      <c r="C928" s="4" t="s">
        <v>1065</v>
      </c>
      <c r="D928" s="4" t="s">
        <v>3290</v>
      </c>
      <c r="E928" s="9">
        <v>4.1562500000000002E-2</v>
      </c>
      <c r="F928" s="9">
        <v>10.64</v>
      </c>
      <c r="G928" s="1" t="s">
        <v>9458</v>
      </c>
      <c r="H928" s="1">
        <f>SUMIF([1]Sheet1!$G:$G,A928,[1]Sheet1!$O:$O)</f>
        <v>10.65</v>
      </c>
      <c r="I928" s="21">
        <f t="shared" si="14"/>
        <v>-9.9999999999997868E-3</v>
      </c>
    </row>
    <row r="929" spans="1:9" x14ac:dyDescent="0.25">
      <c r="A929" s="18" t="s">
        <v>9505</v>
      </c>
      <c r="B929" s="4" t="s">
        <v>2468</v>
      </c>
      <c r="C929" s="4" t="s">
        <v>1066</v>
      </c>
      <c r="D929" s="4" t="s">
        <v>3290</v>
      </c>
      <c r="E929" s="9">
        <v>0.15905720338983051</v>
      </c>
      <c r="F929" s="9">
        <v>150.15</v>
      </c>
      <c r="G929" s="1" t="s">
        <v>9506</v>
      </c>
      <c r="H929" s="1">
        <f>SUMIF([1]Sheet1!$G:$G,A929,[1]Sheet1!$O:$O)</f>
        <v>150.19</v>
      </c>
      <c r="I929" s="21">
        <f t="shared" si="14"/>
        <v>-3.9999999999992042E-2</v>
      </c>
    </row>
    <row r="930" spans="1:9" x14ac:dyDescent="0.25">
      <c r="A930" s="18" t="s">
        <v>9556</v>
      </c>
      <c r="B930" s="4" t="s">
        <v>2469</v>
      </c>
      <c r="C930" s="4" t="s">
        <v>1067</v>
      </c>
      <c r="D930" s="4" t="s">
        <v>3290</v>
      </c>
      <c r="E930" s="9">
        <v>3.031994395142457E-2</v>
      </c>
      <c r="F930" s="9">
        <v>129.83000000000001</v>
      </c>
      <c r="G930" s="1" t="s">
        <v>9557</v>
      </c>
      <c r="H930" s="1">
        <f>SUMIF([1]Sheet1!$G:$G,A930,[1]Sheet1!$O:$O)</f>
        <v>129.74</v>
      </c>
      <c r="I930" s="21">
        <f t="shared" si="14"/>
        <v>9.0000000000003411E-2</v>
      </c>
    </row>
    <row r="931" spans="1:9" x14ac:dyDescent="0.25">
      <c r="A931" s="18" t="s">
        <v>9989</v>
      </c>
      <c r="B931" s="4" t="s">
        <v>2470</v>
      </c>
      <c r="C931" s="4" t="s">
        <v>1068</v>
      </c>
      <c r="D931" s="4" t="s">
        <v>3290</v>
      </c>
      <c r="E931" s="9">
        <v>445.49166666666662</v>
      </c>
      <c r="F931" s="9">
        <v>2672.95</v>
      </c>
      <c r="G931" s="1" t="s">
        <v>9990</v>
      </c>
      <c r="H931" s="1">
        <f>SUMIF([1]Sheet1!$G:$G,A931,[1]Sheet1!$O:$O)</f>
        <v>2672.95</v>
      </c>
      <c r="I931" s="21">
        <f t="shared" si="14"/>
        <v>0</v>
      </c>
    </row>
    <row r="932" spans="1:9" x14ac:dyDescent="0.25">
      <c r="A932" s="18" t="s">
        <v>4682</v>
      </c>
      <c r="B932" s="4" t="s">
        <v>2471</v>
      </c>
      <c r="C932" s="4" t="s">
        <v>1069</v>
      </c>
      <c r="D932" s="4" t="s">
        <v>3290</v>
      </c>
      <c r="E932" s="9">
        <v>80.510000000000005</v>
      </c>
      <c r="F932" s="9">
        <v>80.510000000000005</v>
      </c>
      <c r="G932" s="1" t="s">
        <v>4683</v>
      </c>
      <c r="H932" s="1">
        <f>SUMIF([1]Sheet1!$G:$G,A932,[1]Sheet1!$O:$O)</f>
        <v>80.510000000000005</v>
      </c>
      <c r="I932" s="21">
        <f t="shared" si="14"/>
        <v>0</v>
      </c>
    </row>
    <row r="933" spans="1:9" x14ac:dyDescent="0.25">
      <c r="A933" s="18" t="s">
        <v>6768</v>
      </c>
      <c r="B933" s="4" t="s">
        <v>2472</v>
      </c>
      <c r="C933" s="4" t="s">
        <v>1057</v>
      </c>
      <c r="D933" s="4" t="s">
        <v>3291</v>
      </c>
      <c r="E933" s="9">
        <v>2.2882666666666669</v>
      </c>
      <c r="F933" s="9">
        <v>85.81</v>
      </c>
      <c r="G933" s="1" t="s">
        <v>6769</v>
      </c>
      <c r="H933" s="1">
        <f>SUMIF([1]Sheet1!$G:$G,A933,[1]Sheet1!$O:$O)</f>
        <v>85.81</v>
      </c>
      <c r="I933" s="21">
        <f t="shared" si="14"/>
        <v>0</v>
      </c>
    </row>
    <row r="934" spans="1:9" x14ac:dyDescent="0.25">
      <c r="A934" s="18" t="s">
        <v>7639</v>
      </c>
      <c r="B934" s="4" t="s">
        <v>2473</v>
      </c>
      <c r="C934" s="4" t="s">
        <v>1070</v>
      </c>
      <c r="D934" s="4" t="s">
        <v>3290</v>
      </c>
      <c r="E934" s="9">
        <v>41.04821428571428</v>
      </c>
      <c r="F934" s="9">
        <v>2298.6999999999998</v>
      </c>
      <c r="G934" s="1" t="s">
        <v>7640</v>
      </c>
      <c r="H934" s="1">
        <f>SUMIF([1]Sheet1!$G:$G,A934,[1]Sheet1!$O:$O)</f>
        <v>2298.6999999999998</v>
      </c>
      <c r="I934" s="21">
        <f t="shared" si="14"/>
        <v>0</v>
      </c>
    </row>
    <row r="935" spans="1:9" x14ac:dyDescent="0.25">
      <c r="A935" s="18" t="s">
        <v>7958</v>
      </c>
      <c r="B935" s="4" t="s">
        <v>2474</v>
      </c>
      <c r="C935" s="4" t="s">
        <v>1071</v>
      </c>
      <c r="D935" s="4" t="s">
        <v>3290</v>
      </c>
      <c r="E935" s="9">
        <v>197.45666666666668</v>
      </c>
      <c r="F935" s="9">
        <v>592.37</v>
      </c>
      <c r="G935" s="1" t="s">
        <v>7959</v>
      </c>
      <c r="H935" s="1">
        <f>SUMIF([1]Sheet1!$G:$G,A935,[1]Sheet1!$O:$O)</f>
        <v>592.37</v>
      </c>
      <c r="I935" s="21">
        <f t="shared" si="14"/>
        <v>0</v>
      </c>
    </row>
    <row r="936" spans="1:9" x14ac:dyDescent="0.25">
      <c r="A936" s="18" t="s">
        <v>7956</v>
      </c>
      <c r="B936" s="4" t="s">
        <v>2475</v>
      </c>
      <c r="C936" s="4" t="s">
        <v>1072</v>
      </c>
      <c r="D936" s="4" t="s">
        <v>3290</v>
      </c>
      <c r="E936" s="9">
        <v>197.46</v>
      </c>
      <c r="F936" s="9">
        <v>197.46</v>
      </c>
      <c r="G936" s="1" t="s">
        <v>7957</v>
      </c>
      <c r="H936" s="1">
        <f>SUMIF([1]Sheet1!$G:$G,A936,[1]Sheet1!$O:$O)</f>
        <v>197.46</v>
      </c>
      <c r="I936" s="21">
        <f t="shared" si="14"/>
        <v>0</v>
      </c>
    </row>
    <row r="937" spans="1:9" x14ac:dyDescent="0.25">
      <c r="A937" s="18" t="s">
        <v>7954</v>
      </c>
      <c r="B937" s="4" t="s">
        <v>2476</v>
      </c>
      <c r="C937" s="4" t="s">
        <v>1073</v>
      </c>
      <c r="D937" s="4" t="s">
        <v>3290</v>
      </c>
      <c r="E937" s="9">
        <v>197.46</v>
      </c>
      <c r="F937" s="9">
        <v>197.46</v>
      </c>
      <c r="G937" s="1" t="s">
        <v>7955</v>
      </c>
      <c r="H937" s="1">
        <f>SUMIF([1]Sheet1!$G:$G,A937,[1]Sheet1!$O:$O)</f>
        <v>197.46</v>
      </c>
      <c r="I937" s="21">
        <f t="shared" si="14"/>
        <v>0</v>
      </c>
    </row>
    <row r="938" spans="1:9" x14ac:dyDescent="0.25">
      <c r="A938" s="18" t="s">
        <v>7952</v>
      </c>
      <c r="B938" s="4" t="s">
        <v>2477</v>
      </c>
      <c r="C938" s="4" t="s">
        <v>1074</v>
      </c>
      <c r="D938" s="4" t="s">
        <v>3290</v>
      </c>
      <c r="E938" s="9">
        <v>197.46</v>
      </c>
      <c r="F938" s="9">
        <v>394.92</v>
      </c>
      <c r="G938" s="1" t="s">
        <v>7953</v>
      </c>
      <c r="H938" s="1">
        <f>SUMIF([1]Sheet1!$G:$G,A938,[1]Sheet1!$O:$O)</f>
        <v>394.92</v>
      </c>
      <c r="I938" s="21">
        <f t="shared" si="14"/>
        <v>0</v>
      </c>
    </row>
    <row r="939" spans="1:9" x14ac:dyDescent="0.25">
      <c r="A939" s="18" t="s">
        <v>7950</v>
      </c>
      <c r="B939" s="4" t="s">
        <v>2478</v>
      </c>
      <c r="C939" s="4" t="s">
        <v>1075</v>
      </c>
      <c r="D939" s="4" t="s">
        <v>3290</v>
      </c>
      <c r="E939" s="9">
        <v>197.46</v>
      </c>
      <c r="F939" s="9">
        <v>592.38</v>
      </c>
      <c r="G939" s="1" t="s">
        <v>7951</v>
      </c>
      <c r="H939" s="1">
        <f>SUMIF([1]Sheet1!$G:$G,A939,[1]Sheet1!$O:$O)</f>
        <v>592.38</v>
      </c>
      <c r="I939" s="21">
        <f t="shared" si="14"/>
        <v>0</v>
      </c>
    </row>
    <row r="940" spans="1:9" x14ac:dyDescent="0.25">
      <c r="A940" s="18" t="s">
        <v>7948</v>
      </c>
      <c r="B940" s="4" t="s">
        <v>2479</v>
      </c>
      <c r="C940" s="4" t="s">
        <v>1076</v>
      </c>
      <c r="D940" s="4" t="s">
        <v>3290</v>
      </c>
      <c r="E940" s="9">
        <v>194.06666666666669</v>
      </c>
      <c r="F940" s="9">
        <v>582.20000000000005</v>
      </c>
      <c r="G940" s="1" t="s">
        <v>7949</v>
      </c>
      <c r="H940" s="1">
        <f>SUMIF([1]Sheet1!$G:$G,A940,[1]Sheet1!$O:$O)</f>
        <v>582.20000000000005</v>
      </c>
      <c r="I940" s="21">
        <f t="shared" si="14"/>
        <v>0</v>
      </c>
    </row>
    <row r="941" spans="1:9" x14ac:dyDescent="0.25">
      <c r="A941" s="18" t="s">
        <v>7946</v>
      </c>
      <c r="B941" s="4" t="s">
        <v>2480</v>
      </c>
      <c r="C941" s="4" t="s">
        <v>1077</v>
      </c>
      <c r="D941" s="4" t="s">
        <v>3290</v>
      </c>
      <c r="E941" s="9">
        <v>194.07</v>
      </c>
      <c r="F941" s="9">
        <v>194.07</v>
      </c>
      <c r="G941" s="1" t="s">
        <v>7947</v>
      </c>
      <c r="H941" s="1">
        <f>SUMIF([1]Sheet1!$G:$G,A941,[1]Sheet1!$O:$O)</f>
        <v>194.07</v>
      </c>
      <c r="I941" s="21">
        <f t="shared" si="14"/>
        <v>0</v>
      </c>
    </row>
    <row r="942" spans="1:9" x14ac:dyDescent="0.25">
      <c r="A942" s="18" t="s">
        <v>7944</v>
      </c>
      <c r="B942" s="4" t="s">
        <v>2481</v>
      </c>
      <c r="C942" s="4" t="s">
        <v>1078</v>
      </c>
      <c r="D942" s="4" t="s">
        <v>3290</v>
      </c>
      <c r="E942" s="9">
        <v>190.67777777777778</v>
      </c>
      <c r="F942" s="9">
        <v>3432.2</v>
      </c>
      <c r="G942" s="1" t="s">
        <v>7945</v>
      </c>
      <c r="H942" s="1">
        <f>SUMIF([1]Sheet1!$G:$G,A942,[1]Sheet1!$O:$O)</f>
        <v>3432.2</v>
      </c>
      <c r="I942" s="21">
        <f t="shared" si="14"/>
        <v>0</v>
      </c>
    </row>
    <row r="943" spans="1:9" x14ac:dyDescent="0.25">
      <c r="A943" s="18" t="s">
        <v>3918</v>
      </c>
      <c r="B943" s="4" t="s">
        <v>2482</v>
      </c>
      <c r="C943" s="4" t="s">
        <v>1079</v>
      </c>
      <c r="D943" s="4" t="s">
        <v>3290</v>
      </c>
      <c r="E943" s="9">
        <v>135.595</v>
      </c>
      <c r="F943" s="9">
        <v>271.19</v>
      </c>
      <c r="G943" s="1" t="s">
        <v>3919</v>
      </c>
      <c r="H943" s="1">
        <f>SUMIF([1]Sheet1!$G:$G,A943,[1]Sheet1!$O:$O)</f>
        <v>271.19</v>
      </c>
      <c r="I943" s="21">
        <f t="shared" si="14"/>
        <v>0</v>
      </c>
    </row>
    <row r="944" spans="1:9" x14ac:dyDescent="0.25">
      <c r="A944" s="18" t="s">
        <v>3911</v>
      </c>
      <c r="B944" s="4" t="s">
        <v>2483</v>
      </c>
      <c r="C944" s="4" t="s">
        <v>1080</v>
      </c>
      <c r="D944" s="4" t="s">
        <v>3290</v>
      </c>
      <c r="E944" s="9">
        <v>67.795000000000002</v>
      </c>
      <c r="F944" s="9">
        <v>135.59</v>
      </c>
      <c r="G944" s="1" t="s">
        <v>3912</v>
      </c>
      <c r="H944" s="1">
        <f>SUMIF([1]Sheet1!$G:$G,A944,[1]Sheet1!$O:$O)</f>
        <v>135.59</v>
      </c>
      <c r="I944" s="21">
        <f t="shared" si="14"/>
        <v>0</v>
      </c>
    </row>
    <row r="945" spans="1:9" x14ac:dyDescent="0.25">
      <c r="A945" s="18" t="s">
        <v>3916</v>
      </c>
      <c r="B945" s="4" t="s">
        <v>2484</v>
      </c>
      <c r="C945" s="4" t="s">
        <v>1081</v>
      </c>
      <c r="D945" s="4" t="s">
        <v>3290</v>
      </c>
      <c r="E945" s="9">
        <v>141.5242857142857</v>
      </c>
      <c r="F945" s="9">
        <v>990.66999999999985</v>
      </c>
      <c r="G945" s="1" t="s">
        <v>3917</v>
      </c>
      <c r="H945" s="1">
        <f>SUMIF([1]Sheet1!$G:$G,A945,[1]Sheet1!$O:$O)</f>
        <v>990.67</v>
      </c>
      <c r="I945" s="21">
        <f t="shared" si="14"/>
        <v>0</v>
      </c>
    </row>
    <row r="946" spans="1:9" x14ac:dyDescent="0.25">
      <c r="A946" s="18" t="s">
        <v>3920</v>
      </c>
      <c r="B946" s="4" t="s">
        <v>2485</v>
      </c>
      <c r="C946" s="4" t="s">
        <v>1082</v>
      </c>
      <c r="D946" s="4" t="s">
        <v>3290</v>
      </c>
      <c r="E946" s="9">
        <v>391.52666666666664</v>
      </c>
      <c r="F946" s="9">
        <v>2349.16</v>
      </c>
      <c r="G946" s="1" t="s">
        <v>3921</v>
      </c>
      <c r="H946" s="1">
        <f>SUMIF([1]Sheet1!$G:$G,A946,[1]Sheet1!$O:$O)</f>
        <v>2349.16</v>
      </c>
      <c r="I946" s="21">
        <f t="shared" si="14"/>
        <v>0</v>
      </c>
    </row>
    <row r="947" spans="1:9" x14ac:dyDescent="0.25">
      <c r="A947" s="18" t="s">
        <v>3931</v>
      </c>
      <c r="B947" s="4" t="s">
        <v>2486</v>
      </c>
      <c r="C947" s="4" t="s">
        <v>1083</v>
      </c>
      <c r="D947" s="4" t="s">
        <v>3290</v>
      </c>
      <c r="E947" s="9">
        <v>203.39</v>
      </c>
      <c r="F947" s="9">
        <v>203.39</v>
      </c>
      <c r="G947" s="1" t="s">
        <v>3932</v>
      </c>
      <c r="H947" s="1">
        <f>SUMIF([1]Sheet1!$G:$G,A947,[1]Sheet1!$O:$O)</f>
        <v>203.39</v>
      </c>
      <c r="I947" s="21">
        <f t="shared" si="14"/>
        <v>0</v>
      </c>
    </row>
    <row r="948" spans="1:9" x14ac:dyDescent="0.25">
      <c r="A948" s="18" t="s">
        <v>3933</v>
      </c>
      <c r="B948" s="4" t="s">
        <v>2487</v>
      </c>
      <c r="C948" s="4" t="s">
        <v>1084</v>
      </c>
      <c r="D948" s="4" t="s">
        <v>3290</v>
      </c>
      <c r="E948" s="9">
        <v>245.76</v>
      </c>
      <c r="F948" s="9">
        <v>245.76</v>
      </c>
      <c r="G948" s="1" t="s">
        <v>3934</v>
      </c>
      <c r="H948" s="1">
        <f>SUMIF([1]Sheet1!$G:$G,A948,[1]Sheet1!$O:$O)</f>
        <v>245.76</v>
      </c>
      <c r="I948" s="21">
        <f t="shared" si="14"/>
        <v>0</v>
      </c>
    </row>
    <row r="949" spans="1:9" x14ac:dyDescent="0.25">
      <c r="A949" s="18" t="s">
        <v>7922</v>
      </c>
      <c r="B949" s="4" t="s">
        <v>2488</v>
      </c>
      <c r="C949" s="4" t="s">
        <v>1085</v>
      </c>
      <c r="D949" s="4" t="s">
        <v>3290</v>
      </c>
      <c r="E949" s="9">
        <v>150</v>
      </c>
      <c r="F949" s="9">
        <v>150</v>
      </c>
      <c r="G949" s="1" t="s">
        <v>7923</v>
      </c>
      <c r="H949" s="1">
        <f>SUMIF([1]Sheet1!$G:$G,A949,[1]Sheet1!$O:$O)</f>
        <v>150</v>
      </c>
      <c r="I949" s="21">
        <f t="shared" si="14"/>
        <v>0</v>
      </c>
    </row>
    <row r="950" spans="1:9" x14ac:dyDescent="0.25">
      <c r="A950" s="18" t="s">
        <v>7920</v>
      </c>
      <c r="B950" s="4" t="s">
        <v>2489</v>
      </c>
      <c r="C950" s="4" t="s">
        <v>1086</v>
      </c>
      <c r="D950" s="4" t="s">
        <v>3290</v>
      </c>
      <c r="E950" s="9">
        <v>150</v>
      </c>
      <c r="F950" s="9">
        <v>150</v>
      </c>
      <c r="G950" s="1" t="s">
        <v>7921</v>
      </c>
      <c r="H950" s="1">
        <f>SUMIF([1]Sheet1!$G:$G,A950,[1]Sheet1!$O:$O)</f>
        <v>150</v>
      </c>
      <c r="I950" s="21">
        <f t="shared" si="14"/>
        <v>0</v>
      </c>
    </row>
    <row r="951" spans="1:9" x14ac:dyDescent="0.25">
      <c r="A951" s="18" t="s">
        <v>7918</v>
      </c>
      <c r="B951" s="4" t="s">
        <v>2490</v>
      </c>
      <c r="C951" s="4" t="s">
        <v>1087</v>
      </c>
      <c r="D951" s="4" t="s">
        <v>3290</v>
      </c>
      <c r="E951" s="9">
        <v>146.60999999999999</v>
      </c>
      <c r="F951" s="9">
        <v>733.05</v>
      </c>
      <c r="G951" s="1" t="s">
        <v>7919</v>
      </c>
      <c r="H951" s="1">
        <f>SUMIF([1]Sheet1!$G:$G,A951,[1]Sheet1!$O:$O)</f>
        <v>733.05</v>
      </c>
      <c r="I951" s="21">
        <f t="shared" si="14"/>
        <v>0</v>
      </c>
    </row>
    <row r="952" spans="1:9" x14ac:dyDescent="0.25">
      <c r="A952" s="18" t="s">
        <v>7924</v>
      </c>
      <c r="B952" s="4" t="s">
        <v>2491</v>
      </c>
      <c r="C952" s="4" t="s">
        <v>1088</v>
      </c>
      <c r="D952" s="4" t="s">
        <v>3290</v>
      </c>
      <c r="E952" s="9">
        <v>146.61000000000001</v>
      </c>
      <c r="F952" s="9">
        <v>586.44000000000005</v>
      </c>
      <c r="G952" s="1" t="s">
        <v>7925</v>
      </c>
      <c r="H952" s="1">
        <f>SUMIF([1]Sheet1!$G:$G,A952,[1]Sheet1!$O:$O)</f>
        <v>586.44000000000005</v>
      </c>
      <c r="I952" s="21">
        <f t="shared" si="14"/>
        <v>0</v>
      </c>
    </row>
    <row r="953" spans="1:9" x14ac:dyDescent="0.25">
      <c r="A953" s="18" t="s">
        <v>8152</v>
      </c>
      <c r="B953" s="4" t="s">
        <v>2492</v>
      </c>
      <c r="C953" s="4" t="s">
        <v>315</v>
      </c>
      <c r="D953" s="4" t="s">
        <v>3290</v>
      </c>
      <c r="E953" s="9">
        <v>18.645</v>
      </c>
      <c r="F953" s="9">
        <v>37.29</v>
      </c>
      <c r="G953" s="1" t="s">
        <v>8153</v>
      </c>
      <c r="H953" s="1">
        <f>SUMIF([1]Sheet1!$G:$G,A953,[1]Sheet1!$O:$O)</f>
        <v>37.29</v>
      </c>
      <c r="I953" s="21">
        <f t="shared" si="14"/>
        <v>0</v>
      </c>
    </row>
    <row r="954" spans="1:9" x14ac:dyDescent="0.25">
      <c r="A954" s="18" t="s">
        <v>7896</v>
      </c>
      <c r="B954" s="4" t="s">
        <v>2493</v>
      </c>
      <c r="C954" s="4" t="s">
        <v>1089</v>
      </c>
      <c r="D954" s="4" t="s">
        <v>3290</v>
      </c>
      <c r="E954" s="9">
        <v>11.0175</v>
      </c>
      <c r="F954" s="9">
        <v>44.07</v>
      </c>
      <c r="G954" s="1" t="s">
        <v>7897</v>
      </c>
      <c r="H954" s="1">
        <f>SUMIF([1]Sheet1!$G:$G,A954,[1]Sheet1!$O:$O)</f>
        <v>44.07</v>
      </c>
      <c r="I954" s="21">
        <f t="shared" si="14"/>
        <v>0</v>
      </c>
    </row>
    <row r="955" spans="1:9" x14ac:dyDescent="0.25">
      <c r="A955" s="18" t="s">
        <v>8541</v>
      </c>
      <c r="B955" s="4" t="s">
        <v>2494</v>
      </c>
      <c r="C955" s="4" t="s">
        <v>1090</v>
      </c>
      <c r="D955" s="4" t="s">
        <v>3289</v>
      </c>
      <c r="E955" s="9">
        <v>2.01701244813278</v>
      </c>
      <c r="F955" s="9">
        <v>97.22</v>
      </c>
      <c r="G955" s="1" t="s">
        <v>8542</v>
      </c>
      <c r="H955" s="1">
        <f>SUMIF([1]Sheet1!$G:$G,A955,[1]Sheet1!$O:$O)</f>
        <v>97.22</v>
      </c>
      <c r="I955" s="21">
        <f t="shared" si="14"/>
        <v>0</v>
      </c>
    </row>
    <row r="956" spans="1:9" x14ac:dyDescent="0.25">
      <c r="A956" s="18" t="s">
        <v>5873</v>
      </c>
      <c r="B956" s="4" t="s">
        <v>2495</v>
      </c>
      <c r="C956" s="4" t="s">
        <v>1091</v>
      </c>
      <c r="D956" s="4" t="s">
        <v>3291</v>
      </c>
      <c r="E956" s="9">
        <v>5.6779999999999999</v>
      </c>
      <c r="F956" s="9">
        <v>28.39</v>
      </c>
      <c r="G956" s="1" t="s">
        <v>5874</v>
      </c>
      <c r="H956" s="1">
        <f>SUMIF([1]Sheet1!$G:$G,A956,[1]Sheet1!$O:$O)</f>
        <v>28.39</v>
      </c>
      <c r="I956" s="21">
        <f t="shared" si="14"/>
        <v>0</v>
      </c>
    </row>
    <row r="957" spans="1:9" x14ac:dyDescent="0.25">
      <c r="A957" s="18" t="s">
        <v>4737</v>
      </c>
      <c r="B957" s="4" t="s">
        <v>2496</v>
      </c>
      <c r="C957" s="4" t="s">
        <v>1092</v>
      </c>
      <c r="D957" s="4" t="s">
        <v>3290</v>
      </c>
      <c r="E957" s="9">
        <v>6.78</v>
      </c>
      <c r="F957" s="9">
        <v>13.56</v>
      </c>
      <c r="G957" s="1" t="s">
        <v>4738</v>
      </c>
      <c r="H957" s="1">
        <f>SUMIF([1]Sheet1!$G:$G,A957,[1]Sheet1!$O:$O)</f>
        <v>13.56</v>
      </c>
      <c r="I957" s="21">
        <f t="shared" si="14"/>
        <v>0</v>
      </c>
    </row>
    <row r="958" spans="1:9" x14ac:dyDescent="0.25">
      <c r="A958" s="18" t="s">
        <v>8638</v>
      </c>
      <c r="B958" s="4" t="s">
        <v>2497</v>
      </c>
      <c r="C958" s="4" t="s">
        <v>1093</v>
      </c>
      <c r="D958" s="4" t="s">
        <v>3290</v>
      </c>
      <c r="E958" s="9">
        <v>27.12</v>
      </c>
      <c r="F958" s="9">
        <v>54.24</v>
      </c>
      <c r="G958" s="1" t="s">
        <v>8639</v>
      </c>
      <c r="H958" s="1">
        <f>SUMIF([1]Sheet1!$G:$G,A958,[1]Sheet1!$O:$O)</f>
        <v>54.24</v>
      </c>
      <c r="I958" s="21">
        <f t="shared" si="14"/>
        <v>0</v>
      </c>
    </row>
    <row r="959" spans="1:9" x14ac:dyDescent="0.25">
      <c r="A959" s="18" t="s">
        <v>8576</v>
      </c>
      <c r="B959" s="4" t="s">
        <v>2498</v>
      </c>
      <c r="C959" s="4" t="s">
        <v>1094</v>
      </c>
      <c r="D959" s="4" t="s">
        <v>3290</v>
      </c>
      <c r="E959" s="9">
        <v>47.46</v>
      </c>
      <c r="F959" s="9">
        <v>47.46</v>
      </c>
      <c r="G959" s="1" t="s">
        <v>8577</v>
      </c>
      <c r="H959" s="1">
        <f>SUMIF([1]Sheet1!$G:$G,A959,[1]Sheet1!$O:$O)</f>
        <v>47.46</v>
      </c>
      <c r="I959" s="21">
        <f t="shared" si="14"/>
        <v>0</v>
      </c>
    </row>
    <row r="960" spans="1:9" x14ac:dyDescent="0.25">
      <c r="A960" s="18" t="s">
        <v>5597</v>
      </c>
      <c r="B960" s="4" t="s">
        <v>2499</v>
      </c>
      <c r="C960" s="4" t="s">
        <v>1095</v>
      </c>
      <c r="D960" s="4" t="s">
        <v>3290</v>
      </c>
      <c r="E960" s="9">
        <v>9.4640000000000004</v>
      </c>
      <c r="F960" s="9">
        <v>47.32</v>
      </c>
      <c r="G960" s="1" t="s">
        <v>5598</v>
      </c>
      <c r="H960" s="1">
        <f>SUMIF([1]Sheet1!$G:$G,A960,[1]Sheet1!$O:$O)</f>
        <v>47.32</v>
      </c>
      <c r="I960" s="21">
        <f t="shared" si="14"/>
        <v>0</v>
      </c>
    </row>
    <row r="961" spans="1:9" x14ac:dyDescent="0.25">
      <c r="A961" s="18" t="s">
        <v>10726</v>
      </c>
      <c r="B961" s="4" t="s">
        <v>2500</v>
      </c>
      <c r="C961" s="4" t="s">
        <v>1096</v>
      </c>
      <c r="D961" s="4" t="s">
        <v>3290</v>
      </c>
      <c r="E961" s="9">
        <v>0.18735294117647058</v>
      </c>
      <c r="F961" s="9">
        <v>12.74</v>
      </c>
      <c r="G961" s="1" t="s">
        <v>10727</v>
      </c>
      <c r="H961" s="1">
        <f>SUMIF([1]Sheet1!$G:$G,A961,[1]Sheet1!$O:$O)</f>
        <v>12.74</v>
      </c>
      <c r="I961" s="21">
        <f t="shared" si="14"/>
        <v>0</v>
      </c>
    </row>
    <row r="962" spans="1:9" x14ac:dyDescent="0.25">
      <c r="A962" s="18" t="s">
        <v>5524</v>
      </c>
      <c r="B962" s="4" t="s">
        <v>2501</v>
      </c>
      <c r="C962" s="4" t="s">
        <v>1097</v>
      </c>
      <c r="D962" s="4" t="s">
        <v>3290</v>
      </c>
      <c r="E962" s="9">
        <v>21.185555555555553</v>
      </c>
      <c r="F962" s="9">
        <v>190.66999999999996</v>
      </c>
      <c r="G962" s="1" t="s">
        <v>5525</v>
      </c>
      <c r="H962" s="1">
        <f>SUMIF([1]Sheet1!$G:$G,A962,[1]Sheet1!$O:$O)</f>
        <v>190.67</v>
      </c>
      <c r="I962" s="21">
        <f t="shared" si="14"/>
        <v>0</v>
      </c>
    </row>
    <row r="963" spans="1:9" x14ac:dyDescent="0.25">
      <c r="A963" s="18" t="s">
        <v>6936</v>
      </c>
      <c r="B963" s="4" t="s">
        <v>2502</v>
      </c>
      <c r="C963" s="4" t="s">
        <v>1098</v>
      </c>
      <c r="D963" s="4" t="s">
        <v>3290</v>
      </c>
      <c r="E963" s="9">
        <v>38.134999999999998</v>
      </c>
      <c r="F963" s="9">
        <v>76.27</v>
      </c>
      <c r="G963" s="1" t="s">
        <v>6937</v>
      </c>
      <c r="H963" s="1">
        <f>SUMIF([1]Sheet1!$G:$G,A963,[1]Sheet1!$O:$O)</f>
        <v>76.27</v>
      </c>
      <c r="I963" s="21">
        <f t="shared" ref="I963:I1026" si="15">F963-H963</f>
        <v>0</v>
      </c>
    </row>
    <row r="964" spans="1:9" x14ac:dyDescent="0.25">
      <c r="A964" s="18" t="s">
        <v>5230</v>
      </c>
      <c r="B964" s="4" t="s">
        <v>2503</v>
      </c>
      <c r="C964" s="4" t="s">
        <v>1099</v>
      </c>
      <c r="D964" s="4" t="s">
        <v>3289</v>
      </c>
      <c r="E964" s="9">
        <v>0.57950000000000002</v>
      </c>
      <c r="F964" s="9">
        <v>162.26</v>
      </c>
      <c r="G964" s="1" t="s">
        <v>5233</v>
      </c>
      <c r="H964" s="1">
        <f>SUMIF([1]Sheet1!$G:$G,A964,[1]Sheet1!$O:$O)</f>
        <v>162.26</v>
      </c>
      <c r="I964" s="21">
        <f t="shared" si="15"/>
        <v>0</v>
      </c>
    </row>
    <row r="965" spans="1:9" x14ac:dyDescent="0.25">
      <c r="A965" s="18" t="s">
        <v>5689</v>
      </c>
      <c r="B965" s="4" t="s">
        <v>2504</v>
      </c>
      <c r="C965" s="4" t="s">
        <v>1100</v>
      </c>
      <c r="D965" s="4" t="s">
        <v>3290</v>
      </c>
      <c r="E965" s="9">
        <v>3.3899999999999997</v>
      </c>
      <c r="F965" s="9">
        <v>33.9</v>
      </c>
      <c r="G965" s="1" t="s">
        <v>5690</v>
      </c>
      <c r="H965" s="1">
        <f>SUMIF([1]Sheet1!$G:$G,A965,[1]Sheet1!$O:$O)</f>
        <v>33.9</v>
      </c>
      <c r="I965" s="21">
        <f t="shared" si="15"/>
        <v>0</v>
      </c>
    </row>
    <row r="966" spans="1:9" x14ac:dyDescent="0.25">
      <c r="A966" s="18" t="s">
        <v>7174</v>
      </c>
      <c r="B966" s="4" t="s">
        <v>2505</v>
      </c>
      <c r="C966" s="4" t="s">
        <v>1101</v>
      </c>
      <c r="D966" s="4" t="s">
        <v>3289</v>
      </c>
      <c r="E966" s="9">
        <v>181</v>
      </c>
      <c r="F966" s="9">
        <v>42535</v>
      </c>
      <c r="G966" s="1" t="s">
        <v>7175</v>
      </c>
      <c r="H966" s="1">
        <f>SUMIF([1]Sheet1!$G:$G,A966,[1]Sheet1!$O:$O)</f>
        <v>42535</v>
      </c>
      <c r="I966" s="21">
        <f t="shared" si="15"/>
        <v>0</v>
      </c>
    </row>
    <row r="967" spans="1:9" x14ac:dyDescent="0.25">
      <c r="A967" s="18" t="s">
        <v>7080</v>
      </c>
      <c r="B967" s="4" t="s">
        <v>2506</v>
      </c>
      <c r="C967" s="4" t="s">
        <v>1102</v>
      </c>
      <c r="D967" s="4" t="s">
        <v>3289</v>
      </c>
      <c r="E967" s="9">
        <v>29</v>
      </c>
      <c r="F967" s="9">
        <v>513.29999999999995</v>
      </c>
      <c r="G967" s="1" t="s">
        <v>7081</v>
      </c>
      <c r="H967" s="1">
        <f>SUMIF([1]Sheet1!$G:$G,A967,[1]Sheet1!$O:$O)</f>
        <v>513.29999999999995</v>
      </c>
      <c r="I967" s="21">
        <f t="shared" si="15"/>
        <v>0</v>
      </c>
    </row>
    <row r="968" spans="1:9" x14ac:dyDescent="0.25">
      <c r="A968" s="18" t="s">
        <v>7303</v>
      </c>
      <c r="B968" s="4" t="s">
        <v>2507</v>
      </c>
      <c r="C968" s="4" t="s">
        <v>1103</v>
      </c>
      <c r="D968" s="4" t="s">
        <v>3289</v>
      </c>
      <c r="E968" s="9">
        <v>316.87665952890791</v>
      </c>
      <c r="F968" s="9">
        <v>7399.07</v>
      </c>
      <c r="G968" s="1" t="s">
        <v>7304</v>
      </c>
      <c r="H968" s="1">
        <f>SUMIF([1]Sheet1!$G:$G,A968,[1]Sheet1!$O:$O)</f>
        <v>7399.07</v>
      </c>
      <c r="I968" s="21">
        <f t="shared" si="15"/>
        <v>0</v>
      </c>
    </row>
    <row r="969" spans="1:9" x14ac:dyDescent="0.25">
      <c r="A969" s="18" t="s">
        <v>7153</v>
      </c>
      <c r="B969" s="4" t="s">
        <v>2508</v>
      </c>
      <c r="C969" s="4" t="s">
        <v>1104</v>
      </c>
      <c r="D969" s="4" t="s">
        <v>3289</v>
      </c>
      <c r="E969" s="9">
        <v>245.85132221368559</v>
      </c>
      <c r="F969" s="9">
        <v>99198.55</v>
      </c>
      <c r="G969" s="1" t="s">
        <v>7154</v>
      </c>
      <c r="H969" s="1">
        <f>SUMIF([1]Sheet1!$G:$G,A969,[1]Sheet1!$O:$O)</f>
        <v>99198.54</v>
      </c>
      <c r="I969" s="21">
        <f t="shared" si="15"/>
        <v>1.0000000009313226E-2</v>
      </c>
    </row>
    <row r="970" spans="1:9" x14ac:dyDescent="0.25">
      <c r="A970" s="18" t="s">
        <v>7178</v>
      </c>
      <c r="B970" s="4" t="s">
        <v>2509</v>
      </c>
      <c r="C970" s="4" t="s">
        <v>1105</v>
      </c>
      <c r="D970" s="4" t="s">
        <v>3289</v>
      </c>
      <c r="E970" s="9">
        <v>260</v>
      </c>
      <c r="F970" s="9">
        <v>468</v>
      </c>
      <c r="G970" s="1" t="s">
        <v>7179</v>
      </c>
      <c r="H970" s="1">
        <f>SUMIF([1]Sheet1!$G:$G,A970,[1]Sheet1!$O:$O)</f>
        <v>468</v>
      </c>
      <c r="I970" s="21">
        <f t="shared" si="15"/>
        <v>0</v>
      </c>
    </row>
    <row r="971" spans="1:9" x14ac:dyDescent="0.25">
      <c r="A971" s="18" t="s">
        <v>7383</v>
      </c>
      <c r="B971" s="4" t="s">
        <v>2510</v>
      </c>
      <c r="C971" s="4" t="s">
        <v>1106</v>
      </c>
      <c r="D971" s="4" t="s">
        <v>3289</v>
      </c>
      <c r="E971" s="9">
        <v>40</v>
      </c>
      <c r="F971" s="9">
        <v>456</v>
      </c>
      <c r="G971" s="1" t="s">
        <v>7384</v>
      </c>
      <c r="H971" s="1">
        <f>SUMIF([1]Sheet1!$G:$G,A971,[1]Sheet1!$O:$O)</f>
        <v>456</v>
      </c>
      <c r="I971" s="21">
        <f t="shared" si="15"/>
        <v>0</v>
      </c>
    </row>
    <row r="972" spans="1:9" x14ac:dyDescent="0.25">
      <c r="A972" s="18" t="s">
        <v>7272</v>
      </c>
      <c r="B972" s="4" t="s">
        <v>2511</v>
      </c>
      <c r="C972" s="4" t="s">
        <v>1107</v>
      </c>
      <c r="D972" s="4" t="s">
        <v>3289</v>
      </c>
      <c r="E972" s="9">
        <v>213.47391304347823</v>
      </c>
      <c r="F972" s="9">
        <v>2454.9499999999998</v>
      </c>
      <c r="G972" s="1" t="s">
        <v>7273</v>
      </c>
      <c r="H972" s="1">
        <f>SUMIF([1]Sheet1!$G:$G,A972,[1]Sheet1!$O:$O)</f>
        <v>2454.9499999999998</v>
      </c>
      <c r="I972" s="21">
        <f t="shared" si="15"/>
        <v>0</v>
      </c>
    </row>
    <row r="973" spans="1:9" x14ac:dyDescent="0.25">
      <c r="A973" s="18" t="s">
        <v>7280</v>
      </c>
      <c r="B973" s="4" t="s">
        <v>2512</v>
      </c>
      <c r="C973" s="4" t="s">
        <v>1108</v>
      </c>
      <c r="D973" s="4" t="s">
        <v>3289</v>
      </c>
      <c r="E973" s="9">
        <v>8</v>
      </c>
      <c r="F973" s="9">
        <v>4</v>
      </c>
      <c r="G973" s="1" t="s">
        <v>7281</v>
      </c>
      <c r="H973" s="1">
        <f>SUMIF([1]Sheet1!$G:$G,A973,[1]Sheet1!$O:$O)</f>
        <v>4</v>
      </c>
      <c r="I973" s="21">
        <f t="shared" si="15"/>
        <v>0</v>
      </c>
    </row>
    <row r="974" spans="1:9" x14ac:dyDescent="0.25">
      <c r="A974" s="18" t="s">
        <v>7566</v>
      </c>
      <c r="B974" s="4" t="s">
        <v>2513</v>
      </c>
      <c r="C974" s="4" t="s">
        <v>1109</v>
      </c>
      <c r="D974" s="4" t="s">
        <v>3289</v>
      </c>
      <c r="E974" s="9">
        <v>55</v>
      </c>
      <c r="F974" s="9">
        <v>330</v>
      </c>
      <c r="G974" s="1" t="s">
        <v>7567</v>
      </c>
      <c r="H974" s="1">
        <f>SUMIF([1]Sheet1!$G:$G,A974,[1]Sheet1!$O:$O)</f>
        <v>330</v>
      </c>
      <c r="I974" s="21">
        <f t="shared" si="15"/>
        <v>0</v>
      </c>
    </row>
    <row r="975" spans="1:9" x14ac:dyDescent="0.25">
      <c r="A975" s="18" t="s">
        <v>7601</v>
      </c>
      <c r="B975" s="4" t="s">
        <v>2514</v>
      </c>
      <c r="C975" s="4" t="s">
        <v>1110</v>
      </c>
      <c r="D975" s="4" t="s">
        <v>3289</v>
      </c>
      <c r="E975" s="9">
        <v>40.940793650793651</v>
      </c>
      <c r="F975" s="9">
        <v>2579.27</v>
      </c>
      <c r="G975" s="1" t="s">
        <v>7602</v>
      </c>
      <c r="H975" s="1">
        <f>SUMIF([1]Sheet1!$G:$G,A975,[1]Sheet1!$O:$O)</f>
        <v>2579.27</v>
      </c>
      <c r="I975" s="21">
        <f t="shared" si="15"/>
        <v>0</v>
      </c>
    </row>
    <row r="976" spans="1:9" x14ac:dyDescent="0.25">
      <c r="A976" s="18" t="s">
        <v>7595</v>
      </c>
      <c r="B976" s="4" t="s">
        <v>2515</v>
      </c>
      <c r="C976" s="4" t="s">
        <v>1111</v>
      </c>
      <c r="D976" s="4" t="s">
        <v>3289</v>
      </c>
      <c r="E976" s="9">
        <v>32.615000000000002</v>
      </c>
      <c r="F976" s="9">
        <v>391.38</v>
      </c>
      <c r="G976" s="1" t="s">
        <v>7596</v>
      </c>
      <c r="H976" s="1">
        <f>SUMIF([1]Sheet1!$G:$G,A976,[1]Sheet1!$O:$O)</f>
        <v>391.38</v>
      </c>
      <c r="I976" s="21">
        <f t="shared" si="15"/>
        <v>0</v>
      </c>
    </row>
    <row r="977" spans="1:9" x14ac:dyDescent="0.25">
      <c r="A977" s="18" t="s">
        <v>7587</v>
      </c>
      <c r="B977" s="4" t="s">
        <v>2516</v>
      </c>
      <c r="C977" s="4" t="s">
        <v>1112</v>
      </c>
      <c r="D977" s="4" t="s">
        <v>3289</v>
      </c>
      <c r="E977" s="9">
        <v>23.423005565862709</v>
      </c>
      <c r="F977" s="9">
        <v>631.25</v>
      </c>
      <c r="G977" s="1" t="s">
        <v>7588</v>
      </c>
      <c r="H977" s="1">
        <f>SUMIF([1]Sheet1!$G:$G,A977,[1]Sheet1!$O:$O)</f>
        <v>631.25</v>
      </c>
      <c r="I977" s="21">
        <f t="shared" si="15"/>
        <v>0</v>
      </c>
    </row>
    <row r="978" spans="1:9" x14ac:dyDescent="0.25">
      <c r="A978" s="18" t="s">
        <v>6505</v>
      </c>
      <c r="B978" s="4" t="s">
        <v>2517</v>
      </c>
      <c r="C978" s="4" t="s">
        <v>1113</v>
      </c>
      <c r="D978" s="4" t="s">
        <v>3289</v>
      </c>
      <c r="E978" s="9">
        <v>13.118894009216591</v>
      </c>
      <c r="F978" s="9">
        <v>142.34</v>
      </c>
      <c r="G978" s="1" t="s">
        <v>6506</v>
      </c>
      <c r="H978" s="1">
        <f>SUMIF([1]Sheet1!$G:$G,A978,[1]Sheet1!$O:$O)</f>
        <v>142.34</v>
      </c>
      <c r="I978" s="21">
        <f t="shared" si="15"/>
        <v>0</v>
      </c>
    </row>
    <row r="979" spans="1:9" x14ac:dyDescent="0.25">
      <c r="A979" s="18" t="s">
        <v>5976</v>
      </c>
      <c r="B979" s="4" t="s">
        <v>2518</v>
      </c>
      <c r="C979" s="4" t="s">
        <v>1114</v>
      </c>
      <c r="D979" s="4" t="s">
        <v>3290</v>
      </c>
      <c r="E979" s="9">
        <v>19.120833333333334</v>
      </c>
      <c r="F979" s="9">
        <v>1606.15</v>
      </c>
      <c r="G979" s="1" t="s">
        <v>5977</v>
      </c>
      <c r="H979" s="1">
        <f>SUMIF([1]Sheet1!$G:$G,A979,[1]Sheet1!$O:$O)</f>
        <v>1606.15</v>
      </c>
      <c r="I979" s="21">
        <f t="shared" si="15"/>
        <v>0</v>
      </c>
    </row>
    <row r="980" spans="1:9" x14ac:dyDescent="0.25">
      <c r="A980" s="18" t="s">
        <v>5978</v>
      </c>
      <c r="B980" s="4" t="s">
        <v>2519</v>
      </c>
      <c r="C980" s="4" t="s">
        <v>1115</v>
      </c>
      <c r="D980" s="4" t="s">
        <v>3290</v>
      </c>
      <c r="E980" s="9">
        <v>1.5108900523560209</v>
      </c>
      <c r="F980" s="9">
        <v>288.58</v>
      </c>
      <c r="G980" s="1" t="s">
        <v>5979</v>
      </c>
      <c r="H980" s="1">
        <f>SUMIF([1]Sheet1!$G:$G,A980,[1]Sheet1!$O:$O)</f>
        <v>288.58</v>
      </c>
      <c r="I980" s="21">
        <f t="shared" si="15"/>
        <v>0</v>
      </c>
    </row>
    <row r="981" spans="1:9" x14ac:dyDescent="0.25">
      <c r="A981" s="18" t="s">
        <v>5967</v>
      </c>
      <c r="B981" s="4" t="s">
        <v>2520</v>
      </c>
      <c r="C981" s="4" t="s">
        <v>1116</v>
      </c>
      <c r="D981" s="4" t="s">
        <v>3290</v>
      </c>
      <c r="E981" s="9">
        <v>1.6309090909090911</v>
      </c>
      <c r="F981" s="9">
        <v>71.760000000000005</v>
      </c>
      <c r="G981" s="1" t="s">
        <v>5968</v>
      </c>
      <c r="H981" s="1">
        <f>SUMIF([1]Sheet1!$G:$G,A981,[1]Sheet1!$O:$O)</f>
        <v>71.760000000000005</v>
      </c>
      <c r="I981" s="21">
        <f t="shared" si="15"/>
        <v>0</v>
      </c>
    </row>
    <row r="982" spans="1:9" x14ac:dyDescent="0.25">
      <c r="A982" s="18" t="s">
        <v>10682</v>
      </c>
      <c r="B982" s="4" t="s">
        <v>2521</v>
      </c>
      <c r="C982" s="4" t="s">
        <v>1117</v>
      </c>
      <c r="D982" s="4" t="s">
        <v>3290</v>
      </c>
      <c r="E982" s="9">
        <v>3</v>
      </c>
      <c r="F982" s="9">
        <v>3</v>
      </c>
      <c r="G982" s="1" t="s">
        <v>10683</v>
      </c>
      <c r="H982" s="1">
        <f>SUMIF([1]Sheet1!$G:$G,A982,[1]Sheet1!$O:$O)</f>
        <v>3</v>
      </c>
      <c r="I982" s="21">
        <f t="shared" si="15"/>
        <v>0</v>
      </c>
    </row>
    <row r="983" spans="1:9" x14ac:dyDescent="0.25">
      <c r="A983" s="18" t="s">
        <v>10647</v>
      </c>
      <c r="B983" s="4" t="s">
        <v>2522</v>
      </c>
      <c r="C983" s="4" t="s">
        <v>1118</v>
      </c>
      <c r="D983" s="4" t="s">
        <v>3290</v>
      </c>
      <c r="E983" s="9">
        <v>3</v>
      </c>
      <c r="F983" s="9">
        <v>6</v>
      </c>
      <c r="G983" s="1" t="s">
        <v>10648</v>
      </c>
      <c r="H983" s="1">
        <f>SUMIF([1]Sheet1!$G:$G,A983,[1]Sheet1!$O:$O)</f>
        <v>6</v>
      </c>
      <c r="I983" s="21">
        <f t="shared" si="15"/>
        <v>0</v>
      </c>
    </row>
    <row r="984" spans="1:9" x14ac:dyDescent="0.25">
      <c r="A984" s="18" t="s">
        <v>10630</v>
      </c>
      <c r="B984" s="4" t="s">
        <v>2523</v>
      </c>
      <c r="C984" s="4" t="s">
        <v>1119</v>
      </c>
      <c r="D984" s="4" t="s">
        <v>3290</v>
      </c>
      <c r="E984" s="9">
        <v>2.7866666666666666</v>
      </c>
      <c r="F984" s="9">
        <v>8.36</v>
      </c>
      <c r="G984" s="1" t="s">
        <v>10631</v>
      </c>
      <c r="H984" s="1">
        <f>SUMIF([1]Sheet1!$G:$G,A984,[1]Sheet1!$O:$O)</f>
        <v>8.36</v>
      </c>
      <c r="I984" s="21">
        <f t="shared" si="15"/>
        <v>0</v>
      </c>
    </row>
    <row r="985" spans="1:9" x14ac:dyDescent="0.25">
      <c r="A985" s="18" t="s">
        <v>10663</v>
      </c>
      <c r="B985" s="4" t="s">
        <v>2524</v>
      </c>
      <c r="C985" s="4" t="s">
        <v>1120</v>
      </c>
      <c r="D985" s="4" t="s">
        <v>3290</v>
      </c>
      <c r="E985" s="9">
        <v>20</v>
      </c>
      <c r="F985" s="9">
        <v>20</v>
      </c>
      <c r="G985" s="1" t="s">
        <v>10664</v>
      </c>
      <c r="H985" s="1">
        <f>SUMIF([1]Sheet1!$G:$G,A985,[1]Sheet1!$O:$O)</f>
        <v>20</v>
      </c>
      <c r="I985" s="21">
        <f t="shared" si="15"/>
        <v>0</v>
      </c>
    </row>
    <row r="986" spans="1:9" x14ac:dyDescent="0.25">
      <c r="A986" s="18" t="s">
        <v>10649</v>
      </c>
      <c r="B986" s="4" t="s">
        <v>2525</v>
      </c>
      <c r="C986" s="4" t="s">
        <v>1121</v>
      </c>
      <c r="D986" s="4" t="s">
        <v>3290</v>
      </c>
      <c r="E986" s="9">
        <v>8.2076712328767112</v>
      </c>
      <c r="F986" s="9">
        <v>599.16</v>
      </c>
      <c r="G986" s="1" t="s">
        <v>10650</v>
      </c>
      <c r="H986" s="1">
        <f>SUMIF([1]Sheet1!$G:$G,A986,[1]Sheet1!$O:$O)</f>
        <v>599.16</v>
      </c>
      <c r="I986" s="21">
        <f t="shared" si="15"/>
        <v>0</v>
      </c>
    </row>
    <row r="987" spans="1:9" x14ac:dyDescent="0.25">
      <c r="A987" s="18" t="s">
        <v>10670</v>
      </c>
      <c r="B987" s="4" t="s">
        <v>2526</v>
      </c>
      <c r="C987" s="4" t="s">
        <v>1122</v>
      </c>
      <c r="D987" s="4" t="s">
        <v>3290</v>
      </c>
      <c r="E987" s="9">
        <v>50</v>
      </c>
      <c r="F987" s="9">
        <v>150</v>
      </c>
      <c r="G987" s="1" t="s">
        <v>10671</v>
      </c>
      <c r="H987" s="1">
        <f>SUMIF([1]Sheet1!$G:$G,A987,[1]Sheet1!$O:$O)</f>
        <v>150</v>
      </c>
      <c r="I987" s="21">
        <f t="shared" si="15"/>
        <v>0</v>
      </c>
    </row>
    <row r="988" spans="1:9" x14ac:dyDescent="0.25">
      <c r="A988" s="18" t="s">
        <v>4081</v>
      </c>
      <c r="B988" s="4" t="s">
        <v>2527</v>
      </c>
      <c r="C988" s="4" t="s">
        <v>1123</v>
      </c>
      <c r="D988" s="4" t="s">
        <v>3290</v>
      </c>
      <c r="E988" s="9">
        <v>21</v>
      </c>
      <c r="F988" s="9">
        <v>6216</v>
      </c>
      <c r="G988" s="1" t="s">
        <v>4084</v>
      </c>
      <c r="H988" s="1">
        <f>SUMIF([1]Sheet1!$G:$G,A988,[1]Sheet1!$O:$O)</f>
        <v>6216</v>
      </c>
      <c r="I988" s="21">
        <f t="shared" si="15"/>
        <v>0</v>
      </c>
    </row>
    <row r="989" spans="1:9" x14ac:dyDescent="0.25">
      <c r="A989" s="18" t="s">
        <v>4107</v>
      </c>
      <c r="B989" s="4" t="s">
        <v>2528</v>
      </c>
      <c r="C989" s="4" t="s">
        <v>1124</v>
      </c>
      <c r="D989" s="4" t="s">
        <v>3290</v>
      </c>
      <c r="E989" s="9">
        <v>7.2345454545454544</v>
      </c>
      <c r="F989" s="9">
        <v>159.16</v>
      </c>
      <c r="G989" s="1" t="s">
        <v>4108</v>
      </c>
      <c r="H989" s="1">
        <f>SUMIF([1]Sheet1!$G:$G,A989,[1]Sheet1!$O:$O)</f>
        <v>159.16</v>
      </c>
      <c r="I989" s="21">
        <f t="shared" si="15"/>
        <v>0</v>
      </c>
    </row>
    <row r="990" spans="1:9" x14ac:dyDescent="0.25">
      <c r="A990" s="18" t="s">
        <v>6747</v>
      </c>
      <c r="B990" s="4" t="s">
        <v>2529</v>
      </c>
      <c r="C990" s="4" t="s">
        <v>1125</v>
      </c>
      <c r="D990" s="4" t="s">
        <v>3295</v>
      </c>
      <c r="E990" s="9">
        <v>22.597222222222221</v>
      </c>
      <c r="F990" s="9">
        <v>1220.25</v>
      </c>
      <c r="G990" s="1" t="s">
        <v>6748</v>
      </c>
      <c r="H990" s="1">
        <f>SUMIF([1]Sheet1!$G:$G,A990,[1]Sheet1!$O:$O)</f>
        <v>1220.25</v>
      </c>
      <c r="I990" s="21">
        <f t="shared" si="15"/>
        <v>0</v>
      </c>
    </row>
    <row r="991" spans="1:9" x14ac:dyDescent="0.25">
      <c r="A991" s="18" t="s">
        <v>6075</v>
      </c>
      <c r="B991" s="4" t="s">
        <v>2530</v>
      </c>
      <c r="C991" s="4" t="s">
        <v>1126</v>
      </c>
      <c r="D991" s="4" t="s">
        <v>3289</v>
      </c>
      <c r="E991" s="9">
        <v>2.0500000000000003</v>
      </c>
      <c r="F991" s="9">
        <v>6.15</v>
      </c>
      <c r="G991" s="1" t="s">
        <v>6076</v>
      </c>
      <c r="H991" s="1">
        <f>SUMIF([1]Sheet1!$G:$G,A991,[1]Sheet1!$O:$O)</f>
        <v>6.15</v>
      </c>
      <c r="I991" s="21">
        <f t="shared" si="15"/>
        <v>0</v>
      </c>
    </row>
    <row r="992" spans="1:9" x14ac:dyDescent="0.25">
      <c r="A992" s="18" t="s">
        <v>7418</v>
      </c>
      <c r="B992" s="4" t="s">
        <v>2531</v>
      </c>
      <c r="C992" s="4" t="s">
        <v>1127</v>
      </c>
      <c r="D992" s="4" t="s">
        <v>3289</v>
      </c>
      <c r="E992" s="9">
        <v>713.54881999074507</v>
      </c>
      <c r="F992" s="9">
        <v>15419.79</v>
      </c>
      <c r="G992" s="1" t="s">
        <v>7419</v>
      </c>
      <c r="H992" s="1">
        <f>SUMIF([1]Sheet1!$G:$G,A992,[1]Sheet1!$O:$O)</f>
        <v>15419.79</v>
      </c>
      <c r="I992" s="21">
        <f t="shared" si="15"/>
        <v>0</v>
      </c>
    </row>
    <row r="993" spans="1:9" x14ac:dyDescent="0.25">
      <c r="A993" s="18" t="s">
        <v>7348</v>
      </c>
      <c r="B993" s="4" t="s">
        <v>2532</v>
      </c>
      <c r="C993" s="4" t="s">
        <v>1128</v>
      </c>
      <c r="D993" s="4" t="s">
        <v>3289</v>
      </c>
      <c r="E993" s="9">
        <v>2118.64</v>
      </c>
      <c r="F993" s="9">
        <v>2118.64</v>
      </c>
      <c r="G993" s="1" t="s">
        <v>7349</v>
      </c>
      <c r="H993" s="1">
        <f>SUMIF([1]Sheet1!$G:$G,A993,[1]Sheet1!$O:$O)</f>
        <v>2118.64</v>
      </c>
      <c r="I993" s="21">
        <f t="shared" si="15"/>
        <v>0</v>
      </c>
    </row>
    <row r="994" spans="1:9" x14ac:dyDescent="0.25">
      <c r="A994" s="18" t="s">
        <v>7451</v>
      </c>
      <c r="B994" s="4" t="s">
        <v>2533</v>
      </c>
      <c r="C994" s="4" t="s">
        <v>1129</v>
      </c>
      <c r="D994" s="4" t="s">
        <v>3289</v>
      </c>
      <c r="E994" s="9">
        <v>1019.8706697459584</v>
      </c>
      <c r="F994" s="9">
        <v>4416.04</v>
      </c>
      <c r="G994" s="1" t="s">
        <v>7452</v>
      </c>
      <c r="H994" s="1">
        <f>SUMIF([1]Sheet1!$G:$G,A994,[1]Sheet1!$O:$O)</f>
        <v>4416.04</v>
      </c>
      <c r="I994" s="21">
        <f t="shared" si="15"/>
        <v>0</v>
      </c>
    </row>
    <row r="995" spans="1:9" x14ac:dyDescent="0.25">
      <c r="A995" s="18" t="s">
        <v>7449</v>
      </c>
      <c r="B995" s="4" t="s">
        <v>2534</v>
      </c>
      <c r="C995" s="4" t="s">
        <v>1130</v>
      </c>
      <c r="D995" s="4" t="s">
        <v>3289</v>
      </c>
      <c r="E995" s="9">
        <v>879.46823646877726</v>
      </c>
      <c r="F995" s="9">
        <v>211397.78</v>
      </c>
      <c r="G995" s="1" t="s">
        <v>7450</v>
      </c>
      <c r="H995" s="1">
        <f>SUMIF([1]Sheet1!$G:$G,A995,[1]Sheet1!$O:$O)</f>
        <v>211397.77</v>
      </c>
      <c r="I995" s="21">
        <f t="shared" si="15"/>
        <v>1.0000000009313226E-2</v>
      </c>
    </row>
    <row r="996" spans="1:9" x14ac:dyDescent="0.25">
      <c r="A996" s="18" t="s">
        <v>7340</v>
      </c>
      <c r="B996" s="4" t="s">
        <v>2535</v>
      </c>
      <c r="C996" s="4" t="s">
        <v>1131</v>
      </c>
      <c r="D996" s="4" t="s">
        <v>3289</v>
      </c>
      <c r="E996" s="9">
        <v>861.4145531400967</v>
      </c>
      <c r="F996" s="9">
        <v>28530.05</v>
      </c>
      <c r="G996" s="1" t="s">
        <v>7341</v>
      </c>
      <c r="H996" s="1">
        <f>SUMIF([1]Sheet1!$G:$G,A996,[1]Sheet1!$O:$O)</f>
        <v>28530.05</v>
      </c>
      <c r="I996" s="21">
        <f t="shared" si="15"/>
        <v>0</v>
      </c>
    </row>
    <row r="997" spans="1:9" x14ac:dyDescent="0.25">
      <c r="A997" s="18" t="s">
        <v>7465</v>
      </c>
      <c r="B997" s="4" t="s">
        <v>2536</v>
      </c>
      <c r="C997" s="4" t="s">
        <v>1132</v>
      </c>
      <c r="D997" s="4" t="s">
        <v>3289</v>
      </c>
      <c r="E997" s="9">
        <v>1276.1630741337631</v>
      </c>
      <c r="F997" s="9">
        <v>126697.47</v>
      </c>
      <c r="G997" s="1" t="s">
        <v>7466</v>
      </c>
      <c r="H997" s="1">
        <f>SUMIF([1]Sheet1!$G:$G,A997,[1]Sheet1!$O:$O)</f>
        <v>126697.47</v>
      </c>
      <c r="I997" s="21">
        <f t="shared" si="15"/>
        <v>0</v>
      </c>
    </row>
    <row r="998" spans="1:9" x14ac:dyDescent="0.25">
      <c r="A998" s="18" t="s">
        <v>9863</v>
      </c>
      <c r="B998" s="4" t="s">
        <v>2537</v>
      </c>
      <c r="C998" s="4" t="s">
        <v>1133</v>
      </c>
      <c r="D998" s="4" t="s">
        <v>3290</v>
      </c>
      <c r="E998" s="9">
        <v>4.68</v>
      </c>
      <c r="F998" s="9">
        <v>88.919999999999987</v>
      </c>
      <c r="G998" s="1" t="s">
        <v>9864</v>
      </c>
      <c r="H998" s="1">
        <f>SUMIF([1]Sheet1!$G:$G,A998,[1]Sheet1!$O:$O)</f>
        <v>88.92</v>
      </c>
      <c r="I998" s="21">
        <f t="shared" si="15"/>
        <v>0</v>
      </c>
    </row>
    <row r="999" spans="1:9" x14ac:dyDescent="0.25">
      <c r="A999" s="18" t="s">
        <v>7678</v>
      </c>
      <c r="B999" s="4" t="s">
        <v>2538</v>
      </c>
      <c r="C999" s="4" t="s">
        <v>1134</v>
      </c>
      <c r="D999" s="4" t="s">
        <v>3290</v>
      </c>
      <c r="E999" s="9">
        <v>418.07961538461535</v>
      </c>
      <c r="F999" s="9">
        <v>10870.07</v>
      </c>
      <c r="G999" s="1" t="s">
        <v>7679</v>
      </c>
      <c r="H999" s="1">
        <f>SUMIF([1]Sheet1!$G:$G,A999,[1]Sheet1!$O:$O)</f>
        <v>10870.07</v>
      </c>
      <c r="I999" s="21">
        <f t="shared" si="15"/>
        <v>0</v>
      </c>
    </row>
    <row r="1000" spans="1:9" x14ac:dyDescent="0.25">
      <c r="A1000" s="18" t="s">
        <v>7660</v>
      </c>
      <c r="B1000" s="4" t="s">
        <v>2539</v>
      </c>
      <c r="C1000" s="4" t="s">
        <v>1135</v>
      </c>
      <c r="D1000" s="4" t="s">
        <v>3290</v>
      </c>
      <c r="E1000" s="9">
        <v>152.5423076923077</v>
      </c>
      <c r="F1000" s="9">
        <v>1983.0500000000002</v>
      </c>
      <c r="G1000" s="1" t="s">
        <v>7661</v>
      </c>
      <c r="H1000" s="1">
        <f>SUMIF([1]Sheet1!$G:$G,A1000,[1]Sheet1!$O:$O)</f>
        <v>1983.05</v>
      </c>
      <c r="I1000" s="21">
        <f t="shared" si="15"/>
        <v>0</v>
      </c>
    </row>
    <row r="1001" spans="1:9" x14ac:dyDescent="0.25">
      <c r="A1001" s="18" t="s">
        <v>6121</v>
      </c>
      <c r="B1001" s="4" t="s">
        <v>2540</v>
      </c>
      <c r="C1001" s="4" t="s">
        <v>1136</v>
      </c>
      <c r="D1001" s="4" t="s">
        <v>3291</v>
      </c>
      <c r="E1001" s="9">
        <v>28.267931034482757</v>
      </c>
      <c r="F1001" s="9">
        <v>819.77</v>
      </c>
      <c r="G1001" s="1" t="s">
        <v>6122</v>
      </c>
      <c r="H1001" s="1">
        <f>SUMIF([1]Sheet1!$G:$G,A1001,[1]Sheet1!$O:$O)</f>
        <v>819.77</v>
      </c>
      <c r="I1001" s="21">
        <f t="shared" si="15"/>
        <v>0</v>
      </c>
    </row>
    <row r="1002" spans="1:9" x14ac:dyDescent="0.25">
      <c r="A1002" s="18" t="s">
        <v>8812</v>
      </c>
      <c r="B1002" s="4" t="s">
        <v>2541</v>
      </c>
      <c r="C1002" s="4" t="s">
        <v>1137</v>
      </c>
      <c r="D1002" s="4" t="s">
        <v>3290</v>
      </c>
      <c r="E1002" s="9">
        <v>19.794166666666666</v>
      </c>
      <c r="F1002" s="9">
        <v>237.52999999999997</v>
      </c>
      <c r="G1002" s="1" t="s">
        <v>8813</v>
      </c>
      <c r="H1002" s="1">
        <f>SUMIF([1]Sheet1!$G:$G,A1002,[1]Sheet1!$O:$O)</f>
        <v>237.53</v>
      </c>
      <c r="I1002" s="21">
        <f t="shared" si="15"/>
        <v>0</v>
      </c>
    </row>
    <row r="1003" spans="1:9" x14ac:dyDescent="0.25">
      <c r="A1003" s="18" t="s">
        <v>8284</v>
      </c>
      <c r="B1003" s="4" t="s">
        <v>2542</v>
      </c>
      <c r="C1003" s="4" t="s">
        <v>1138</v>
      </c>
      <c r="D1003" s="4" t="s">
        <v>3290</v>
      </c>
      <c r="E1003" s="9">
        <v>5.0845454545454549</v>
      </c>
      <c r="F1003" s="9">
        <v>223.72000000000003</v>
      </c>
      <c r="G1003" s="1" t="s">
        <v>8285</v>
      </c>
      <c r="H1003" s="1">
        <f>SUMIF([1]Sheet1!$G:$G,A1003,[1]Sheet1!$O:$O)</f>
        <v>223.72</v>
      </c>
      <c r="I1003" s="21">
        <f t="shared" si="15"/>
        <v>0</v>
      </c>
    </row>
    <row r="1004" spans="1:9" x14ac:dyDescent="0.25">
      <c r="A1004" s="18" t="s">
        <v>5893</v>
      </c>
      <c r="B1004" s="4" t="s">
        <v>2543</v>
      </c>
      <c r="C1004" s="4" t="s">
        <v>1139</v>
      </c>
      <c r="D1004" s="4" t="s">
        <v>3291</v>
      </c>
      <c r="E1004" s="9">
        <v>26.712676056338029</v>
      </c>
      <c r="F1004" s="9">
        <v>94.83</v>
      </c>
      <c r="G1004" s="1" t="s">
        <v>5894</v>
      </c>
      <c r="H1004" s="1">
        <f>SUMIF([1]Sheet1!$G:$G,A1004,[1]Sheet1!$O:$O)</f>
        <v>94.83</v>
      </c>
      <c r="I1004" s="21">
        <f t="shared" si="15"/>
        <v>0</v>
      </c>
    </row>
    <row r="1005" spans="1:9" x14ac:dyDescent="0.25">
      <c r="A1005" s="18" t="s">
        <v>11388</v>
      </c>
      <c r="B1005" s="4" t="s">
        <v>2544</v>
      </c>
      <c r="C1005" s="4" t="s">
        <v>1140</v>
      </c>
      <c r="D1005" s="4" t="s">
        <v>3291</v>
      </c>
      <c r="E1005" s="9">
        <v>13.56</v>
      </c>
      <c r="F1005" s="9">
        <v>81.36</v>
      </c>
      <c r="G1005" s="1" t="s">
        <v>11389</v>
      </c>
      <c r="H1005" s="1">
        <f>SUMIF([1]Sheet1!$G:$G,A1005,[1]Sheet1!$O:$O)</f>
        <v>81.36</v>
      </c>
      <c r="I1005" s="21">
        <f t="shared" si="15"/>
        <v>0</v>
      </c>
    </row>
    <row r="1006" spans="1:9" x14ac:dyDescent="0.25">
      <c r="A1006" s="18" t="s">
        <v>5875</v>
      </c>
      <c r="B1006" s="4" t="s">
        <v>2545</v>
      </c>
      <c r="C1006" s="4" t="s">
        <v>1141</v>
      </c>
      <c r="D1006" s="4" t="s">
        <v>3291</v>
      </c>
      <c r="E1006" s="9">
        <v>46.01</v>
      </c>
      <c r="F1006" s="9">
        <v>46.01</v>
      </c>
      <c r="G1006" s="1" t="s">
        <v>5876</v>
      </c>
      <c r="H1006" s="1">
        <f>SUMIF([1]Sheet1!$G:$G,A1006,[1]Sheet1!$O:$O)</f>
        <v>46.01</v>
      </c>
      <c r="I1006" s="21">
        <f t="shared" si="15"/>
        <v>0</v>
      </c>
    </row>
    <row r="1007" spans="1:9" x14ac:dyDescent="0.25">
      <c r="A1007" s="18" t="s">
        <v>4551</v>
      </c>
      <c r="B1007" s="4" t="s">
        <v>2546</v>
      </c>
      <c r="C1007" s="4" t="s">
        <v>1142</v>
      </c>
      <c r="D1007" s="4" t="s">
        <v>3290</v>
      </c>
      <c r="E1007" s="9">
        <v>6.0525000000000002</v>
      </c>
      <c r="F1007" s="9">
        <v>24.21</v>
      </c>
      <c r="G1007" s="1" t="s">
        <v>4552</v>
      </c>
      <c r="H1007" s="1">
        <f>SUMIF([1]Sheet1!$G:$G,A1007,[1]Sheet1!$O:$O)</f>
        <v>24.21</v>
      </c>
      <c r="I1007" s="21">
        <f t="shared" si="15"/>
        <v>0</v>
      </c>
    </row>
    <row r="1008" spans="1:9" x14ac:dyDescent="0.25">
      <c r="A1008" s="18" t="s">
        <v>4497</v>
      </c>
      <c r="B1008" s="4" t="s">
        <v>2547</v>
      </c>
      <c r="C1008" s="4" t="s">
        <v>1143</v>
      </c>
      <c r="D1008" s="4" t="s">
        <v>3290</v>
      </c>
      <c r="E1008" s="9">
        <v>10.494999999999999</v>
      </c>
      <c r="F1008" s="9">
        <v>41.98</v>
      </c>
      <c r="G1008" s="1" t="s">
        <v>4498</v>
      </c>
      <c r="H1008" s="1">
        <f>SUMIF([1]Sheet1!$G:$G,A1008,[1]Sheet1!$O:$O)</f>
        <v>41.98</v>
      </c>
      <c r="I1008" s="21">
        <f t="shared" si="15"/>
        <v>0</v>
      </c>
    </row>
    <row r="1009" spans="1:9" x14ac:dyDescent="0.25">
      <c r="A1009" s="18" t="s">
        <v>6685</v>
      </c>
      <c r="B1009" s="4" t="s">
        <v>2548</v>
      </c>
      <c r="C1009" s="4" t="s">
        <v>1144</v>
      </c>
      <c r="D1009" s="4" t="s">
        <v>3291</v>
      </c>
      <c r="E1009" s="9">
        <v>2.6074509803921568</v>
      </c>
      <c r="F1009" s="9">
        <v>66.489999999999995</v>
      </c>
      <c r="G1009" s="1" t="s">
        <v>6686</v>
      </c>
      <c r="H1009" s="1">
        <f>SUMIF([1]Sheet1!$G:$G,A1009,[1]Sheet1!$O:$O)</f>
        <v>66.489999999999995</v>
      </c>
      <c r="I1009" s="21">
        <f t="shared" si="15"/>
        <v>0</v>
      </c>
    </row>
    <row r="1010" spans="1:9" x14ac:dyDescent="0.25">
      <c r="A1010" s="18" t="s">
        <v>6676</v>
      </c>
      <c r="B1010" s="4" t="s">
        <v>2549</v>
      </c>
      <c r="C1010" s="4" t="s">
        <v>1145</v>
      </c>
      <c r="D1010" s="4" t="s">
        <v>3291</v>
      </c>
      <c r="E1010" s="9">
        <v>2.5924999999999998</v>
      </c>
      <c r="F1010" s="9">
        <v>62.22</v>
      </c>
      <c r="G1010" s="1" t="s">
        <v>6677</v>
      </c>
      <c r="H1010" s="1">
        <f>SUMIF([1]Sheet1!$G:$G,A1010,[1]Sheet1!$O:$O)</f>
        <v>62.22</v>
      </c>
      <c r="I1010" s="21">
        <f t="shared" si="15"/>
        <v>0</v>
      </c>
    </row>
    <row r="1011" spans="1:9" x14ac:dyDescent="0.25">
      <c r="A1011" s="18" t="s">
        <v>9236</v>
      </c>
      <c r="B1011" s="4" t="s">
        <v>2550</v>
      </c>
      <c r="C1011" s="4" t="s">
        <v>1146</v>
      </c>
      <c r="D1011" s="4" t="s">
        <v>3290</v>
      </c>
      <c r="E1011" s="9">
        <v>142.85727272727271</v>
      </c>
      <c r="F1011" s="9">
        <v>4714.29</v>
      </c>
      <c r="G1011" s="1" t="s">
        <v>9237</v>
      </c>
      <c r="H1011" s="1">
        <f>SUMIF([1]Sheet1!$G:$G,A1011,[1]Sheet1!$O:$O)</f>
        <v>4714.29</v>
      </c>
      <c r="I1011" s="21">
        <f t="shared" si="15"/>
        <v>0</v>
      </c>
    </row>
    <row r="1012" spans="1:9" x14ac:dyDescent="0.25">
      <c r="A1012" s="18" t="s">
        <v>9411</v>
      </c>
      <c r="B1012" s="4" t="s">
        <v>2551</v>
      </c>
      <c r="C1012" s="4" t="s">
        <v>1147</v>
      </c>
      <c r="D1012" s="4" t="s">
        <v>3291</v>
      </c>
      <c r="E1012" s="9">
        <v>14.631481122942885</v>
      </c>
      <c r="F1012" s="9">
        <v>7557.16</v>
      </c>
      <c r="G1012" s="1" t="s">
        <v>9412</v>
      </c>
      <c r="H1012" s="1">
        <f>SUMIF([1]Sheet1!$G:$G,A1012,[1]Sheet1!$O:$O)</f>
        <v>7557.17</v>
      </c>
      <c r="I1012" s="21">
        <f t="shared" si="15"/>
        <v>-1.0000000000218279E-2</v>
      </c>
    </row>
    <row r="1013" spans="1:9" x14ac:dyDescent="0.25">
      <c r="A1013" s="18" t="s">
        <v>9442</v>
      </c>
      <c r="B1013" s="4" t="s">
        <v>2552</v>
      </c>
      <c r="C1013" s="4" t="s">
        <v>1148</v>
      </c>
      <c r="D1013" s="4" t="s">
        <v>3291</v>
      </c>
      <c r="E1013" s="9">
        <v>12.061710225831007</v>
      </c>
      <c r="F1013" s="9">
        <v>4753.5200000000004</v>
      </c>
      <c r="G1013" s="1" t="s">
        <v>9443</v>
      </c>
      <c r="H1013" s="1">
        <f>SUMIF([1]Sheet1!$G:$G,A1013,[1]Sheet1!$O:$O)</f>
        <v>4753.5200000000004</v>
      </c>
      <c r="I1013" s="21">
        <f t="shared" si="15"/>
        <v>0</v>
      </c>
    </row>
    <row r="1014" spans="1:9" x14ac:dyDescent="0.25">
      <c r="A1014" s="18" t="s">
        <v>9427</v>
      </c>
      <c r="B1014" s="4" t="s">
        <v>2553</v>
      </c>
      <c r="C1014" s="4" t="s">
        <v>1149</v>
      </c>
      <c r="D1014" s="4" t="s">
        <v>3291</v>
      </c>
      <c r="E1014" s="9">
        <v>14.267814569536425</v>
      </c>
      <c r="F1014" s="9">
        <v>2154.44</v>
      </c>
      <c r="G1014" s="1" t="s">
        <v>9428</v>
      </c>
      <c r="H1014" s="1">
        <f>SUMIF([1]Sheet1!$G:$G,A1014,[1]Sheet1!$O:$O)</f>
        <v>2154.44</v>
      </c>
      <c r="I1014" s="21">
        <f t="shared" si="15"/>
        <v>0</v>
      </c>
    </row>
    <row r="1015" spans="1:9" x14ac:dyDescent="0.25">
      <c r="A1015" s="18" t="s">
        <v>9432</v>
      </c>
      <c r="B1015" s="4" t="s">
        <v>2554</v>
      </c>
      <c r="C1015" s="4" t="s">
        <v>1150</v>
      </c>
      <c r="D1015" s="4" t="s">
        <v>3291</v>
      </c>
      <c r="E1015" s="9">
        <v>11.357264957264956</v>
      </c>
      <c r="F1015" s="9">
        <v>2657.6</v>
      </c>
      <c r="G1015" s="1" t="s">
        <v>9433</v>
      </c>
      <c r="H1015" s="1">
        <f>SUMIF([1]Sheet1!$G:$G,A1015,[1]Sheet1!$O:$O)</f>
        <v>2657.61</v>
      </c>
      <c r="I1015" s="21">
        <f t="shared" si="15"/>
        <v>-1.0000000000218279E-2</v>
      </c>
    </row>
    <row r="1016" spans="1:9" x14ac:dyDescent="0.25">
      <c r="A1016" s="18" t="s">
        <v>5151</v>
      </c>
      <c r="B1016" s="4" t="s">
        <v>2555</v>
      </c>
      <c r="C1016" s="4" t="s">
        <v>1151</v>
      </c>
      <c r="D1016" s="4" t="s">
        <v>3292</v>
      </c>
      <c r="E1016" s="9">
        <v>7.968690623709211</v>
      </c>
      <c r="F1016" s="9">
        <v>1929.22</v>
      </c>
      <c r="G1016" s="1" t="s">
        <v>5152</v>
      </c>
      <c r="H1016" s="1">
        <f>SUMIF([1]Sheet1!$G:$G,A1016,[1]Sheet1!$O:$O)</f>
        <v>1929.22</v>
      </c>
      <c r="I1016" s="21">
        <f t="shared" si="15"/>
        <v>0</v>
      </c>
    </row>
    <row r="1017" spans="1:9" x14ac:dyDescent="0.25">
      <c r="A1017" s="18" t="s">
        <v>9434</v>
      </c>
      <c r="B1017" s="4" t="s">
        <v>2556</v>
      </c>
      <c r="C1017" s="4" t="s">
        <v>1152</v>
      </c>
      <c r="D1017" s="4" t="s">
        <v>3291</v>
      </c>
      <c r="E1017" s="9">
        <v>8.5839333333333325</v>
      </c>
      <c r="F1017" s="9">
        <v>1287.5899999999999</v>
      </c>
      <c r="G1017" s="1" t="s">
        <v>9435</v>
      </c>
      <c r="H1017" s="1">
        <f>SUMIF([1]Sheet1!$G:$G,A1017,[1]Sheet1!$O:$O)</f>
        <v>1287.5899999999999</v>
      </c>
      <c r="I1017" s="21">
        <f t="shared" si="15"/>
        <v>0</v>
      </c>
    </row>
    <row r="1018" spans="1:9" x14ac:dyDescent="0.25">
      <c r="A1018" s="18" t="s">
        <v>11280</v>
      </c>
      <c r="B1018" s="4" t="s">
        <v>2557</v>
      </c>
      <c r="C1018" s="4" t="s">
        <v>1153</v>
      </c>
      <c r="D1018" s="4" t="s">
        <v>3290</v>
      </c>
      <c r="E1018" s="9">
        <v>24.591111111111111</v>
      </c>
      <c r="F1018" s="9">
        <v>221.32</v>
      </c>
      <c r="G1018" s="1" t="s">
        <v>11281</v>
      </c>
      <c r="H1018" s="1">
        <f>SUMIF([1]Sheet1!$G:$G,A1018,[1]Sheet1!$O:$O)</f>
        <v>221.32</v>
      </c>
      <c r="I1018" s="21">
        <f t="shared" si="15"/>
        <v>0</v>
      </c>
    </row>
    <row r="1019" spans="1:9" x14ac:dyDescent="0.25">
      <c r="A1019" s="18" t="s">
        <v>9257</v>
      </c>
      <c r="B1019" s="4" t="s">
        <v>2558</v>
      </c>
      <c r="C1019" s="4" t="s">
        <v>1154</v>
      </c>
      <c r="D1019" s="4" t="s">
        <v>3290</v>
      </c>
      <c r="E1019" s="9">
        <v>86.613</v>
      </c>
      <c r="F1019" s="9">
        <v>866.13</v>
      </c>
      <c r="G1019" s="1" t="s">
        <v>9258</v>
      </c>
      <c r="H1019" s="1">
        <f>SUMIF([1]Sheet1!$G:$G,A1019,[1]Sheet1!$O:$O)</f>
        <v>866.13</v>
      </c>
      <c r="I1019" s="21">
        <f t="shared" si="15"/>
        <v>0</v>
      </c>
    </row>
    <row r="1020" spans="1:9" x14ac:dyDescent="0.25">
      <c r="A1020" s="18" t="s">
        <v>10829</v>
      </c>
      <c r="B1020" s="4" t="s">
        <v>2559</v>
      </c>
      <c r="C1020" s="4" t="s">
        <v>1155</v>
      </c>
      <c r="D1020" s="4" t="s">
        <v>3290</v>
      </c>
      <c r="E1020" s="9">
        <v>53.045000000000002</v>
      </c>
      <c r="F1020" s="9">
        <v>106.09</v>
      </c>
      <c r="G1020" s="1" t="s">
        <v>10830</v>
      </c>
      <c r="H1020" s="1">
        <f>SUMIF([1]Sheet1!$G:$G,A1020,[1]Sheet1!$O:$O)</f>
        <v>106.09</v>
      </c>
      <c r="I1020" s="21">
        <f t="shared" si="15"/>
        <v>0</v>
      </c>
    </row>
    <row r="1021" spans="1:9" x14ac:dyDescent="0.25">
      <c r="A1021" s="18" t="s">
        <v>8464</v>
      </c>
      <c r="B1021" s="4" t="s">
        <v>2560</v>
      </c>
      <c r="C1021" s="4" t="s">
        <v>1156</v>
      </c>
      <c r="D1021" s="4" t="s">
        <v>3290</v>
      </c>
      <c r="E1021" s="9">
        <v>1046.6099999999999</v>
      </c>
      <c r="F1021" s="9">
        <v>1046.6099999999999</v>
      </c>
      <c r="G1021" s="1" t="s">
        <v>8465</v>
      </c>
      <c r="H1021" s="1">
        <f>SUMIF([1]Sheet1!$G:$G,A1021,[1]Sheet1!$O:$O)</f>
        <v>1046.6099999999999</v>
      </c>
      <c r="I1021" s="21">
        <f t="shared" si="15"/>
        <v>0</v>
      </c>
    </row>
    <row r="1022" spans="1:9" x14ac:dyDescent="0.25">
      <c r="A1022" s="18" t="s">
        <v>4206</v>
      </c>
      <c r="B1022" s="4" t="s">
        <v>2561</v>
      </c>
      <c r="C1022" s="4" t="s">
        <v>1157</v>
      </c>
      <c r="D1022" s="4" t="s">
        <v>3290</v>
      </c>
      <c r="E1022" s="9">
        <v>67.8</v>
      </c>
      <c r="F1022" s="9">
        <v>135.6</v>
      </c>
      <c r="G1022" s="1" t="s">
        <v>4207</v>
      </c>
      <c r="H1022" s="1">
        <f>SUMIF([1]Sheet1!$G:$G,A1022,[1]Sheet1!$O:$O)</f>
        <v>135.6</v>
      </c>
      <c r="I1022" s="21">
        <f t="shared" si="15"/>
        <v>0</v>
      </c>
    </row>
    <row r="1023" spans="1:9" x14ac:dyDescent="0.25">
      <c r="A1023" s="18" t="s">
        <v>4210</v>
      </c>
      <c r="B1023" s="4" t="s">
        <v>2562</v>
      </c>
      <c r="C1023" s="4" t="s">
        <v>1158</v>
      </c>
      <c r="D1023" s="4" t="s">
        <v>3290</v>
      </c>
      <c r="E1023" s="9">
        <v>127.11666666666667</v>
      </c>
      <c r="F1023" s="9">
        <v>381.35</v>
      </c>
      <c r="G1023" s="1" t="s">
        <v>4211</v>
      </c>
      <c r="H1023" s="1">
        <f>SUMIF([1]Sheet1!$G:$G,A1023,[1]Sheet1!$O:$O)</f>
        <v>381.35</v>
      </c>
      <c r="I1023" s="21">
        <f t="shared" si="15"/>
        <v>0</v>
      </c>
    </row>
    <row r="1024" spans="1:9" x14ac:dyDescent="0.25">
      <c r="A1024" s="18" t="s">
        <v>4212</v>
      </c>
      <c r="B1024" s="4" t="s">
        <v>2563</v>
      </c>
      <c r="C1024" s="4" t="s">
        <v>1159</v>
      </c>
      <c r="D1024" s="4" t="s">
        <v>3290</v>
      </c>
      <c r="E1024" s="9">
        <v>273.67500000000001</v>
      </c>
      <c r="F1024" s="9">
        <v>8757.6</v>
      </c>
      <c r="G1024" s="1" t="s">
        <v>4213</v>
      </c>
      <c r="H1024" s="1">
        <f>SUMIF([1]Sheet1!$G:$G,A1024,[1]Sheet1!$O:$O)</f>
        <v>8757.6</v>
      </c>
      <c r="I1024" s="21">
        <f t="shared" si="15"/>
        <v>0</v>
      </c>
    </row>
    <row r="1025" spans="1:9" x14ac:dyDescent="0.25">
      <c r="A1025" s="18" t="s">
        <v>10756</v>
      </c>
      <c r="B1025" s="4" t="s">
        <v>2564</v>
      </c>
      <c r="C1025" s="4" t="s">
        <v>1160</v>
      </c>
      <c r="D1025" s="4" t="s">
        <v>3290</v>
      </c>
      <c r="E1025" s="9">
        <v>6.7799999999999999E-2</v>
      </c>
      <c r="F1025" s="9">
        <v>33.9</v>
      </c>
      <c r="G1025" s="1" t="s">
        <v>10757</v>
      </c>
      <c r="H1025" s="1">
        <f>SUMIF([1]Sheet1!$G:$G,A1025,[1]Sheet1!$O:$O)</f>
        <v>33.9</v>
      </c>
      <c r="I1025" s="21">
        <f t="shared" si="15"/>
        <v>0</v>
      </c>
    </row>
    <row r="1026" spans="1:9" x14ac:dyDescent="0.25">
      <c r="A1026" s="18" t="s">
        <v>10770</v>
      </c>
      <c r="B1026" s="4" t="s">
        <v>2565</v>
      </c>
      <c r="C1026" s="4" t="s">
        <v>1161</v>
      </c>
      <c r="D1026" s="4" t="s">
        <v>3290</v>
      </c>
      <c r="E1026" s="9">
        <v>8.4733333333333341E-2</v>
      </c>
      <c r="F1026" s="9">
        <v>25.42</v>
      </c>
      <c r="G1026" s="1" t="s">
        <v>10771</v>
      </c>
      <c r="H1026" s="1">
        <f>SUMIF([1]Sheet1!$G:$G,A1026,[1]Sheet1!$O:$O)</f>
        <v>25.41</v>
      </c>
      <c r="I1026" s="21">
        <f t="shared" si="15"/>
        <v>1.0000000000001563E-2</v>
      </c>
    </row>
    <row r="1027" spans="1:9" x14ac:dyDescent="0.25">
      <c r="A1027" s="18" t="s">
        <v>9524</v>
      </c>
      <c r="B1027" s="4" t="s">
        <v>2566</v>
      </c>
      <c r="C1027" s="4" t="s">
        <v>1162</v>
      </c>
      <c r="D1027" s="4" t="s">
        <v>3290</v>
      </c>
      <c r="E1027" s="9">
        <v>6.7799999999999999E-2</v>
      </c>
      <c r="F1027" s="9">
        <v>33.9</v>
      </c>
      <c r="G1027" s="1" t="s">
        <v>9525</v>
      </c>
      <c r="H1027" s="1">
        <f>SUMIF([1]Sheet1!$G:$G,A1027,[1]Sheet1!$O:$O)</f>
        <v>33.9</v>
      </c>
      <c r="I1027" s="21">
        <f t="shared" ref="I1027:I1090" si="16">F1027-H1027</f>
        <v>0</v>
      </c>
    </row>
    <row r="1028" spans="1:9" x14ac:dyDescent="0.25">
      <c r="A1028" s="18" t="s">
        <v>9537</v>
      </c>
      <c r="B1028" s="4" t="s">
        <v>2567</v>
      </c>
      <c r="C1028" s="4" t="s">
        <v>1163</v>
      </c>
      <c r="D1028" s="4" t="s">
        <v>3290</v>
      </c>
      <c r="E1028" s="9">
        <v>7.6280000000000001E-2</v>
      </c>
      <c r="F1028" s="9">
        <v>38.14</v>
      </c>
      <c r="G1028" s="1" t="s">
        <v>9538</v>
      </c>
      <c r="H1028" s="1">
        <f>SUMIF([1]Sheet1!$G:$G,A1028,[1]Sheet1!$O:$O)</f>
        <v>38.15</v>
      </c>
      <c r="I1028" s="21">
        <f t="shared" si="16"/>
        <v>-9.9999999999980105E-3</v>
      </c>
    </row>
    <row r="1029" spans="1:9" x14ac:dyDescent="0.25">
      <c r="A1029" s="18" t="s">
        <v>11622</v>
      </c>
      <c r="B1029" s="4" t="s">
        <v>2568</v>
      </c>
      <c r="C1029" s="4" t="s">
        <v>1164</v>
      </c>
      <c r="D1029" s="4" t="s">
        <v>3290</v>
      </c>
      <c r="E1029" s="9">
        <v>2.2066666666666668E-2</v>
      </c>
      <c r="F1029" s="9">
        <v>3.31</v>
      </c>
      <c r="G1029" s="1" t="s">
        <v>11623</v>
      </c>
      <c r="H1029" s="1">
        <f>SUMIF([1]Sheet1!$G:$G,A1029,[1]Sheet1!$O:$O)</f>
        <v>3.32</v>
      </c>
      <c r="I1029" s="21">
        <f t="shared" si="16"/>
        <v>-9.9999999999997868E-3</v>
      </c>
    </row>
    <row r="1030" spans="1:9" x14ac:dyDescent="0.25">
      <c r="A1030" s="18" t="s">
        <v>11624</v>
      </c>
      <c r="B1030" s="4" t="s">
        <v>2569</v>
      </c>
      <c r="C1030" s="4" t="s">
        <v>1165</v>
      </c>
      <c r="D1030" s="4" t="s">
        <v>3290</v>
      </c>
      <c r="E1030" s="9">
        <v>3.814E-2</v>
      </c>
      <c r="F1030" s="9">
        <v>19.07</v>
      </c>
      <c r="G1030" s="1" t="s">
        <v>11625</v>
      </c>
      <c r="H1030" s="1">
        <f>SUMIF([1]Sheet1!$G:$G,A1030,[1]Sheet1!$O:$O)</f>
        <v>19.05</v>
      </c>
      <c r="I1030" s="21">
        <f t="shared" si="16"/>
        <v>1.9999999999999574E-2</v>
      </c>
    </row>
    <row r="1031" spans="1:9" x14ac:dyDescent="0.25">
      <c r="A1031" s="18" t="s">
        <v>11631</v>
      </c>
      <c r="B1031" s="4" t="s">
        <v>2570</v>
      </c>
      <c r="C1031" s="4" t="s">
        <v>1166</v>
      </c>
      <c r="D1031" s="4" t="s">
        <v>3290</v>
      </c>
      <c r="E1031" s="9">
        <v>4.8500000000000001E-2</v>
      </c>
      <c r="F1031" s="9">
        <v>0.97</v>
      </c>
      <c r="G1031" s="1" t="s">
        <v>11632</v>
      </c>
      <c r="H1031" s="1">
        <f>SUMIF([1]Sheet1!$G:$G,A1031,[1]Sheet1!$O:$O)</f>
        <v>0.97</v>
      </c>
      <c r="I1031" s="21">
        <f t="shared" si="16"/>
        <v>0</v>
      </c>
    </row>
    <row r="1032" spans="1:9" x14ac:dyDescent="0.25">
      <c r="A1032" s="18" t="s">
        <v>11633</v>
      </c>
      <c r="B1032" s="4" t="s">
        <v>2571</v>
      </c>
      <c r="C1032" s="4" t="s">
        <v>1167</v>
      </c>
      <c r="D1032" s="4" t="s">
        <v>3290</v>
      </c>
      <c r="E1032" s="9">
        <v>6.4041546147778072E-2</v>
      </c>
      <c r="F1032" s="9">
        <v>243.55</v>
      </c>
      <c r="G1032" s="1" t="s">
        <v>11634</v>
      </c>
      <c r="H1032" s="1">
        <f>SUMIF([1]Sheet1!$G:$G,A1032,[1]Sheet1!$O:$O)</f>
        <v>243.39</v>
      </c>
      <c r="I1032" s="21">
        <f t="shared" si="16"/>
        <v>0.16000000000002501</v>
      </c>
    </row>
    <row r="1033" spans="1:9" x14ac:dyDescent="0.25">
      <c r="A1033" s="18" t="s">
        <v>11533</v>
      </c>
      <c r="B1033" s="4" t="s">
        <v>2572</v>
      </c>
      <c r="C1033" s="4" t="s">
        <v>1168</v>
      </c>
      <c r="D1033" s="4" t="s">
        <v>3290</v>
      </c>
      <c r="E1033" s="9">
        <v>1.4166379310344828</v>
      </c>
      <c r="F1033" s="9">
        <v>328.66</v>
      </c>
      <c r="G1033" s="1" t="s">
        <v>11534</v>
      </c>
      <c r="H1033" s="1">
        <f>SUMIF([1]Sheet1!$G:$G,A1033,[1]Sheet1!$O:$O)</f>
        <v>328.65</v>
      </c>
      <c r="I1033" s="21">
        <f t="shared" si="16"/>
        <v>1.0000000000047748E-2</v>
      </c>
    </row>
    <row r="1034" spans="1:9" x14ac:dyDescent="0.25">
      <c r="A1034" s="18" t="s">
        <v>11570</v>
      </c>
      <c r="B1034" s="4" t="s">
        <v>2573</v>
      </c>
      <c r="C1034" s="4" t="s">
        <v>1169</v>
      </c>
      <c r="D1034" s="4" t="s">
        <v>3290</v>
      </c>
      <c r="E1034" s="9">
        <v>1.3531806930693069</v>
      </c>
      <c r="F1034" s="9">
        <v>1093.3699999999999</v>
      </c>
      <c r="G1034" s="1" t="s">
        <v>11571</v>
      </c>
      <c r="H1034" s="1">
        <f>SUMIF([1]Sheet1!$G:$G,A1034,[1]Sheet1!$O:$O)</f>
        <v>1093.3900000000001</v>
      </c>
      <c r="I1034" s="21">
        <f t="shared" si="16"/>
        <v>-2.0000000000209184E-2</v>
      </c>
    </row>
    <row r="1035" spans="1:9" x14ac:dyDescent="0.25">
      <c r="A1035" s="18" t="s">
        <v>11559</v>
      </c>
      <c r="B1035" s="4" t="s">
        <v>2574</v>
      </c>
      <c r="C1035" s="4" t="s">
        <v>1170</v>
      </c>
      <c r="D1035" s="4" t="s">
        <v>3290</v>
      </c>
      <c r="E1035" s="9">
        <v>1.9227659574468086</v>
      </c>
      <c r="F1035" s="9">
        <v>180.74</v>
      </c>
      <c r="G1035" s="1" t="s">
        <v>11560</v>
      </c>
      <c r="H1035" s="1">
        <f>SUMIF([1]Sheet1!$G:$G,A1035,[1]Sheet1!$O:$O)</f>
        <v>142.29</v>
      </c>
      <c r="I1035" s="21">
        <f t="shared" si="16"/>
        <v>38.450000000000017</v>
      </c>
    </row>
    <row r="1036" spans="1:9" x14ac:dyDescent="0.25">
      <c r="A1036" s="18" t="s">
        <v>9552</v>
      </c>
      <c r="B1036" s="4" t="s">
        <v>2575</v>
      </c>
      <c r="C1036" s="4" t="s">
        <v>1171</v>
      </c>
      <c r="D1036" s="4" t="s">
        <v>3290</v>
      </c>
      <c r="E1036" s="9">
        <v>6.7500000000000008E-3</v>
      </c>
      <c r="F1036" s="9">
        <v>1.35</v>
      </c>
      <c r="G1036" s="1" t="s">
        <v>9553</v>
      </c>
      <c r="H1036" s="1">
        <f>SUMIF([1]Sheet1!$G:$G,A1036,[1]Sheet1!$O:$O)</f>
        <v>1.36</v>
      </c>
      <c r="I1036" s="21">
        <f t="shared" si="16"/>
        <v>-1.0000000000000009E-2</v>
      </c>
    </row>
    <row r="1037" spans="1:9" x14ac:dyDescent="0.25">
      <c r="A1037" s="18" t="s">
        <v>10785</v>
      </c>
      <c r="B1037" s="4" t="s">
        <v>2576</v>
      </c>
      <c r="C1037" s="4" t="s">
        <v>1172</v>
      </c>
      <c r="D1037" s="4" t="s">
        <v>3290</v>
      </c>
      <c r="E1037" s="9">
        <v>6.45E-3</v>
      </c>
      <c r="F1037" s="9">
        <v>1.29</v>
      </c>
      <c r="G1037" s="1" t="s">
        <v>10786</v>
      </c>
      <c r="H1037" s="1">
        <f>SUMIF([1]Sheet1!$G:$G,A1037,[1]Sheet1!$O:$O)</f>
        <v>1.3</v>
      </c>
      <c r="I1037" s="21">
        <f t="shared" si="16"/>
        <v>-1.0000000000000009E-2</v>
      </c>
    </row>
    <row r="1038" spans="1:9" x14ac:dyDescent="0.25">
      <c r="A1038" s="18" t="s">
        <v>10766</v>
      </c>
      <c r="B1038" s="4" t="s">
        <v>2577</v>
      </c>
      <c r="C1038" s="4" t="s">
        <v>1173</v>
      </c>
      <c r="D1038" s="4" t="s">
        <v>3290</v>
      </c>
      <c r="E1038" s="9">
        <v>2.5285981308411216</v>
      </c>
      <c r="F1038" s="9">
        <v>1352.8</v>
      </c>
      <c r="G1038" s="1" t="s">
        <v>10767</v>
      </c>
      <c r="H1038" s="1">
        <f>SUMIF([1]Sheet1!$G:$G,A1038,[1]Sheet1!$O:$O)</f>
        <v>1352.8</v>
      </c>
      <c r="I1038" s="21">
        <f t="shared" si="16"/>
        <v>0</v>
      </c>
    </row>
    <row r="1039" spans="1:9" x14ac:dyDescent="0.25">
      <c r="A1039" s="18" t="s">
        <v>8276</v>
      </c>
      <c r="B1039" s="4" t="s">
        <v>2578</v>
      </c>
      <c r="C1039" s="4" t="s">
        <v>1174</v>
      </c>
      <c r="D1039" s="4" t="s">
        <v>3290</v>
      </c>
      <c r="E1039" s="9">
        <v>85.593199999999996</v>
      </c>
      <c r="F1039" s="9">
        <v>4279.66</v>
      </c>
      <c r="G1039" s="1" t="s">
        <v>8277</v>
      </c>
      <c r="H1039" s="1">
        <f>SUMIF([1]Sheet1!$G:$G,A1039,[1]Sheet1!$O:$O)</f>
        <v>4279.66</v>
      </c>
      <c r="I1039" s="21">
        <f t="shared" si="16"/>
        <v>0</v>
      </c>
    </row>
    <row r="1040" spans="1:9" x14ac:dyDescent="0.25">
      <c r="A1040" s="18" t="s">
        <v>6780</v>
      </c>
      <c r="B1040" s="4" t="s">
        <v>2579</v>
      </c>
      <c r="C1040" s="4" t="s">
        <v>1175</v>
      </c>
      <c r="D1040" s="4" t="s">
        <v>3289</v>
      </c>
      <c r="E1040" s="9">
        <v>9.7128688524590174</v>
      </c>
      <c r="F1040" s="9">
        <v>1184.97</v>
      </c>
      <c r="G1040" s="1" t="s">
        <v>6781</v>
      </c>
      <c r="H1040" s="1">
        <f>SUMIF([1]Sheet1!$G:$G,A1040,[1]Sheet1!$O:$O)</f>
        <v>1184.97</v>
      </c>
      <c r="I1040" s="21">
        <f t="shared" si="16"/>
        <v>0</v>
      </c>
    </row>
    <row r="1041" spans="1:9" x14ac:dyDescent="0.25">
      <c r="A1041" s="18" t="s">
        <v>6753</v>
      </c>
      <c r="B1041" s="4" t="s">
        <v>2580</v>
      </c>
      <c r="C1041" s="4" t="s">
        <v>1176</v>
      </c>
      <c r="D1041" s="4" t="s">
        <v>3289</v>
      </c>
      <c r="E1041" s="9">
        <v>0.25425000000000003</v>
      </c>
      <c r="F1041" s="9">
        <v>50.850000000000009</v>
      </c>
      <c r="G1041" s="1" t="s">
        <v>6754</v>
      </c>
      <c r="H1041" s="1">
        <f>SUMIF([1]Sheet1!$G:$G,A1041,[1]Sheet1!$O:$O)</f>
        <v>25.43</v>
      </c>
      <c r="I1041" s="21">
        <f t="shared" si="16"/>
        <v>25.420000000000009</v>
      </c>
    </row>
    <row r="1042" spans="1:9" x14ac:dyDescent="0.25">
      <c r="A1042" s="18" t="s">
        <v>11345</v>
      </c>
      <c r="B1042" s="4" t="s">
        <v>2581</v>
      </c>
      <c r="C1042" s="4" t="s">
        <v>1177</v>
      </c>
      <c r="D1042" s="4" t="s">
        <v>3290</v>
      </c>
      <c r="E1042" s="9">
        <v>186.44083333333333</v>
      </c>
      <c r="F1042" s="9">
        <v>2237.29</v>
      </c>
      <c r="G1042" s="1" t="s">
        <v>11346</v>
      </c>
      <c r="H1042" s="1">
        <f>SUMIF([1]Sheet1!$G:$G,A1042,[1]Sheet1!$O:$O)</f>
        <v>2237.29</v>
      </c>
      <c r="I1042" s="21">
        <f t="shared" si="16"/>
        <v>0</v>
      </c>
    </row>
    <row r="1043" spans="1:9" x14ac:dyDescent="0.25">
      <c r="A1043" s="18" t="s">
        <v>5974</v>
      </c>
      <c r="B1043" s="4" t="s">
        <v>2582</v>
      </c>
      <c r="C1043" s="4" t="s">
        <v>1178</v>
      </c>
      <c r="D1043" s="4" t="s">
        <v>3290</v>
      </c>
      <c r="E1043" s="9">
        <v>3</v>
      </c>
      <c r="F1043" s="9">
        <v>180</v>
      </c>
      <c r="G1043" s="1" t="s">
        <v>5975</v>
      </c>
      <c r="H1043" s="1">
        <f>SUMIF([1]Sheet1!$G:$G,A1043,[1]Sheet1!$O:$O)</f>
        <v>180</v>
      </c>
      <c r="I1043" s="21">
        <f t="shared" si="16"/>
        <v>0</v>
      </c>
    </row>
    <row r="1044" spans="1:9" x14ac:dyDescent="0.25">
      <c r="A1044" s="18" t="s">
        <v>10651</v>
      </c>
      <c r="B1044" s="4" t="s">
        <v>2583</v>
      </c>
      <c r="C1044" s="4" t="s">
        <v>1179</v>
      </c>
      <c r="D1044" s="4" t="s">
        <v>3290</v>
      </c>
      <c r="E1044" s="9">
        <v>8</v>
      </c>
      <c r="F1044" s="9">
        <v>192</v>
      </c>
      <c r="G1044" s="1" t="s">
        <v>10652</v>
      </c>
      <c r="H1044" s="1">
        <f>SUMIF([1]Sheet1!$G:$G,A1044,[1]Sheet1!$O:$O)</f>
        <v>192</v>
      </c>
      <c r="I1044" s="21">
        <f t="shared" si="16"/>
        <v>0</v>
      </c>
    </row>
    <row r="1045" spans="1:9" x14ac:dyDescent="0.25">
      <c r="A1045" s="18" t="s">
        <v>10680</v>
      </c>
      <c r="B1045" s="4" t="s">
        <v>2584</v>
      </c>
      <c r="C1045" s="4" t="s">
        <v>1180</v>
      </c>
      <c r="D1045" s="4" t="s">
        <v>3290</v>
      </c>
      <c r="E1045" s="9">
        <v>3</v>
      </c>
      <c r="F1045" s="9">
        <v>1281</v>
      </c>
      <c r="G1045" s="1" t="s">
        <v>10681</v>
      </c>
      <c r="H1045" s="1">
        <f>SUMIF([1]Sheet1!$G:$G,A1045,[1]Sheet1!$O:$O)</f>
        <v>1281</v>
      </c>
      <c r="I1045" s="21">
        <f t="shared" si="16"/>
        <v>0</v>
      </c>
    </row>
    <row r="1046" spans="1:9" x14ac:dyDescent="0.25">
      <c r="A1046" s="18" t="s">
        <v>3922</v>
      </c>
      <c r="B1046" s="4" t="s">
        <v>2585</v>
      </c>
      <c r="C1046" s="4" t="s">
        <v>1181</v>
      </c>
      <c r="D1046" s="4" t="s">
        <v>3290</v>
      </c>
      <c r="E1046" s="9">
        <v>233.19499999999999</v>
      </c>
      <c r="F1046" s="9">
        <v>466.39</v>
      </c>
      <c r="G1046" s="1" t="s">
        <v>3923</v>
      </c>
      <c r="H1046" s="1">
        <f>SUMIF([1]Sheet1!$G:$G,A1046,[1]Sheet1!$O:$O)</f>
        <v>466.39</v>
      </c>
      <c r="I1046" s="21">
        <f t="shared" si="16"/>
        <v>0</v>
      </c>
    </row>
    <row r="1047" spans="1:9" x14ac:dyDescent="0.25">
      <c r="A1047" s="18" t="s">
        <v>3924</v>
      </c>
      <c r="B1047" s="4" t="s">
        <v>2586</v>
      </c>
      <c r="C1047" s="4" t="s">
        <v>1182</v>
      </c>
      <c r="D1047" s="4" t="s">
        <v>3290</v>
      </c>
      <c r="E1047" s="9">
        <v>254.4</v>
      </c>
      <c r="F1047" s="9">
        <v>254.4</v>
      </c>
      <c r="G1047" s="1" t="s">
        <v>3925</v>
      </c>
      <c r="H1047" s="1">
        <f>SUMIF([1]Sheet1!$G:$G,A1047,[1]Sheet1!$O:$O)</f>
        <v>254.4</v>
      </c>
      <c r="I1047" s="21">
        <f t="shared" si="16"/>
        <v>0</v>
      </c>
    </row>
    <row r="1048" spans="1:9" x14ac:dyDescent="0.25">
      <c r="A1048" s="18" t="s">
        <v>3926</v>
      </c>
      <c r="B1048" s="4" t="s">
        <v>2587</v>
      </c>
      <c r="C1048" s="4" t="s">
        <v>1183</v>
      </c>
      <c r="D1048" s="4" t="s">
        <v>3290</v>
      </c>
      <c r="E1048" s="9">
        <v>275.58999999999997</v>
      </c>
      <c r="F1048" s="9">
        <v>275.58999999999997</v>
      </c>
      <c r="G1048" s="1" t="s">
        <v>3927</v>
      </c>
      <c r="H1048" s="1">
        <f>SUMIF([1]Sheet1!$G:$G,A1048,[1]Sheet1!$O:$O)</f>
        <v>275.58999999999997</v>
      </c>
      <c r="I1048" s="21">
        <f t="shared" si="16"/>
        <v>0</v>
      </c>
    </row>
    <row r="1049" spans="1:9" x14ac:dyDescent="0.25">
      <c r="A1049" s="18" t="s">
        <v>3776</v>
      </c>
      <c r="B1049" s="4" t="s">
        <v>2588</v>
      </c>
      <c r="C1049" s="4" t="s">
        <v>1184</v>
      </c>
      <c r="D1049" s="4" t="s">
        <v>3290</v>
      </c>
      <c r="E1049" s="9">
        <v>20.336666666666666</v>
      </c>
      <c r="F1049" s="9">
        <v>61.01</v>
      </c>
      <c r="G1049" s="1" t="s">
        <v>3779</v>
      </c>
      <c r="H1049" s="1">
        <f>SUMIF([1]Sheet1!$G:$G,A1049,[1]Sheet1!$O:$O)</f>
        <v>61.01</v>
      </c>
      <c r="I1049" s="21">
        <f t="shared" si="16"/>
        <v>0</v>
      </c>
    </row>
    <row r="1050" spans="1:9" x14ac:dyDescent="0.25">
      <c r="A1050" s="18" t="s">
        <v>3446</v>
      </c>
      <c r="B1050" s="4" t="s">
        <v>2589</v>
      </c>
      <c r="C1050" s="4" t="s">
        <v>1185</v>
      </c>
      <c r="D1050" s="4" t="s">
        <v>3290</v>
      </c>
      <c r="E1050" s="9">
        <v>338.98250000000002</v>
      </c>
      <c r="F1050" s="9">
        <v>2711.86</v>
      </c>
      <c r="G1050" s="1" t="s">
        <v>3447</v>
      </c>
      <c r="H1050" s="1">
        <f>SUMIF([1]Sheet1!$G:$G,A1050,[1]Sheet1!$O:$O)</f>
        <v>2711.86</v>
      </c>
      <c r="I1050" s="21">
        <f t="shared" si="16"/>
        <v>0</v>
      </c>
    </row>
    <row r="1051" spans="1:9" x14ac:dyDescent="0.25">
      <c r="A1051" s="18" t="s">
        <v>10095</v>
      </c>
      <c r="B1051" s="4" t="s">
        <v>3187</v>
      </c>
      <c r="C1051" s="4" t="s">
        <v>1186</v>
      </c>
      <c r="D1051" s="4" t="s">
        <v>3290</v>
      </c>
      <c r="E1051" s="9">
        <v>3313.56</v>
      </c>
      <c r="F1051" s="9">
        <v>13254.24</v>
      </c>
      <c r="G1051" s="1" t="s">
        <v>10096</v>
      </c>
      <c r="H1051" s="1">
        <f>SUMIF([1]Sheet1!$G:$G,A1051,[1]Sheet1!$O:$O)</f>
        <v>13254.24</v>
      </c>
      <c r="I1051" s="21">
        <f t="shared" si="16"/>
        <v>0</v>
      </c>
    </row>
    <row r="1052" spans="1:9" x14ac:dyDescent="0.25">
      <c r="A1052" s="18" t="s">
        <v>6712</v>
      </c>
      <c r="B1052" s="4" t="s">
        <v>3188</v>
      </c>
      <c r="C1052" s="4" t="s">
        <v>1187</v>
      </c>
      <c r="D1052" s="4" t="s">
        <v>3290</v>
      </c>
      <c r="E1052" s="9">
        <v>2180.2560000000003</v>
      </c>
      <c r="F1052" s="9">
        <v>10901.280000000002</v>
      </c>
      <c r="G1052" s="1" t="s">
        <v>6713</v>
      </c>
      <c r="H1052" s="1">
        <f>SUMIF([1]Sheet1!$G:$G,A1052,[1]Sheet1!$O:$O)</f>
        <v>10901.28</v>
      </c>
      <c r="I1052" s="21">
        <f t="shared" si="16"/>
        <v>0</v>
      </c>
    </row>
    <row r="1053" spans="1:9" x14ac:dyDescent="0.25">
      <c r="A1053" s="18" t="s">
        <v>6714</v>
      </c>
      <c r="B1053" s="4" t="s">
        <v>3189</v>
      </c>
      <c r="C1053" s="4" t="s">
        <v>1188</v>
      </c>
      <c r="D1053" s="4" t="s">
        <v>3290</v>
      </c>
      <c r="E1053" s="9">
        <v>2331.9</v>
      </c>
      <c r="F1053" s="9">
        <v>2331.9</v>
      </c>
      <c r="G1053" s="1" t="s">
        <v>6715</v>
      </c>
      <c r="H1053" s="1">
        <f>SUMIF([1]Sheet1!$G:$G,A1053,[1]Sheet1!$O:$O)</f>
        <v>2331.9</v>
      </c>
      <c r="I1053" s="21">
        <f t="shared" si="16"/>
        <v>0</v>
      </c>
    </row>
    <row r="1054" spans="1:9" x14ac:dyDescent="0.25">
      <c r="A1054" s="18" t="s">
        <v>10082</v>
      </c>
      <c r="B1054" s="4" t="s">
        <v>3190</v>
      </c>
      <c r="C1054" s="4" t="s">
        <v>1189</v>
      </c>
      <c r="D1054" s="4" t="s">
        <v>3290</v>
      </c>
      <c r="E1054" s="9">
        <v>2610.8150000000001</v>
      </c>
      <c r="F1054" s="9">
        <v>10443.26</v>
      </c>
      <c r="G1054" s="1" t="s">
        <v>10083</v>
      </c>
      <c r="H1054" s="1">
        <f>SUMIF([1]Sheet1!$G:$G,A1054,[1]Sheet1!$O:$O)</f>
        <v>10443.26</v>
      </c>
      <c r="I1054" s="21">
        <f t="shared" si="16"/>
        <v>0</v>
      </c>
    </row>
    <row r="1055" spans="1:9" x14ac:dyDescent="0.25">
      <c r="A1055" s="18" t="s">
        <v>10224</v>
      </c>
      <c r="B1055" s="4" t="s">
        <v>3191</v>
      </c>
      <c r="C1055" s="4" t="s">
        <v>1190</v>
      </c>
      <c r="D1055" s="4" t="s">
        <v>3290</v>
      </c>
      <c r="E1055" s="9">
        <v>738.54250000000002</v>
      </c>
      <c r="F1055" s="9">
        <v>11816.68</v>
      </c>
      <c r="G1055" s="1" t="s">
        <v>10225</v>
      </c>
      <c r="H1055" s="1">
        <f>SUMIF([1]Sheet1!$G:$G,A1055,[1]Sheet1!$O:$O)</f>
        <v>11816.68</v>
      </c>
      <c r="I1055" s="21">
        <f t="shared" si="16"/>
        <v>0</v>
      </c>
    </row>
    <row r="1056" spans="1:9" x14ac:dyDescent="0.25">
      <c r="A1056" s="18" t="s">
        <v>10040</v>
      </c>
      <c r="B1056" s="4" t="s">
        <v>3192</v>
      </c>
      <c r="C1056" s="4" t="s">
        <v>1191</v>
      </c>
      <c r="D1056" s="4" t="s">
        <v>3290</v>
      </c>
      <c r="E1056" s="9">
        <v>1171.375</v>
      </c>
      <c r="F1056" s="9">
        <v>7028.25</v>
      </c>
      <c r="G1056" s="1" t="s">
        <v>10041</v>
      </c>
      <c r="H1056" s="1">
        <f>SUMIF([1]Sheet1!$G:$G,A1056,[1]Sheet1!$O:$O)</f>
        <v>7028.25</v>
      </c>
      <c r="I1056" s="21">
        <f t="shared" si="16"/>
        <v>0</v>
      </c>
    </row>
    <row r="1057" spans="1:9" x14ac:dyDescent="0.25">
      <c r="A1057" s="18" t="s">
        <v>8316</v>
      </c>
      <c r="B1057" s="4" t="s">
        <v>3193</v>
      </c>
      <c r="C1057" s="4" t="s">
        <v>1192</v>
      </c>
      <c r="D1057" s="4" t="s">
        <v>3290</v>
      </c>
      <c r="E1057" s="9">
        <v>1525.42</v>
      </c>
      <c r="F1057" s="9">
        <v>1525.42</v>
      </c>
      <c r="G1057" s="1" t="s">
        <v>8317</v>
      </c>
      <c r="H1057" s="1">
        <f>SUMIF([1]Sheet1!$G:$G,A1057,[1]Sheet1!$O:$O)</f>
        <v>0</v>
      </c>
      <c r="I1057" s="21">
        <f t="shared" si="16"/>
        <v>1525.42</v>
      </c>
    </row>
    <row r="1058" spans="1:9" x14ac:dyDescent="0.25">
      <c r="A1058" s="18" t="s">
        <v>8128</v>
      </c>
      <c r="B1058" s="4" t="s">
        <v>2590</v>
      </c>
      <c r="C1058" s="4" t="s">
        <v>1193</v>
      </c>
      <c r="D1058" s="4" t="s">
        <v>3290</v>
      </c>
      <c r="E1058" s="9">
        <v>6180</v>
      </c>
      <c r="F1058" s="9">
        <v>24720</v>
      </c>
      <c r="G1058" s="1" t="s">
        <v>8129</v>
      </c>
      <c r="H1058" s="1">
        <f>SUMIF([1]Sheet1!$G:$G,A1058,[1]Sheet1!$O:$O)</f>
        <v>24720</v>
      </c>
      <c r="I1058" s="21">
        <f t="shared" si="16"/>
        <v>0</v>
      </c>
    </row>
    <row r="1059" spans="1:9" x14ac:dyDescent="0.25">
      <c r="A1059" s="18" t="s">
        <v>8109</v>
      </c>
      <c r="B1059" s="4" t="s">
        <v>2591</v>
      </c>
      <c r="C1059" s="4" t="s">
        <v>1194</v>
      </c>
      <c r="D1059" s="4" t="s">
        <v>3290</v>
      </c>
      <c r="E1059" s="9">
        <v>6181.5</v>
      </c>
      <c r="F1059" s="9">
        <v>49452</v>
      </c>
      <c r="G1059" s="1" t="s">
        <v>8110</v>
      </c>
      <c r="H1059" s="1">
        <f>SUMIF([1]Sheet1!$G:$G,A1059,[1]Sheet1!$O:$O)</f>
        <v>49452</v>
      </c>
      <c r="I1059" s="21">
        <f t="shared" si="16"/>
        <v>0</v>
      </c>
    </row>
    <row r="1060" spans="1:9" x14ac:dyDescent="0.25">
      <c r="A1060" s="18" t="s">
        <v>8122</v>
      </c>
      <c r="B1060" s="4" t="s">
        <v>2592</v>
      </c>
      <c r="C1060" s="4" t="s">
        <v>1195</v>
      </c>
      <c r="D1060" s="4" t="s">
        <v>3290</v>
      </c>
      <c r="E1060" s="9">
        <v>5085</v>
      </c>
      <c r="F1060" s="9">
        <v>20340</v>
      </c>
      <c r="G1060" s="1" t="s">
        <v>8123</v>
      </c>
      <c r="H1060" s="1">
        <f>SUMIF([1]Sheet1!$G:$G,A1060,[1]Sheet1!$O:$O)</f>
        <v>20340</v>
      </c>
      <c r="I1060" s="21">
        <f t="shared" si="16"/>
        <v>0</v>
      </c>
    </row>
    <row r="1061" spans="1:9" x14ac:dyDescent="0.25">
      <c r="A1061" s="18" t="s">
        <v>8132</v>
      </c>
      <c r="B1061" s="4" t="s">
        <v>2593</v>
      </c>
      <c r="C1061" s="4" t="s">
        <v>1196</v>
      </c>
      <c r="D1061" s="4" t="s">
        <v>3290</v>
      </c>
      <c r="E1061" s="9">
        <v>6200</v>
      </c>
      <c r="F1061" s="9">
        <v>31000</v>
      </c>
      <c r="G1061" s="1" t="s">
        <v>8133</v>
      </c>
      <c r="H1061" s="1">
        <f>SUMIF([1]Sheet1!$G:$G,A1061,[1]Sheet1!$O:$O)</f>
        <v>31000</v>
      </c>
      <c r="I1061" s="21">
        <f t="shared" si="16"/>
        <v>0</v>
      </c>
    </row>
    <row r="1062" spans="1:9" x14ac:dyDescent="0.25">
      <c r="A1062" s="18" t="s">
        <v>7845</v>
      </c>
      <c r="B1062" s="4" t="s">
        <v>2594</v>
      </c>
      <c r="C1062" s="4" t="s">
        <v>1197</v>
      </c>
      <c r="D1062" s="4" t="s">
        <v>3290</v>
      </c>
      <c r="E1062" s="9">
        <v>14231</v>
      </c>
      <c r="F1062" s="9">
        <v>28462</v>
      </c>
      <c r="G1062" s="1" t="s">
        <v>7846</v>
      </c>
      <c r="H1062" s="1">
        <f>SUMIF([1]Sheet1!$G:$G,A1062,[1]Sheet1!$O:$O)</f>
        <v>28462</v>
      </c>
      <c r="I1062" s="21">
        <f t="shared" si="16"/>
        <v>0</v>
      </c>
    </row>
    <row r="1063" spans="1:9" x14ac:dyDescent="0.25">
      <c r="A1063" s="18" t="s">
        <v>8144</v>
      </c>
      <c r="B1063" s="4" t="s">
        <v>2595</v>
      </c>
      <c r="C1063" s="4" t="s">
        <v>1198</v>
      </c>
      <c r="D1063" s="4" t="s">
        <v>3290</v>
      </c>
      <c r="E1063" s="9">
        <v>4427</v>
      </c>
      <c r="F1063" s="9">
        <v>13281</v>
      </c>
      <c r="G1063" s="1" t="s">
        <v>8145</v>
      </c>
      <c r="H1063" s="1">
        <f>SUMIF([1]Sheet1!$G:$G,A1063,[1]Sheet1!$O:$O)</f>
        <v>13281</v>
      </c>
      <c r="I1063" s="21">
        <f t="shared" si="16"/>
        <v>0</v>
      </c>
    </row>
    <row r="1064" spans="1:9" x14ac:dyDescent="0.25">
      <c r="A1064" s="18" t="s">
        <v>7841</v>
      </c>
      <c r="B1064" s="4" t="s">
        <v>2596</v>
      </c>
      <c r="C1064" s="4" t="s">
        <v>1199</v>
      </c>
      <c r="D1064" s="4" t="s">
        <v>3290</v>
      </c>
      <c r="E1064" s="9">
        <v>15630</v>
      </c>
      <c r="F1064" s="9">
        <v>62520</v>
      </c>
      <c r="G1064" s="1" t="s">
        <v>7844</v>
      </c>
      <c r="H1064" s="1">
        <f>SUMIF([1]Sheet1!$G:$G,A1064,[1]Sheet1!$O:$O)</f>
        <v>62520</v>
      </c>
      <c r="I1064" s="21">
        <f t="shared" si="16"/>
        <v>0</v>
      </c>
    </row>
    <row r="1065" spans="1:9" x14ac:dyDescent="0.25">
      <c r="A1065" s="18" t="s">
        <v>7886</v>
      </c>
      <c r="B1065" s="4" t="s">
        <v>2597</v>
      </c>
      <c r="C1065" s="4" t="s">
        <v>1200</v>
      </c>
      <c r="D1065" s="4" t="s">
        <v>3290</v>
      </c>
      <c r="E1065" s="9">
        <v>22600</v>
      </c>
      <c r="F1065" s="9">
        <v>45200</v>
      </c>
      <c r="G1065" s="1" t="s">
        <v>7887</v>
      </c>
      <c r="H1065" s="1">
        <f>SUMIF([1]Sheet1!$G:$G,A1065,[1]Sheet1!$O:$O)</f>
        <v>45200</v>
      </c>
      <c r="I1065" s="21">
        <f t="shared" si="16"/>
        <v>0</v>
      </c>
    </row>
    <row r="1066" spans="1:9" x14ac:dyDescent="0.25">
      <c r="A1066" s="18" t="s">
        <v>7888</v>
      </c>
      <c r="B1066" s="4" t="s">
        <v>2598</v>
      </c>
      <c r="C1066" s="4" t="s">
        <v>1201</v>
      </c>
      <c r="D1066" s="4" t="s">
        <v>3290</v>
      </c>
      <c r="E1066" s="9">
        <v>20467</v>
      </c>
      <c r="F1066" s="9">
        <v>20467</v>
      </c>
      <c r="G1066" s="1" t="s">
        <v>7889</v>
      </c>
      <c r="H1066" s="1">
        <f>SUMIF([1]Sheet1!$G:$G,A1066,[1]Sheet1!$O:$O)</f>
        <v>20467</v>
      </c>
      <c r="I1066" s="21">
        <f t="shared" si="16"/>
        <v>0</v>
      </c>
    </row>
    <row r="1067" spans="1:9" x14ac:dyDescent="0.25">
      <c r="A1067" s="18" t="s">
        <v>4393</v>
      </c>
      <c r="B1067" s="4" t="s">
        <v>2599</v>
      </c>
      <c r="C1067" s="4" t="s">
        <v>1202</v>
      </c>
      <c r="D1067" s="4" t="s">
        <v>3290</v>
      </c>
      <c r="E1067" s="9">
        <v>23884.179999999997</v>
      </c>
      <c r="F1067" s="9">
        <v>71652.539999999994</v>
      </c>
      <c r="G1067" s="1" t="s">
        <v>4394</v>
      </c>
      <c r="H1067" s="1">
        <f>SUMIF([1]Sheet1!$G:$G,A1067,[1]Sheet1!$O:$O)</f>
        <v>71652.539999999994</v>
      </c>
      <c r="I1067" s="21">
        <f t="shared" si="16"/>
        <v>0</v>
      </c>
    </row>
    <row r="1068" spans="1:9" x14ac:dyDescent="0.25">
      <c r="A1068" s="18" t="s">
        <v>8136</v>
      </c>
      <c r="B1068" s="4" t="s">
        <v>2600</v>
      </c>
      <c r="C1068" s="4" t="s">
        <v>1203</v>
      </c>
      <c r="D1068" s="4" t="s">
        <v>3290</v>
      </c>
      <c r="E1068" s="9">
        <v>3845</v>
      </c>
      <c r="F1068" s="9">
        <v>3845</v>
      </c>
      <c r="G1068" s="1" t="s">
        <v>8137</v>
      </c>
      <c r="H1068" s="1">
        <f>SUMIF([1]Sheet1!$G:$G,A1068,[1]Sheet1!$O:$O)</f>
        <v>3845</v>
      </c>
      <c r="I1068" s="21">
        <f t="shared" si="16"/>
        <v>0</v>
      </c>
    </row>
    <row r="1069" spans="1:9" x14ac:dyDescent="0.25">
      <c r="A1069" s="18" t="s">
        <v>8006</v>
      </c>
      <c r="B1069" s="4" t="s">
        <v>2601</v>
      </c>
      <c r="C1069" s="4" t="s">
        <v>1204</v>
      </c>
      <c r="D1069" s="4" t="s">
        <v>3290</v>
      </c>
      <c r="E1069" s="9">
        <v>1300</v>
      </c>
      <c r="F1069" s="9">
        <v>5200</v>
      </c>
      <c r="G1069" s="1" t="s">
        <v>8007</v>
      </c>
      <c r="H1069" s="1">
        <f>SUMIF([1]Sheet1!$G:$G,A1069,[1]Sheet1!$O:$O)</f>
        <v>5200</v>
      </c>
      <c r="I1069" s="21">
        <f t="shared" si="16"/>
        <v>0</v>
      </c>
    </row>
    <row r="1070" spans="1:9" x14ac:dyDescent="0.25">
      <c r="A1070" s="18" t="s">
        <v>8107</v>
      </c>
      <c r="B1070" s="4" t="s">
        <v>2602</v>
      </c>
      <c r="C1070" s="4" t="s">
        <v>1205</v>
      </c>
      <c r="D1070" s="4" t="s">
        <v>3290</v>
      </c>
      <c r="E1070" s="9">
        <v>4632</v>
      </c>
      <c r="F1070" s="9">
        <v>9264</v>
      </c>
      <c r="G1070" s="1" t="s">
        <v>8108</v>
      </c>
      <c r="H1070" s="1">
        <f>SUMIF([1]Sheet1!$G:$G,A1070,[1]Sheet1!$O:$O)</f>
        <v>9264</v>
      </c>
      <c r="I1070" s="21">
        <f t="shared" si="16"/>
        <v>0</v>
      </c>
    </row>
    <row r="1071" spans="1:9" x14ac:dyDescent="0.25">
      <c r="A1071" s="18" t="s">
        <v>8124</v>
      </c>
      <c r="B1071" s="4" t="s">
        <v>2603</v>
      </c>
      <c r="C1071" s="4" t="s">
        <v>1206</v>
      </c>
      <c r="D1071" s="4" t="s">
        <v>3290</v>
      </c>
      <c r="E1071" s="9">
        <v>2795</v>
      </c>
      <c r="F1071" s="9">
        <v>5590</v>
      </c>
      <c r="G1071" s="1" t="s">
        <v>8125</v>
      </c>
      <c r="H1071" s="1">
        <f>SUMIF([1]Sheet1!$G:$G,A1071,[1]Sheet1!$O:$O)</f>
        <v>5590</v>
      </c>
      <c r="I1071" s="21">
        <f t="shared" si="16"/>
        <v>0</v>
      </c>
    </row>
    <row r="1072" spans="1:9" x14ac:dyDescent="0.25">
      <c r="A1072" s="18" t="s">
        <v>8024</v>
      </c>
      <c r="B1072" s="4" t="s">
        <v>2604</v>
      </c>
      <c r="C1072" s="4" t="s">
        <v>1207</v>
      </c>
      <c r="D1072" s="4" t="s">
        <v>3290</v>
      </c>
      <c r="E1072" s="9">
        <v>520.28379310344826</v>
      </c>
      <c r="F1072" s="9">
        <v>30176.46</v>
      </c>
      <c r="G1072" s="1" t="s">
        <v>8025</v>
      </c>
      <c r="H1072" s="1">
        <f>SUMIF([1]Sheet1!$G:$G,A1072,[1]Sheet1!$O:$O)</f>
        <v>30176.46</v>
      </c>
      <c r="I1072" s="21">
        <f t="shared" si="16"/>
        <v>0</v>
      </c>
    </row>
    <row r="1073" spans="1:9" x14ac:dyDescent="0.25">
      <c r="A1073" s="18" t="s">
        <v>8130</v>
      </c>
      <c r="B1073" s="4" t="s">
        <v>2605</v>
      </c>
      <c r="C1073" s="4" t="s">
        <v>1208</v>
      </c>
      <c r="D1073" s="4" t="s">
        <v>3290</v>
      </c>
      <c r="E1073" s="9">
        <v>2795</v>
      </c>
      <c r="F1073" s="9">
        <v>2795</v>
      </c>
      <c r="G1073" s="1" t="s">
        <v>8131</v>
      </c>
      <c r="H1073" s="1">
        <f>SUMIF([1]Sheet1!$G:$G,A1073,[1]Sheet1!$O:$O)</f>
        <v>2795</v>
      </c>
      <c r="I1073" s="21">
        <f t="shared" si="16"/>
        <v>0</v>
      </c>
    </row>
    <row r="1074" spans="1:9" x14ac:dyDescent="0.25">
      <c r="A1074" s="18" t="s">
        <v>4937</v>
      </c>
      <c r="B1074" s="4" t="s">
        <v>3194</v>
      </c>
      <c r="C1074" s="4" t="s">
        <v>1209</v>
      </c>
      <c r="D1074" s="4" t="s">
        <v>3290</v>
      </c>
      <c r="E1074" s="9">
        <v>7101.62</v>
      </c>
      <c r="F1074" s="9">
        <v>7101.62</v>
      </c>
      <c r="G1074" s="1" t="s">
        <v>4938</v>
      </c>
      <c r="H1074" s="1">
        <f>SUMIF([1]Sheet1!$G:$G,A1074,[1]Sheet1!$O:$O)</f>
        <v>0.1</v>
      </c>
      <c r="I1074" s="21">
        <f t="shared" si="16"/>
        <v>7101.5199999999995</v>
      </c>
    </row>
    <row r="1075" spans="1:9" x14ac:dyDescent="0.25">
      <c r="A1075" s="18" t="s">
        <v>4909</v>
      </c>
      <c r="B1075" s="4" t="s">
        <v>3195</v>
      </c>
      <c r="C1075" s="4" t="s">
        <v>1210</v>
      </c>
      <c r="D1075" s="4" t="s">
        <v>3290</v>
      </c>
      <c r="E1075" s="9">
        <v>9413.6616666666669</v>
      </c>
      <c r="F1075" s="9">
        <v>56481.97</v>
      </c>
      <c r="G1075" s="1" t="s">
        <v>4910</v>
      </c>
      <c r="H1075" s="1">
        <f>SUMIF([1]Sheet1!$G:$G,A1075,[1]Sheet1!$O:$O)</f>
        <v>0</v>
      </c>
      <c r="I1075" s="21">
        <f t="shared" si="16"/>
        <v>56481.97</v>
      </c>
    </row>
    <row r="1076" spans="1:9" x14ac:dyDescent="0.25">
      <c r="A1076" s="18" t="s">
        <v>4911</v>
      </c>
      <c r="B1076" s="4" t="s">
        <v>3196</v>
      </c>
      <c r="C1076" s="4" t="s">
        <v>1211</v>
      </c>
      <c r="D1076" s="4" t="s">
        <v>3290</v>
      </c>
      <c r="E1076" s="9">
        <v>12491.130000000001</v>
      </c>
      <c r="F1076" s="9">
        <v>62455.650000000009</v>
      </c>
      <c r="G1076" s="1" t="s">
        <v>4912</v>
      </c>
      <c r="H1076" s="1">
        <f>SUMIF([1]Sheet1!$G:$G,A1076,[1]Sheet1!$O:$O)</f>
        <v>104.17</v>
      </c>
      <c r="I1076" s="21">
        <f t="shared" si="16"/>
        <v>62351.48000000001</v>
      </c>
    </row>
    <row r="1077" spans="1:9" x14ac:dyDescent="0.25">
      <c r="A1077" s="18" t="s">
        <v>4919</v>
      </c>
      <c r="B1077" s="4" t="s">
        <v>3197</v>
      </c>
      <c r="C1077" s="4" t="s">
        <v>1212</v>
      </c>
      <c r="D1077" s="4" t="s">
        <v>3290</v>
      </c>
      <c r="E1077" s="9">
        <v>32546.334999999999</v>
      </c>
      <c r="F1077" s="9">
        <v>130185.34</v>
      </c>
      <c r="G1077" s="1" t="s">
        <v>4920</v>
      </c>
      <c r="H1077" s="1">
        <f>SUMIF([1]Sheet1!$G:$G,A1077,[1]Sheet1!$O:$O)</f>
        <v>130185.34</v>
      </c>
      <c r="I1077" s="21">
        <f t="shared" si="16"/>
        <v>0</v>
      </c>
    </row>
    <row r="1078" spans="1:9" x14ac:dyDescent="0.25">
      <c r="A1078" s="18" t="s">
        <v>4893</v>
      </c>
      <c r="B1078" s="4" t="s">
        <v>3198</v>
      </c>
      <c r="C1078" s="4" t="s">
        <v>988</v>
      </c>
      <c r="D1078" s="4" t="s">
        <v>3290</v>
      </c>
      <c r="E1078" s="9">
        <v>4697.45</v>
      </c>
      <c r="F1078" s="9">
        <v>4697.45</v>
      </c>
      <c r="G1078" s="1" t="s">
        <v>4894</v>
      </c>
      <c r="H1078" s="1">
        <f>SUMIF([1]Sheet1!$G:$G,A1078,[1]Sheet1!$O:$O)</f>
        <v>4697.45</v>
      </c>
      <c r="I1078" s="21">
        <f t="shared" si="16"/>
        <v>0</v>
      </c>
    </row>
    <row r="1079" spans="1:9" x14ac:dyDescent="0.25">
      <c r="A1079" s="18" t="s">
        <v>4895</v>
      </c>
      <c r="B1079" s="4" t="s">
        <v>3199</v>
      </c>
      <c r="C1079" s="4" t="s">
        <v>1213</v>
      </c>
      <c r="D1079" s="4" t="s">
        <v>3290</v>
      </c>
      <c r="E1079" s="9">
        <v>4844.3249999999998</v>
      </c>
      <c r="F1079" s="9">
        <v>19377.3</v>
      </c>
      <c r="G1079" s="1" t="s">
        <v>4896</v>
      </c>
      <c r="H1079" s="1">
        <f>SUMIF([1]Sheet1!$G:$G,A1079,[1]Sheet1!$O:$O)</f>
        <v>0</v>
      </c>
      <c r="I1079" s="21">
        <f t="shared" si="16"/>
        <v>19377.3</v>
      </c>
    </row>
    <row r="1080" spans="1:9" x14ac:dyDescent="0.25">
      <c r="A1080" s="18" t="s">
        <v>4885</v>
      </c>
      <c r="B1080" s="4" t="s">
        <v>3200</v>
      </c>
      <c r="C1080" s="4" t="s">
        <v>1214</v>
      </c>
      <c r="D1080" s="4" t="s">
        <v>3290</v>
      </c>
      <c r="E1080" s="9">
        <v>6421.4683333333332</v>
      </c>
      <c r="F1080" s="9">
        <v>38528.81</v>
      </c>
      <c r="G1080" s="1" t="s">
        <v>4886</v>
      </c>
      <c r="H1080" s="1">
        <f>SUMIF([1]Sheet1!$G:$G,A1080,[1]Sheet1!$O:$O)</f>
        <v>0</v>
      </c>
      <c r="I1080" s="21">
        <f t="shared" si="16"/>
        <v>38528.81</v>
      </c>
    </row>
    <row r="1081" spans="1:9" x14ac:dyDescent="0.25">
      <c r="A1081" s="18" t="s">
        <v>4931</v>
      </c>
      <c r="B1081" s="4" t="s">
        <v>3201</v>
      </c>
      <c r="C1081" s="4" t="s">
        <v>1215</v>
      </c>
      <c r="D1081" s="4" t="s">
        <v>3290</v>
      </c>
      <c r="E1081" s="9">
        <v>6598.9133333333339</v>
      </c>
      <c r="F1081" s="9">
        <v>19796.740000000002</v>
      </c>
      <c r="G1081" s="1" t="s">
        <v>4932</v>
      </c>
      <c r="H1081" s="1">
        <f>SUMIF([1]Sheet1!$G:$G,A1081,[1]Sheet1!$O:$O)</f>
        <v>19796.740000000002</v>
      </c>
      <c r="I1081" s="21">
        <f t="shared" si="16"/>
        <v>0</v>
      </c>
    </row>
    <row r="1082" spans="1:9" x14ac:dyDescent="0.25">
      <c r="A1082" s="18" t="s">
        <v>5297</v>
      </c>
      <c r="B1082" s="4" t="s">
        <v>2606</v>
      </c>
      <c r="C1082" s="4" t="s">
        <v>1216</v>
      </c>
      <c r="D1082" s="4" t="s">
        <v>3290</v>
      </c>
      <c r="E1082" s="9">
        <v>2700</v>
      </c>
      <c r="F1082" s="9">
        <v>16200</v>
      </c>
      <c r="G1082" s="1" t="s">
        <v>5300</v>
      </c>
      <c r="H1082" s="1">
        <f>SUMIF([1]Sheet1!$G:$G,A1082,[1]Sheet1!$O:$O)</f>
        <v>16200</v>
      </c>
      <c r="I1082" s="21">
        <f t="shared" si="16"/>
        <v>0</v>
      </c>
    </row>
    <row r="1083" spans="1:9" x14ac:dyDescent="0.25">
      <c r="A1083" s="18" t="s">
        <v>4757</v>
      </c>
      <c r="B1083" s="4" t="s">
        <v>2607</v>
      </c>
      <c r="C1083" s="4" t="s">
        <v>1217</v>
      </c>
      <c r="D1083" s="4" t="s">
        <v>3290</v>
      </c>
      <c r="E1083" s="9">
        <v>23.73</v>
      </c>
      <c r="F1083" s="9">
        <v>47.46</v>
      </c>
      <c r="G1083" s="1" t="s">
        <v>4758</v>
      </c>
      <c r="H1083" s="1">
        <f>SUMIF([1]Sheet1!$G:$G,A1083,[1]Sheet1!$O:$O)</f>
        <v>47.46</v>
      </c>
      <c r="I1083" s="21">
        <f t="shared" si="16"/>
        <v>0</v>
      </c>
    </row>
    <row r="1084" spans="1:9" x14ac:dyDescent="0.25">
      <c r="A1084" s="18" t="s">
        <v>8350</v>
      </c>
      <c r="B1084" s="4" t="s">
        <v>3202</v>
      </c>
      <c r="C1084" s="4" t="s">
        <v>1218</v>
      </c>
      <c r="D1084" s="4" t="s">
        <v>3290</v>
      </c>
      <c r="E1084" s="9">
        <v>11535.91</v>
      </c>
      <c r="F1084" s="9">
        <v>23071.82</v>
      </c>
      <c r="G1084" s="1" t="s">
        <v>8351</v>
      </c>
      <c r="H1084" s="1">
        <f>SUMIF([1]Sheet1!$G:$G,A1084,[1]Sheet1!$O:$O)</f>
        <v>23071.82</v>
      </c>
      <c r="I1084" s="21">
        <f t="shared" si="16"/>
        <v>0</v>
      </c>
    </row>
    <row r="1085" spans="1:9" x14ac:dyDescent="0.25">
      <c r="A1085" s="18" t="s">
        <v>10583</v>
      </c>
      <c r="B1085" s="4" t="s">
        <v>3203</v>
      </c>
      <c r="C1085" s="4" t="s">
        <v>1219</v>
      </c>
      <c r="D1085" s="4" t="s">
        <v>3290</v>
      </c>
      <c r="E1085" s="9">
        <v>279.64999999999998</v>
      </c>
      <c r="F1085" s="9">
        <v>279.64999999999998</v>
      </c>
      <c r="G1085" s="1" t="s">
        <v>10586</v>
      </c>
      <c r="H1085" s="1">
        <f>SUMIF([1]Sheet1!$G:$G,A1085,[1]Sheet1!$O:$O)</f>
        <v>279.64999999999998</v>
      </c>
      <c r="I1085" s="21">
        <f t="shared" si="16"/>
        <v>0</v>
      </c>
    </row>
    <row r="1086" spans="1:9" x14ac:dyDescent="0.25">
      <c r="A1086" s="18" t="s">
        <v>4811</v>
      </c>
      <c r="B1086" s="4" t="s">
        <v>2608</v>
      </c>
      <c r="C1086" s="4" t="s">
        <v>1220</v>
      </c>
      <c r="D1086" s="4" t="s">
        <v>3290</v>
      </c>
      <c r="E1086" s="9">
        <v>35.594999999999999</v>
      </c>
      <c r="F1086" s="9">
        <v>71.19</v>
      </c>
      <c r="G1086" s="1" t="s">
        <v>4812</v>
      </c>
      <c r="H1086" s="1">
        <f>SUMIF([1]Sheet1!$G:$G,A1086,[1]Sheet1!$O:$O)</f>
        <v>71.19</v>
      </c>
      <c r="I1086" s="21">
        <f t="shared" si="16"/>
        <v>0</v>
      </c>
    </row>
    <row r="1087" spans="1:9" x14ac:dyDescent="0.25">
      <c r="A1087" s="18" t="s">
        <v>4815</v>
      </c>
      <c r="B1087" s="4" t="s">
        <v>2609</v>
      </c>
      <c r="C1087" s="4" t="s">
        <v>1221</v>
      </c>
      <c r="D1087" s="4" t="s">
        <v>3290</v>
      </c>
      <c r="E1087" s="9">
        <v>41.524999999999999</v>
      </c>
      <c r="F1087" s="9">
        <v>83.05</v>
      </c>
      <c r="G1087" s="1" t="s">
        <v>4816</v>
      </c>
      <c r="H1087" s="1">
        <f>SUMIF([1]Sheet1!$G:$G,A1087,[1]Sheet1!$O:$O)</f>
        <v>83.05</v>
      </c>
      <c r="I1087" s="21">
        <f t="shared" si="16"/>
        <v>0</v>
      </c>
    </row>
    <row r="1088" spans="1:9" x14ac:dyDescent="0.25">
      <c r="A1088" s="18" t="s">
        <v>8655</v>
      </c>
      <c r="B1088" s="4" t="s">
        <v>2610</v>
      </c>
      <c r="C1088" s="4" t="s">
        <v>1222</v>
      </c>
      <c r="D1088" s="4" t="s">
        <v>3290</v>
      </c>
      <c r="E1088" s="9">
        <v>6.78</v>
      </c>
      <c r="F1088" s="9">
        <v>74.58</v>
      </c>
      <c r="G1088" s="1" t="s">
        <v>8656</v>
      </c>
      <c r="H1088" s="1">
        <f>SUMIF([1]Sheet1!$G:$G,A1088,[1]Sheet1!$O:$O)</f>
        <v>74.58</v>
      </c>
      <c r="I1088" s="21">
        <f t="shared" si="16"/>
        <v>0</v>
      </c>
    </row>
    <row r="1089" spans="1:9" x14ac:dyDescent="0.25">
      <c r="A1089" s="18" t="s">
        <v>8653</v>
      </c>
      <c r="B1089" s="4" t="s">
        <v>2611</v>
      </c>
      <c r="C1089" s="4" t="s">
        <v>1223</v>
      </c>
      <c r="D1089" s="4" t="s">
        <v>3290</v>
      </c>
      <c r="E1089" s="9">
        <v>5.085</v>
      </c>
      <c r="F1089" s="9">
        <v>30.509999999999998</v>
      </c>
      <c r="G1089" s="1" t="s">
        <v>8654</v>
      </c>
      <c r="H1089" s="1">
        <f>SUMIF([1]Sheet1!$G:$G,A1089,[1]Sheet1!$O:$O)</f>
        <v>30.51</v>
      </c>
      <c r="I1089" s="21">
        <f t="shared" si="16"/>
        <v>0</v>
      </c>
    </row>
    <row r="1090" spans="1:9" x14ac:dyDescent="0.25">
      <c r="A1090" s="18" t="s">
        <v>8488</v>
      </c>
      <c r="B1090" s="4" t="s">
        <v>2612</v>
      </c>
      <c r="C1090" s="4" t="s">
        <v>1224</v>
      </c>
      <c r="D1090" s="4" t="s">
        <v>3290</v>
      </c>
      <c r="E1090" s="9">
        <v>3.39</v>
      </c>
      <c r="F1090" s="9">
        <v>10.17</v>
      </c>
      <c r="G1090" s="1" t="s">
        <v>8489</v>
      </c>
      <c r="H1090" s="1">
        <f>SUMIF([1]Sheet1!$G:$G,A1090,[1]Sheet1!$O:$O)</f>
        <v>10.17</v>
      </c>
      <c r="I1090" s="21">
        <f t="shared" si="16"/>
        <v>0</v>
      </c>
    </row>
    <row r="1091" spans="1:9" x14ac:dyDescent="0.25">
      <c r="A1091" s="18" t="s">
        <v>10183</v>
      </c>
      <c r="B1091" s="4" t="s">
        <v>2613</v>
      </c>
      <c r="C1091" s="4" t="s">
        <v>1225</v>
      </c>
      <c r="D1091" s="4" t="s">
        <v>3290</v>
      </c>
      <c r="E1091" s="9">
        <v>66.229500000000002</v>
      </c>
      <c r="F1091" s="9">
        <v>1324.5900000000001</v>
      </c>
      <c r="G1091" s="1" t="s">
        <v>10184</v>
      </c>
      <c r="H1091" s="1">
        <f>SUMIF([1]Sheet1!$G:$G,A1091,[1]Sheet1!$O:$O)</f>
        <v>1324.59</v>
      </c>
      <c r="I1091" s="21">
        <f t="shared" ref="I1091:I1154" si="17">F1091-H1091</f>
        <v>0</v>
      </c>
    </row>
    <row r="1092" spans="1:9" x14ac:dyDescent="0.25">
      <c r="A1092" s="18" t="s">
        <v>9463</v>
      </c>
      <c r="B1092" s="4" t="s">
        <v>2614</v>
      </c>
      <c r="C1092" s="4" t="s">
        <v>1226</v>
      </c>
      <c r="D1092" s="4" t="s">
        <v>3290</v>
      </c>
      <c r="E1092" s="9">
        <v>0.1948611111111111</v>
      </c>
      <c r="F1092" s="9">
        <v>56.12</v>
      </c>
      <c r="G1092" s="1" t="s">
        <v>9464</v>
      </c>
      <c r="H1092" s="1">
        <f>SUMIF([1]Sheet1!$G:$G,A1092,[1]Sheet1!$O:$O)</f>
        <v>56.13</v>
      </c>
      <c r="I1092" s="21">
        <f t="shared" si="17"/>
        <v>-1.0000000000005116E-2</v>
      </c>
    </row>
    <row r="1093" spans="1:9" x14ac:dyDescent="0.25">
      <c r="A1093" s="18" t="s">
        <v>9475</v>
      </c>
      <c r="B1093" s="4" t="s">
        <v>2615</v>
      </c>
      <c r="C1093" s="4" t="s">
        <v>1227</v>
      </c>
      <c r="D1093" s="4" t="s">
        <v>3290</v>
      </c>
      <c r="E1093" s="9">
        <v>3.6015625</v>
      </c>
      <c r="F1093" s="9">
        <v>115.25</v>
      </c>
      <c r="G1093" s="1" t="s">
        <v>9476</v>
      </c>
      <c r="H1093" s="1">
        <f>SUMIF([1]Sheet1!$G:$G,A1093,[1]Sheet1!$O:$O)</f>
        <v>115.25</v>
      </c>
      <c r="I1093" s="21">
        <f t="shared" si="17"/>
        <v>0</v>
      </c>
    </row>
    <row r="1094" spans="1:9" x14ac:dyDescent="0.25">
      <c r="A1094" s="18" t="s">
        <v>9749</v>
      </c>
      <c r="B1094" s="4" t="s">
        <v>2616</v>
      </c>
      <c r="C1094" s="4" t="s">
        <v>1228</v>
      </c>
      <c r="D1094" s="4" t="s">
        <v>3290</v>
      </c>
      <c r="E1094" s="9">
        <v>127.12</v>
      </c>
      <c r="F1094" s="9">
        <v>127.12</v>
      </c>
      <c r="G1094" s="1" t="s">
        <v>9750</v>
      </c>
      <c r="H1094" s="1">
        <f>SUMIF([1]Sheet1!$G:$G,A1094,[1]Sheet1!$O:$O)</f>
        <v>127.12</v>
      </c>
      <c r="I1094" s="21">
        <f t="shared" si="17"/>
        <v>0</v>
      </c>
    </row>
    <row r="1095" spans="1:9" x14ac:dyDescent="0.25">
      <c r="A1095" s="18" t="s">
        <v>10831</v>
      </c>
      <c r="B1095" s="4" t="s">
        <v>2617</v>
      </c>
      <c r="C1095" s="4" t="s">
        <v>1229</v>
      </c>
      <c r="D1095" s="4" t="s">
        <v>3290</v>
      </c>
      <c r="E1095" s="9">
        <v>273.65800000000002</v>
      </c>
      <c r="F1095" s="9">
        <v>1368.29</v>
      </c>
      <c r="G1095" s="1" t="s">
        <v>10832</v>
      </c>
      <c r="H1095" s="1">
        <f>SUMIF([1]Sheet1!$G:$G,A1095,[1]Sheet1!$O:$O)</f>
        <v>1368.29</v>
      </c>
      <c r="I1095" s="21">
        <f t="shared" si="17"/>
        <v>0</v>
      </c>
    </row>
    <row r="1096" spans="1:9" x14ac:dyDescent="0.25">
      <c r="A1096" s="18" t="s">
        <v>9477</v>
      </c>
      <c r="B1096" s="4" t="s">
        <v>2618</v>
      </c>
      <c r="C1096" s="4" t="s">
        <v>1230</v>
      </c>
      <c r="D1096" s="4" t="s">
        <v>3290</v>
      </c>
      <c r="E1096" s="9">
        <v>0.16946428571428571</v>
      </c>
      <c r="F1096" s="9">
        <v>18.98</v>
      </c>
      <c r="G1096" s="1" t="s">
        <v>9478</v>
      </c>
      <c r="H1096" s="1">
        <f>SUMIF([1]Sheet1!$G:$G,A1096,[1]Sheet1!$O:$O)</f>
        <v>18.98</v>
      </c>
      <c r="I1096" s="21">
        <f t="shared" si="17"/>
        <v>0</v>
      </c>
    </row>
    <row r="1097" spans="1:9" x14ac:dyDescent="0.25">
      <c r="A1097" s="18" t="s">
        <v>5707</v>
      </c>
      <c r="B1097" s="4" t="s">
        <v>2619</v>
      </c>
      <c r="C1097" s="4" t="s">
        <v>1231</v>
      </c>
      <c r="D1097" s="4" t="s">
        <v>3289</v>
      </c>
      <c r="E1097" s="9">
        <v>1.2710000000000001</v>
      </c>
      <c r="F1097" s="9">
        <v>25.42</v>
      </c>
      <c r="G1097" s="1" t="s">
        <v>5708</v>
      </c>
      <c r="H1097" s="1">
        <f>SUMIF([1]Sheet1!$G:$G,A1097,[1]Sheet1!$O:$O)</f>
        <v>25.42</v>
      </c>
      <c r="I1097" s="21">
        <f t="shared" si="17"/>
        <v>0</v>
      </c>
    </row>
    <row r="1098" spans="1:9" x14ac:dyDescent="0.25">
      <c r="A1098" s="18" t="s">
        <v>4259</v>
      </c>
      <c r="B1098" s="4" t="s">
        <v>2620</v>
      </c>
      <c r="C1098" s="4" t="s">
        <v>1232</v>
      </c>
      <c r="D1098" s="4" t="s">
        <v>3290</v>
      </c>
      <c r="E1098" s="9">
        <v>190.67625000000001</v>
      </c>
      <c r="F1098" s="9">
        <v>1525.41</v>
      </c>
      <c r="G1098" s="1" t="s">
        <v>4260</v>
      </c>
      <c r="H1098" s="1">
        <f>SUMIF([1]Sheet1!$G:$G,A1098,[1]Sheet1!$O:$O)</f>
        <v>1525.41</v>
      </c>
      <c r="I1098" s="21">
        <f t="shared" si="17"/>
        <v>0</v>
      </c>
    </row>
    <row r="1099" spans="1:9" x14ac:dyDescent="0.25">
      <c r="A1099" s="18" t="s">
        <v>7108</v>
      </c>
      <c r="B1099" s="4" t="s">
        <v>2621</v>
      </c>
      <c r="C1099" s="4" t="s">
        <v>1233</v>
      </c>
      <c r="D1099" s="4" t="s">
        <v>3289</v>
      </c>
      <c r="E1099" s="9">
        <v>2041</v>
      </c>
      <c r="F1099" s="9">
        <v>342888</v>
      </c>
      <c r="G1099" s="1" t="s">
        <v>7111</v>
      </c>
      <c r="H1099" s="1">
        <f>SUMIF([1]Sheet1!$G:$G,A1099,[1]Sheet1!$O:$O)</f>
        <v>342888</v>
      </c>
      <c r="I1099" s="21">
        <f t="shared" si="17"/>
        <v>0</v>
      </c>
    </row>
    <row r="1100" spans="1:9" x14ac:dyDescent="0.25">
      <c r="A1100" s="18" t="s">
        <v>7876</v>
      </c>
      <c r="B1100" s="4" t="s">
        <v>2622</v>
      </c>
      <c r="C1100" s="4" t="s">
        <v>1234</v>
      </c>
      <c r="D1100" s="4" t="s">
        <v>3290</v>
      </c>
      <c r="E1100" s="9">
        <v>28.914999999999999</v>
      </c>
      <c r="F1100" s="9">
        <v>57.83</v>
      </c>
      <c r="G1100" s="1" t="s">
        <v>7877</v>
      </c>
      <c r="H1100" s="1">
        <f>SUMIF([1]Sheet1!$G:$G,A1100,[1]Sheet1!$O:$O)</f>
        <v>57.83</v>
      </c>
      <c r="I1100" s="21">
        <f t="shared" si="17"/>
        <v>0</v>
      </c>
    </row>
    <row r="1101" spans="1:9" x14ac:dyDescent="0.25">
      <c r="A1101" s="18" t="s">
        <v>7898</v>
      </c>
      <c r="B1101" s="4" t="s">
        <v>2623</v>
      </c>
      <c r="C1101" s="4" t="s">
        <v>1089</v>
      </c>
      <c r="D1101" s="4" t="s">
        <v>3290</v>
      </c>
      <c r="E1101" s="9">
        <v>0.59444444444444444</v>
      </c>
      <c r="F1101" s="9">
        <v>5.35</v>
      </c>
      <c r="G1101" s="1" t="s">
        <v>7899</v>
      </c>
      <c r="H1101" s="1">
        <f>SUMIF([1]Sheet1!$G:$G,A1101,[1]Sheet1!$O:$O)</f>
        <v>5.35</v>
      </c>
      <c r="I1101" s="21">
        <f t="shared" si="17"/>
        <v>0</v>
      </c>
    </row>
    <row r="1102" spans="1:9" x14ac:dyDescent="0.25">
      <c r="A1102" s="18" t="s">
        <v>7908</v>
      </c>
      <c r="B1102" s="4" t="s">
        <v>2624</v>
      </c>
      <c r="C1102" s="4" t="s">
        <v>1235</v>
      </c>
      <c r="D1102" s="4" t="s">
        <v>3290</v>
      </c>
      <c r="E1102" s="9">
        <v>130.88</v>
      </c>
      <c r="F1102" s="9">
        <v>261.76</v>
      </c>
      <c r="G1102" s="1" t="s">
        <v>7909</v>
      </c>
      <c r="H1102" s="1">
        <f>SUMIF([1]Sheet1!$G:$G,A1102,[1]Sheet1!$O:$O)</f>
        <v>261.76</v>
      </c>
      <c r="I1102" s="21">
        <f t="shared" si="17"/>
        <v>0</v>
      </c>
    </row>
    <row r="1103" spans="1:9" x14ac:dyDescent="0.25">
      <c r="A1103" s="18" t="s">
        <v>8073</v>
      </c>
      <c r="B1103" s="4" t="s">
        <v>2625</v>
      </c>
      <c r="C1103" s="4" t="s">
        <v>1236</v>
      </c>
      <c r="D1103" s="4" t="s">
        <v>3290</v>
      </c>
      <c r="E1103" s="9">
        <v>2312</v>
      </c>
      <c r="F1103" s="9">
        <v>11560</v>
      </c>
      <c r="G1103" s="1" t="s">
        <v>8074</v>
      </c>
      <c r="H1103" s="1">
        <f>SUMIF([1]Sheet1!$G:$G,A1103,[1]Sheet1!$O:$O)</f>
        <v>11560</v>
      </c>
      <c r="I1103" s="21">
        <f t="shared" si="17"/>
        <v>0</v>
      </c>
    </row>
    <row r="1104" spans="1:9" x14ac:dyDescent="0.25">
      <c r="A1104" s="18" t="s">
        <v>8059</v>
      </c>
      <c r="B1104" s="4" t="s">
        <v>2626</v>
      </c>
      <c r="C1104" s="4" t="s">
        <v>1237</v>
      </c>
      <c r="D1104" s="4" t="s">
        <v>3290</v>
      </c>
      <c r="E1104" s="9">
        <v>2335.4966666666664</v>
      </c>
      <c r="F1104" s="9">
        <v>7006.49</v>
      </c>
      <c r="G1104" s="1" t="s">
        <v>8060</v>
      </c>
      <c r="H1104" s="1">
        <f>SUMIF([1]Sheet1!$G:$G,A1104,[1]Sheet1!$O:$O)</f>
        <v>7006.49</v>
      </c>
      <c r="I1104" s="21">
        <f t="shared" si="17"/>
        <v>0</v>
      </c>
    </row>
    <row r="1105" spans="1:9" x14ac:dyDescent="0.25">
      <c r="A1105" s="18" t="s">
        <v>8083</v>
      </c>
      <c r="B1105" s="4" t="s">
        <v>2627</v>
      </c>
      <c r="C1105" s="4" t="s">
        <v>1238</v>
      </c>
      <c r="D1105" s="4" t="s">
        <v>3290</v>
      </c>
      <c r="E1105" s="9">
        <v>20.799545454545452</v>
      </c>
      <c r="F1105" s="9">
        <v>457.58999999999992</v>
      </c>
      <c r="G1105" s="1" t="s">
        <v>8084</v>
      </c>
      <c r="H1105" s="1">
        <f>SUMIF([1]Sheet1!$G:$G,A1105,[1]Sheet1!$O:$O)</f>
        <v>457.59</v>
      </c>
      <c r="I1105" s="21">
        <f t="shared" si="17"/>
        <v>0</v>
      </c>
    </row>
    <row r="1106" spans="1:9" x14ac:dyDescent="0.25">
      <c r="A1106" s="18" t="s">
        <v>8156</v>
      </c>
      <c r="B1106" s="4" t="s">
        <v>2628</v>
      </c>
      <c r="C1106" s="4" t="s">
        <v>1239</v>
      </c>
      <c r="D1106" s="4" t="s">
        <v>3290</v>
      </c>
      <c r="E1106" s="9">
        <v>14.538999999999998</v>
      </c>
      <c r="F1106" s="9">
        <v>290.77999999999997</v>
      </c>
      <c r="G1106" s="1" t="s">
        <v>8157</v>
      </c>
      <c r="H1106" s="1">
        <f>SUMIF([1]Sheet1!$G:$G,A1106,[1]Sheet1!$O:$O)</f>
        <v>290.77999999999997</v>
      </c>
      <c r="I1106" s="21">
        <f t="shared" si="17"/>
        <v>0</v>
      </c>
    </row>
    <row r="1107" spans="1:9" x14ac:dyDescent="0.25">
      <c r="A1107" s="18" t="s">
        <v>7910</v>
      </c>
      <c r="B1107" s="4" t="s">
        <v>2629</v>
      </c>
      <c r="C1107" s="4" t="s">
        <v>1240</v>
      </c>
      <c r="D1107" s="4" t="s">
        <v>3290</v>
      </c>
      <c r="E1107" s="9">
        <v>175</v>
      </c>
      <c r="F1107" s="9">
        <v>175</v>
      </c>
      <c r="G1107" s="1" t="s">
        <v>7911</v>
      </c>
      <c r="H1107" s="1">
        <f>SUMIF([1]Sheet1!$G:$G,A1107,[1]Sheet1!$O:$O)</f>
        <v>175</v>
      </c>
      <c r="I1107" s="21">
        <f t="shared" si="17"/>
        <v>0</v>
      </c>
    </row>
    <row r="1108" spans="1:9" x14ac:dyDescent="0.25">
      <c r="A1108" s="18" t="s">
        <v>8055</v>
      </c>
      <c r="B1108" s="4" t="s">
        <v>2630</v>
      </c>
      <c r="C1108" s="4" t="s">
        <v>1241</v>
      </c>
      <c r="D1108" s="4" t="s">
        <v>3290</v>
      </c>
      <c r="E1108" s="9">
        <v>1625</v>
      </c>
      <c r="F1108" s="9">
        <v>1625</v>
      </c>
      <c r="G1108" s="1" t="s">
        <v>8056</v>
      </c>
      <c r="H1108" s="1">
        <f>SUMIF([1]Sheet1!$G:$G,A1108,[1]Sheet1!$O:$O)</f>
        <v>1625</v>
      </c>
      <c r="I1108" s="21">
        <f t="shared" si="17"/>
        <v>0</v>
      </c>
    </row>
    <row r="1109" spans="1:9" x14ac:dyDescent="0.25">
      <c r="A1109" s="18" t="s">
        <v>8057</v>
      </c>
      <c r="B1109" s="4" t="s">
        <v>2631</v>
      </c>
      <c r="C1109" s="4" t="s">
        <v>1237</v>
      </c>
      <c r="D1109" s="4" t="s">
        <v>3290</v>
      </c>
      <c r="E1109" s="9">
        <v>3030</v>
      </c>
      <c r="F1109" s="9">
        <v>9090</v>
      </c>
      <c r="G1109" s="1" t="s">
        <v>8058</v>
      </c>
      <c r="H1109" s="1">
        <f>SUMIF([1]Sheet1!$G:$G,A1109,[1]Sheet1!$O:$O)</f>
        <v>9090</v>
      </c>
      <c r="I1109" s="21">
        <f t="shared" si="17"/>
        <v>0</v>
      </c>
    </row>
    <row r="1110" spans="1:9" x14ac:dyDescent="0.25">
      <c r="A1110" s="18" t="s">
        <v>7193</v>
      </c>
      <c r="B1110" s="4" t="s">
        <v>2632</v>
      </c>
      <c r="C1110" s="4" t="s">
        <v>1242</v>
      </c>
      <c r="D1110" s="4" t="s">
        <v>3289</v>
      </c>
      <c r="E1110" s="9">
        <v>7.5799763033175358</v>
      </c>
      <c r="F1110" s="9">
        <v>127.95</v>
      </c>
      <c r="G1110" s="1" t="s">
        <v>7194</v>
      </c>
      <c r="H1110" s="1">
        <f>SUMIF([1]Sheet1!$G:$G,A1110,[1]Sheet1!$O:$O)</f>
        <v>127.95</v>
      </c>
      <c r="I1110" s="21">
        <f t="shared" si="17"/>
        <v>0</v>
      </c>
    </row>
    <row r="1111" spans="1:9" x14ac:dyDescent="0.25">
      <c r="A1111" s="18" t="s">
        <v>9991</v>
      </c>
      <c r="B1111" s="4" t="s">
        <v>2633</v>
      </c>
      <c r="C1111" s="4" t="s">
        <v>1243</v>
      </c>
      <c r="D1111" s="4" t="s">
        <v>3290</v>
      </c>
      <c r="E1111" s="9">
        <v>313.59750000000003</v>
      </c>
      <c r="F1111" s="9">
        <v>5017.5600000000004</v>
      </c>
      <c r="G1111" s="1" t="s">
        <v>9992</v>
      </c>
      <c r="H1111" s="1">
        <f>SUMIF([1]Sheet1!$G:$G,A1111,[1]Sheet1!$O:$O)</f>
        <v>5017.5600000000004</v>
      </c>
      <c r="I1111" s="21">
        <f t="shared" si="17"/>
        <v>0</v>
      </c>
    </row>
    <row r="1112" spans="1:9" x14ac:dyDescent="0.25">
      <c r="A1112" s="18" t="s">
        <v>7059</v>
      </c>
      <c r="B1112" s="4" t="s">
        <v>2634</v>
      </c>
      <c r="C1112" s="4" t="s">
        <v>1244</v>
      </c>
      <c r="D1112" s="4" t="s">
        <v>3289</v>
      </c>
      <c r="E1112" s="9">
        <v>60</v>
      </c>
      <c r="F1112" s="9">
        <v>57</v>
      </c>
      <c r="G1112" s="1" t="s">
        <v>7060</v>
      </c>
      <c r="H1112" s="1">
        <f>SUMIF([1]Sheet1!$G:$G,A1112,[1]Sheet1!$O:$O)</f>
        <v>57</v>
      </c>
      <c r="I1112" s="21">
        <f t="shared" si="17"/>
        <v>0</v>
      </c>
    </row>
    <row r="1113" spans="1:9" x14ac:dyDescent="0.25">
      <c r="A1113" s="18" t="s">
        <v>7397</v>
      </c>
      <c r="B1113" s="4" t="s">
        <v>2635</v>
      </c>
      <c r="C1113" s="4" t="s">
        <v>1245</v>
      </c>
      <c r="D1113" s="4" t="s">
        <v>3289</v>
      </c>
      <c r="E1113" s="9">
        <v>74</v>
      </c>
      <c r="F1113" s="9">
        <v>170.2</v>
      </c>
      <c r="G1113" s="1" t="s">
        <v>7398</v>
      </c>
      <c r="H1113" s="1">
        <f>SUMIF([1]Sheet1!$G:$G,A1113,[1]Sheet1!$O:$O)</f>
        <v>170.2</v>
      </c>
      <c r="I1113" s="21">
        <f t="shared" si="17"/>
        <v>0</v>
      </c>
    </row>
    <row r="1114" spans="1:9" x14ac:dyDescent="0.25">
      <c r="A1114" s="18" t="s">
        <v>7229</v>
      </c>
      <c r="B1114" s="4" t="s">
        <v>2636</v>
      </c>
      <c r="C1114" s="4" t="s">
        <v>548</v>
      </c>
      <c r="D1114" s="4" t="s">
        <v>3289</v>
      </c>
      <c r="E1114" s="9">
        <v>348.50991501416433</v>
      </c>
      <c r="F1114" s="9">
        <v>4920.96</v>
      </c>
      <c r="G1114" s="1" t="s">
        <v>7230</v>
      </c>
      <c r="H1114" s="1">
        <f>SUMIF([1]Sheet1!$G:$G,A1114,[1]Sheet1!$O:$O)</f>
        <v>4293.6400000000003</v>
      </c>
      <c r="I1114" s="21">
        <f t="shared" si="17"/>
        <v>627.31999999999971</v>
      </c>
    </row>
    <row r="1115" spans="1:9" x14ac:dyDescent="0.25">
      <c r="A1115" s="18" t="s">
        <v>7222</v>
      </c>
      <c r="B1115" s="4" t="s">
        <v>2637</v>
      </c>
      <c r="C1115" s="4" t="s">
        <v>1246</v>
      </c>
      <c r="D1115" s="4" t="s">
        <v>3289</v>
      </c>
      <c r="E1115" s="9">
        <v>145.5</v>
      </c>
      <c r="F1115" s="9">
        <v>625.65</v>
      </c>
      <c r="G1115" s="1" t="s">
        <v>7223</v>
      </c>
      <c r="H1115" s="1">
        <f>SUMIF([1]Sheet1!$G:$G,A1115,[1]Sheet1!$O:$O)</f>
        <v>625.65</v>
      </c>
      <c r="I1115" s="21">
        <f t="shared" si="17"/>
        <v>0</v>
      </c>
    </row>
    <row r="1116" spans="1:9" x14ac:dyDescent="0.25">
      <c r="A1116" s="18" t="s">
        <v>7218</v>
      </c>
      <c r="B1116" s="4" t="s">
        <v>2638</v>
      </c>
      <c r="C1116" s="4" t="s">
        <v>1247</v>
      </c>
      <c r="D1116" s="4" t="s">
        <v>3289</v>
      </c>
      <c r="E1116" s="9">
        <v>268.21081677704188</v>
      </c>
      <c r="F1116" s="9">
        <v>2429.9899999999998</v>
      </c>
      <c r="G1116" s="1" t="s">
        <v>7219</v>
      </c>
      <c r="H1116" s="1">
        <f>SUMIF([1]Sheet1!$G:$G,A1116,[1]Sheet1!$O:$O)</f>
        <v>2429.9899999999998</v>
      </c>
      <c r="I1116" s="21">
        <f t="shared" si="17"/>
        <v>0</v>
      </c>
    </row>
    <row r="1117" spans="1:9" x14ac:dyDescent="0.25">
      <c r="A1117" s="18" t="s">
        <v>7176</v>
      </c>
      <c r="B1117" s="4" t="s">
        <v>2639</v>
      </c>
      <c r="C1117" s="4" t="s">
        <v>1248</v>
      </c>
      <c r="D1117" s="4" t="s">
        <v>3289</v>
      </c>
      <c r="E1117" s="9">
        <v>105</v>
      </c>
      <c r="F1117" s="9">
        <v>3176.25</v>
      </c>
      <c r="G1117" s="1" t="s">
        <v>7177</v>
      </c>
      <c r="H1117" s="1">
        <f>SUMIF([1]Sheet1!$G:$G,A1117,[1]Sheet1!$O:$O)</f>
        <v>3176.25</v>
      </c>
      <c r="I1117" s="21">
        <f t="shared" si="17"/>
        <v>0</v>
      </c>
    </row>
    <row r="1118" spans="1:9" x14ac:dyDescent="0.25">
      <c r="A1118" s="18" t="s">
        <v>7101</v>
      </c>
      <c r="B1118" s="4" t="s">
        <v>2640</v>
      </c>
      <c r="C1118" s="4" t="s">
        <v>1249</v>
      </c>
      <c r="D1118" s="4" t="s">
        <v>3289</v>
      </c>
      <c r="E1118" s="9">
        <v>42.373333333333335</v>
      </c>
      <c r="F1118" s="9">
        <v>254.24</v>
      </c>
      <c r="G1118" s="1" t="s">
        <v>7105</v>
      </c>
      <c r="H1118" s="1">
        <f>SUMIF([1]Sheet1!$G:$G,A1118,[1]Sheet1!$O:$O)</f>
        <v>254.24</v>
      </c>
      <c r="I1118" s="21">
        <f t="shared" si="17"/>
        <v>0</v>
      </c>
    </row>
    <row r="1119" spans="1:9" x14ac:dyDescent="0.25">
      <c r="A1119" s="18" t="s">
        <v>8085</v>
      </c>
      <c r="B1119" s="4" t="s">
        <v>2641</v>
      </c>
      <c r="C1119" s="4" t="s">
        <v>1250</v>
      </c>
      <c r="D1119" s="4" t="s">
        <v>3290</v>
      </c>
      <c r="E1119" s="9">
        <v>35</v>
      </c>
      <c r="F1119" s="9">
        <v>70</v>
      </c>
      <c r="G1119" s="1" t="s">
        <v>8086</v>
      </c>
      <c r="H1119" s="1">
        <f>SUMIF([1]Sheet1!$G:$G,A1119,[1]Sheet1!$O:$O)</f>
        <v>70</v>
      </c>
      <c r="I1119" s="21">
        <f t="shared" si="17"/>
        <v>0</v>
      </c>
    </row>
    <row r="1120" spans="1:9" x14ac:dyDescent="0.25">
      <c r="A1120" s="18" t="s">
        <v>8158</v>
      </c>
      <c r="B1120" s="4" t="s">
        <v>2642</v>
      </c>
      <c r="C1120" s="4" t="s">
        <v>1251</v>
      </c>
      <c r="D1120" s="4" t="s">
        <v>3290</v>
      </c>
      <c r="E1120" s="9">
        <v>60</v>
      </c>
      <c r="F1120" s="9">
        <v>1560</v>
      </c>
      <c r="G1120" s="1" t="s">
        <v>8159</v>
      </c>
      <c r="H1120" s="1">
        <f>SUMIF([1]Sheet1!$G:$G,A1120,[1]Sheet1!$O:$O)</f>
        <v>1560</v>
      </c>
      <c r="I1120" s="21">
        <f t="shared" si="17"/>
        <v>0</v>
      </c>
    </row>
    <row r="1121" spans="1:9" x14ac:dyDescent="0.25">
      <c r="A1121" s="18" t="s">
        <v>8067</v>
      </c>
      <c r="B1121" s="4" t="s">
        <v>2643</v>
      </c>
      <c r="C1121" s="4" t="s">
        <v>1252</v>
      </c>
      <c r="D1121" s="4" t="s">
        <v>3290</v>
      </c>
      <c r="E1121" s="9">
        <v>166</v>
      </c>
      <c r="F1121" s="9">
        <v>332</v>
      </c>
      <c r="G1121" s="1" t="s">
        <v>8068</v>
      </c>
      <c r="H1121" s="1">
        <f>SUMIF([1]Sheet1!$G:$G,A1121,[1]Sheet1!$O:$O)</f>
        <v>332</v>
      </c>
      <c r="I1121" s="21">
        <f t="shared" si="17"/>
        <v>0</v>
      </c>
    </row>
    <row r="1122" spans="1:9" x14ac:dyDescent="0.25">
      <c r="A1122" s="18" t="s">
        <v>8069</v>
      </c>
      <c r="B1122" s="4" t="s">
        <v>2644</v>
      </c>
      <c r="C1122" s="4" t="s">
        <v>1253</v>
      </c>
      <c r="D1122" s="4" t="s">
        <v>3290</v>
      </c>
      <c r="E1122" s="9">
        <v>1500.25</v>
      </c>
      <c r="F1122" s="9">
        <v>3000.5</v>
      </c>
      <c r="G1122" s="1" t="s">
        <v>8070</v>
      </c>
      <c r="H1122" s="1">
        <f>SUMIF([1]Sheet1!$G:$G,A1122,[1]Sheet1!$O:$O)</f>
        <v>3000.5</v>
      </c>
      <c r="I1122" s="21">
        <f t="shared" si="17"/>
        <v>0</v>
      </c>
    </row>
    <row r="1123" spans="1:9" x14ac:dyDescent="0.25">
      <c r="A1123" s="18" t="s">
        <v>11566</v>
      </c>
      <c r="B1123" s="4" t="s">
        <v>2645</v>
      </c>
      <c r="C1123" s="4" t="s">
        <v>1254</v>
      </c>
      <c r="D1123" s="4" t="s">
        <v>3290</v>
      </c>
      <c r="E1123" s="9">
        <v>0.67142857142857149</v>
      </c>
      <c r="F1123" s="9">
        <v>9.4</v>
      </c>
      <c r="G1123" s="1" t="s">
        <v>11567</v>
      </c>
      <c r="H1123" s="1">
        <f>SUMIF([1]Sheet1!$G:$G,A1123,[1]Sheet1!$O:$O)</f>
        <v>9.4</v>
      </c>
      <c r="I1123" s="21">
        <f t="shared" si="17"/>
        <v>0</v>
      </c>
    </row>
    <row r="1124" spans="1:9" x14ac:dyDescent="0.25">
      <c r="A1124" s="18" t="s">
        <v>9510</v>
      </c>
      <c r="B1124" s="4" t="s">
        <v>2646</v>
      </c>
      <c r="C1124" s="4" t="s">
        <v>1255</v>
      </c>
      <c r="D1124" s="4" t="s">
        <v>3290</v>
      </c>
      <c r="E1124" s="9">
        <v>0.23368055555555556</v>
      </c>
      <c r="F1124" s="9">
        <v>33.65</v>
      </c>
      <c r="G1124" s="1" t="s">
        <v>9511</v>
      </c>
      <c r="H1124" s="1">
        <f>SUMIF([1]Sheet1!$G:$G,A1124,[1]Sheet1!$O:$O)</f>
        <v>33.65</v>
      </c>
      <c r="I1124" s="21">
        <f t="shared" si="17"/>
        <v>0</v>
      </c>
    </row>
    <row r="1125" spans="1:9" x14ac:dyDescent="0.25">
      <c r="A1125" s="18" t="s">
        <v>9497</v>
      </c>
      <c r="B1125" s="4" t="s">
        <v>2647</v>
      </c>
      <c r="C1125" s="4" t="s">
        <v>1256</v>
      </c>
      <c r="D1125" s="4" t="s">
        <v>3290</v>
      </c>
      <c r="E1125" s="9">
        <v>0.11666666666666667</v>
      </c>
      <c r="F1125" s="9">
        <v>12.6</v>
      </c>
      <c r="G1125" s="1" t="s">
        <v>9498</v>
      </c>
      <c r="H1125" s="1">
        <f>SUMIF([1]Sheet1!$G:$G,A1125,[1]Sheet1!$O:$O)</f>
        <v>12.6</v>
      </c>
      <c r="I1125" s="21">
        <f t="shared" si="17"/>
        <v>0</v>
      </c>
    </row>
    <row r="1126" spans="1:9" x14ac:dyDescent="0.25">
      <c r="A1126" s="18" t="s">
        <v>11704</v>
      </c>
      <c r="B1126" s="4" t="s">
        <v>2648</v>
      </c>
      <c r="C1126" s="4" t="s">
        <v>1257</v>
      </c>
      <c r="D1126" s="4" t="s">
        <v>3290</v>
      </c>
      <c r="E1126" s="9">
        <v>0.41078947368421054</v>
      </c>
      <c r="F1126" s="9">
        <v>93.66</v>
      </c>
      <c r="G1126" s="1" t="s">
        <v>11705</v>
      </c>
      <c r="H1126" s="1">
        <f>SUMIF([1]Sheet1!$G:$G,A1126,[1]Sheet1!$O:$O)</f>
        <v>93.66</v>
      </c>
      <c r="I1126" s="21">
        <f t="shared" si="17"/>
        <v>0</v>
      </c>
    </row>
    <row r="1127" spans="1:9" x14ac:dyDescent="0.25">
      <c r="A1127" s="18" t="s">
        <v>5237</v>
      </c>
      <c r="B1127" s="4" t="s">
        <v>2649</v>
      </c>
      <c r="C1127" s="4" t="s">
        <v>1258</v>
      </c>
      <c r="D1127" s="4" t="s">
        <v>3290</v>
      </c>
      <c r="E1127" s="9">
        <v>530.24636363636364</v>
      </c>
      <c r="F1127" s="9">
        <v>5832.71</v>
      </c>
      <c r="G1127" s="1" t="s">
        <v>5239</v>
      </c>
      <c r="H1127" s="1">
        <f>SUMIF([1]Sheet1!$G:$G,A1127,[1]Sheet1!$O:$O)</f>
        <v>5832.71</v>
      </c>
      <c r="I1127" s="21">
        <f t="shared" si="17"/>
        <v>0</v>
      </c>
    </row>
    <row r="1128" spans="1:9" x14ac:dyDescent="0.25">
      <c r="A1128" s="18" t="s">
        <v>9101</v>
      </c>
      <c r="B1128" s="4" t="s">
        <v>2650</v>
      </c>
      <c r="C1128" s="4" t="s">
        <v>1259</v>
      </c>
      <c r="D1128" s="4" t="s">
        <v>3291</v>
      </c>
      <c r="E1128" s="9">
        <v>7.4574999999999996</v>
      </c>
      <c r="F1128" s="9">
        <v>477.28</v>
      </c>
      <c r="G1128" s="1" t="s">
        <v>9102</v>
      </c>
      <c r="H1128" s="1">
        <f>SUMIF([1]Sheet1!$G:$G,A1128,[1]Sheet1!$O:$O)</f>
        <v>477.28</v>
      </c>
      <c r="I1128" s="21">
        <f t="shared" si="17"/>
        <v>0</v>
      </c>
    </row>
    <row r="1129" spans="1:9" x14ac:dyDescent="0.25">
      <c r="A1129" s="18" t="s">
        <v>4325</v>
      </c>
      <c r="B1129" s="4" t="s">
        <v>2651</v>
      </c>
      <c r="C1129" s="4" t="s">
        <v>1260</v>
      </c>
      <c r="D1129" s="4" t="s">
        <v>3290</v>
      </c>
      <c r="E1129" s="9">
        <v>5.085</v>
      </c>
      <c r="F1129" s="9">
        <v>20.34</v>
      </c>
      <c r="G1129" s="1" t="s">
        <v>4328</v>
      </c>
      <c r="H1129" s="1">
        <f>SUMIF([1]Sheet1!$G:$G,A1129,[1]Sheet1!$O:$O)</f>
        <v>20.34</v>
      </c>
      <c r="I1129" s="21">
        <f t="shared" si="17"/>
        <v>0</v>
      </c>
    </row>
    <row r="1130" spans="1:9" x14ac:dyDescent="0.25">
      <c r="A1130" s="18" t="s">
        <v>8323</v>
      </c>
      <c r="B1130" s="4" t="s">
        <v>2652</v>
      </c>
      <c r="C1130" s="4" t="s">
        <v>1261</v>
      </c>
      <c r="D1130" s="4" t="s">
        <v>3290</v>
      </c>
      <c r="E1130" s="9">
        <v>80</v>
      </c>
      <c r="F1130" s="9">
        <v>1120</v>
      </c>
      <c r="G1130" s="1" t="s">
        <v>8324</v>
      </c>
      <c r="H1130" s="1">
        <f>SUMIF([1]Sheet1!$G:$G,A1130,[1]Sheet1!$O:$O)</f>
        <v>1120</v>
      </c>
      <c r="I1130" s="21">
        <f t="shared" si="17"/>
        <v>0</v>
      </c>
    </row>
    <row r="1131" spans="1:9" x14ac:dyDescent="0.25">
      <c r="A1131" s="18" t="s">
        <v>7502</v>
      </c>
      <c r="B1131" s="4" t="s">
        <v>2653</v>
      </c>
      <c r="C1131" s="4" t="s">
        <v>1262</v>
      </c>
      <c r="D1131" s="4" t="s">
        <v>3289</v>
      </c>
      <c r="E1131" s="9">
        <v>202.72040816326529</v>
      </c>
      <c r="F1131" s="9">
        <v>993.33</v>
      </c>
      <c r="G1131" s="1" t="s">
        <v>7503</v>
      </c>
      <c r="H1131" s="1">
        <f>SUMIF([1]Sheet1!$G:$G,A1131,[1]Sheet1!$O:$O)</f>
        <v>993.33</v>
      </c>
      <c r="I1131" s="21">
        <f t="shared" si="17"/>
        <v>0</v>
      </c>
    </row>
    <row r="1132" spans="1:9" x14ac:dyDescent="0.25">
      <c r="A1132" s="18" t="s">
        <v>7599</v>
      </c>
      <c r="B1132" s="4" t="s">
        <v>2654</v>
      </c>
      <c r="C1132" s="4" t="s">
        <v>1263</v>
      </c>
      <c r="D1132" s="4" t="s">
        <v>3289</v>
      </c>
      <c r="E1132" s="9">
        <v>14.704844603355468</v>
      </c>
      <c r="F1132" s="9">
        <v>3742.53</v>
      </c>
      <c r="G1132" s="1" t="s">
        <v>7600</v>
      </c>
      <c r="H1132" s="1">
        <f>SUMIF([1]Sheet1!$G:$G,A1132,[1]Sheet1!$O:$O)</f>
        <v>3301.37</v>
      </c>
      <c r="I1132" s="21">
        <f t="shared" si="17"/>
        <v>441.16000000000031</v>
      </c>
    </row>
    <row r="1133" spans="1:9" x14ac:dyDescent="0.25">
      <c r="A1133" s="18" t="s">
        <v>7371</v>
      </c>
      <c r="B1133" s="4" t="s">
        <v>2655</v>
      </c>
      <c r="C1133" s="4" t="s">
        <v>1264</v>
      </c>
      <c r="D1133" s="4" t="s">
        <v>3289</v>
      </c>
      <c r="E1133" s="9">
        <v>35</v>
      </c>
      <c r="F1133" s="9">
        <v>105</v>
      </c>
      <c r="G1133" s="1" t="s">
        <v>7372</v>
      </c>
      <c r="H1133" s="1">
        <f>SUMIF([1]Sheet1!$G:$G,A1133,[1]Sheet1!$O:$O)</f>
        <v>105</v>
      </c>
      <c r="I1133" s="21">
        <f t="shared" si="17"/>
        <v>0</v>
      </c>
    </row>
    <row r="1134" spans="1:9" x14ac:dyDescent="0.25">
      <c r="A1134" s="18" t="s">
        <v>7316</v>
      </c>
      <c r="B1134" s="4" t="s">
        <v>2656</v>
      </c>
      <c r="C1134" s="4" t="s">
        <v>1265</v>
      </c>
      <c r="D1134" s="4" t="s">
        <v>3289</v>
      </c>
      <c r="E1134" s="9">
        <v>22</v>
      </c>
      <c r="F1134" s="9">
        <v>1826</v>
      </c>
      <c r="G1134" s="1" t="s">
        <v>7317</v>
      </c>
      <c r="H1134" s="1">
        <f>SUMIF([1]Sheet1!$G:$G,A1134,[1]Sheet1!$O:$O)</f>
        <v>1826</v>
      </c>
      <c r="I1134" s="21">
        <f t="shared" si="17"/>
        <v>0</v>
      </c>
    </row>
    <row r="1135" spans="1:9" x14ac:dyDescent="0.25">
      <c r="A1135" s="18" t="s">
        <v>7076</v>
      </c>
      <c r="B1135" s="4" t="s">
        <v>2657</v>
      </c>
      <c r="C1135" s="4" t="s">
        <v>1266</v>
      </c>
      <c r="D1135" s="4" t="s">
        <v>3289</v>
      </c>
      <c r="E1135" s="9">
        <v>140</v>
      </c>
      <c r="F1135" s="9">
        <v>1330</v>
      </c>
      <c r="G1135" s="1" t="s">
        <v>7077</v>
      </c>
      <c r="H1135" s="1">
        <f>SUMIF([1]Sheet1!$G:$G,A1135,[1]Sheet1!$O:$O)</f>
        <v>1330</v>
      </c>
      <c r="I1135" s="21">
        <f t="shared" si="17"/>
        <v>0</v>
      </c>
    </row>
    <row r="1136" spans="1:9" x14ac:dyDescent="0.25">
      <c r="A1136" s="18" t="s">
        <v>7063</v>
      </c>
      <c r="B1136" s="4" t="s">
        <v>2658</v>
      </c>
      <c r="C1136" s="4" t="s">
        <v>1267</v>
      </c>
      <c r="D1136" s="4" t="s">
        <v>3289</v>
      </c>
      <c r="E1136" s="9">
        <v>1700</v>
      </c>
      <c r="F1136" s="9">
        <v>16949</v>
      </c>
      <c r="G1136" s="1" t="s">
        <v>7064</v>
      </c>
      <c r="H1136" s="1">
        <f>SUMIF([1]Sheet1!$G:$G,A1136,[1]Sheet1!$O:$O)</f>
        <v>16949</v>
      </c>
      <c r="I1136" s="21">
        <f t="shared" si="17"/>
        <v>0</v>
      </c>
    </row>
    <row r="1137" spans="1:9" x14ac:dyDescent="0.25">
      <c r="A1137" s="18" t="s">
        <v>9034</v>
      </c>
      <c r="B1137" s="4" t="s">
        <v>2659</v>
      </c>
      <c r="C1137" s="4" t="s">
        <v>1268</v>
      </c>
      <c r="D1137" s="4" t="s">
        <v>3290</v>
      </c>
      <c r="E1137" s="9">
        <v>33.883030303030303</v>
      </c>
      <c r="F1137" s="9">
        <v>1118.1400000000001</v>
      </c>
      <c r="G1137" s="1" t="s">
        <v>9035</v>
      </c>
      <c r="H1137" s="1">
        <f>SUMIF([1]Sheet1!$G:$G,A1137,[1]Sheet1!$O:$O)</f>
        <v>1118.1400000000001</v>
      </c>
      <c r="I1137" s="21">
        <f t="shared" si="17"/>
        <v>0</v>
      </c>
    </row>
    <row r="1138" spans="1:9" x14ac:dyDescent="0.25">
      <c r="A1138" s="18" t="s">
        <v>7039</v>
      </c>
      <c r="B1138" s="4" t="s">
        <v>2660</v>
      </c>
      <c r="C1138" s="4" t="s">
        <v>1269</v>
      </c>
      <c r="D1138" s="4" t="s">
        <v>3289</v>
      </c>
      <c r="E1138" s="9">
        <v>45</v>
      </c>
      <c r="F1138" s="9">
        <v>1665</v>
      </c>
      <c r="G1138" s="1" t="s">
        <v>7040</v>
      </c>
      <c r="H1138" s="1">
        <f>SUMIF([1]Sheet1!$G:$G,A1138,[1]Sheet1!$O:$O)</f>
        <v>1665</v>
      </c>
      <c r="I1138" s="21">
        <f t="shared" si="17"/>
        <v>0</v>
      </c>
    </row>
    <row r="1139" spans="1:9" x14ac:dyDescent="0.25">
      <c r="A1139" s="18" t="s">
        <v>7035</v>
      </c>
      <c r="B1139" s="4" t="s">
        <v>2661</v>
      </c>
      <c r="C1139" s="4" t="s">
        <v>1270</v>
      </c>
      <c r="D1139" s="4" t="s">
        <v>3289</v>
      </c>
      <c r="E1139" s="9">
        <v>16</v>
      </c>
      <c r="F1139" s="9">
        <v>160</v>
      </c>
      <c r="G1139" s="1" t="s">
        <v>7036</v>
      </c>
      <c r="H1139" s="1">
        <f>SUMIF([1]Sheet1!$G:$G,A1139,[1]Sheet1!$O:$O)</f>
        <v>160</v>
      </c>
      <c r="I1139" s="21">
        <f t="shared" si="17"/>
        <v>0</v>
      </c>
    </row>
    <row r="1140" spans="1:9" x14ac:dyDescent="0.25">
      <c r="A1140" s="18" t="s">
        <v>7619</v>
      </c>
      <c r="B1140" s="4" t="s">
        <v>2662</v>
      </c>
      <c r="C1140" s="4" t="s">
        <v>1271</v>
      </c>
      <c r="D1140" s="4" t="s">
        <v>3290</v>
      </c>
      <c r="E1140" s="9">
        <v>72</v>
      </c>
      <c r="F1140" s="9">
        <v>3528</v>
      </c>
      <c r="G1140" s="1" t="s">
        <v>7620</v>
      </c>
      <c r="H1140" s="1">
        <f>SUMIF([1]Sheet1!$G:$G,A1140,[1]Sheet1!$O:$O)</f>
        <v>3528</v>
      </c>
      <c r="I1140" s="21">
        <f t="shared" si="17"/>
        <v>0</v>
      </c>
    </row>
    <row r="1141" spans="1:9" x14ac:dyDescent="0.25">
      <c r="A1141" s="18" t="s">
        <v>7519</v>
      </c>
      <c r="B1141" s="4" t="s">
        <v>2663</v>
      </c>
      <c r="C1141" s="4" t="s">
        <v>1272</v>
      </c>
      <c r="D1141" s="4" t="s">
        <v>3289</v>
      </c>
      <c r="E1141" s="9">
        <v>76</v>
      </c>
      <c r="F1141" s="9">
        <v>380</v>
      </c>
      <c r="G1141" s="1" t="s">
        <v>7520</v>
      </c>
      <c r="H1141" s="1">
        <f>SUMIF([1]Sheet1!$G:$G,A1141,[1]Sheet1!$O:$O)</f>
        <v>380</v>
      </c>
      <c r="I1141" s="21">
        <f t="shared" si="17"/>
        <v>0</v>
      </c>
    </row>
    <row r="1142" spans="1:9" x14ac:dyDescent="0.25">
      <c r="A1142" s="18" t="s">
        <v>11134</v>
      </c>
      <c r="B1142" s="4" t="s">
        <v>2664</v>
      </c>
      <c r="C1142" s="4" t="s">
        <v>1273</v>
      </c>
      <c r="D1142" s="4" t="s">
        <v>3290</v>
      </c>
      <c r="E1142" s="9">
        <v>36</v>
      </c>
      <c r="F1142" s="9">
        <v>108</v>
      </c>
      <c r="G1142" s="1" t="s">
        <v>11135</v>
      </c>
      <c r="H1142" s="1">
        <f>SUMIF([1]Sheet1!$G:$G,A1142,[1]Sheet1!$O:$O)</f>
        <v>108</v>
      </c>
      <c r="I1142" s="21">
        <f t="shared" si="17"/>
        <v>0</v>
      </c>
    </row>
    <row r="1143" spans="1:9" x14ac:dyDescent="0.25">
      <c r="A1143" s="18" t="s">
        <v>6515</v>
      </c>
      <c r="B1143" s="4" t="s">
        <v>2665</v>
      </c>
      <c r="C1143" s="4" t="s">
        <v>1274</v>
      </c>
      <c r="D1143" s="4" t="s">
        <v>3289</v>
      </c>
      <c r="E1143" s="9">
        <v>11.693333333333333</v>
      </c>
      <c r="F1143" s="9">
        <v>35.08</v>
      </c>
      <c r="G1143" s="1" t="s">
        <v>6516</v>
      </c>
      <c r="H1143" s="1">
        <f>SUMIF([1]Sheet1!$G:$G,A1143,[1]Sheet1!$O:$O)</f>
        <v>35.08</v>
      </c>
      <c r="I1143" s="21">
        <f t="shared" si="17"/>
        <v>0</v>
      </c>
    </row>
    <row r="1144" spans="1:9" x14ac:dyDescent="0.25">
      <c r="A1144" s="18" t="s">
        <v>7486</v>
      </c>
      <c r="B1144" s="4" t="s">
        <v>2666</v>
      </c>
      <c r="C1144" s="4" t="s">
        <v>1275</v>
      </c>
      <c r="D1144" s="4" t="s">
        <v>3289</v>
      </c>
      <c r="E1144" s="9">
        <v>97.930716704602219</v>
      </c>
      <c r="F1144" s="9">
        <v>17640.259999999998</v>
      </c>
      <c r="G1144" s="1" t="s">
        <v>7487</v>
      </c>
      <c r="H1144" s="1">
        <f>SUMIF([1]Sheet1!$G:$G,A1144,[1]Sheet1!$O:$O)</f>
        <v>17640.259999999998</v>
      </c>
      <c r="I1144" s="21">
        <f t="shared" si="17"/>
        <v>0</v>
      </c>
    </row>
    <row r="1145" spans="1:9" x14ac:dyDescent="0.25">
      <c r="A1145" s="18" t="s">
        <v>11103</v>
      </c>
      <c r="B1145" s="4" t="s">
        <v>2667</v>
      </c>
      <c r="C1145" s="4" t="s">
        <v>1276</v>
      </c>
      <c r="D1145" s="4" t="s">
        <v>3289</v>
      </c>
      <c r="E1145" s="9">
        <v>42.020143884892086</v>
      </c>
      <c r="F1145" s="9">
        <v>292.04000000000002</v>
      </c>
      <c r="G1145" s="1" t="s">
        <v>11104</v>
      </c>
      <c r="H1145" s="1">
        <f>SUMIF([1]Sheet1!$G:$G,A1145,[1]Sheet1!$O:$O)</f>
        <v>292.04000000000002</v>
      </c>
      <c r="I1145" s="21">
        <f t="shared" si="17"/>
        <v>0</v>
      </c>
    </row>
    <row r="1146" spans="1:9" x14ac:dyDescent="0.25">
      <c r="A1146" s="18" t="s">
        <v>8825</v>
      </c>
      <c r="B1146" s="4" t="s">
        <v>2668</v>
      </c>
      <c r="C1146" s="4" t="s">
        <v>1277</v>
      </c>
      <c r="D1146" s="4" t="s">
        <v>3290</v>
      </c>
      <c r="E1146" s="9">
        <v>317.69928571428574</v>
      </c>
      <c r="F1146" s="9">
        <v>4447.79</v>
      </c>
      <c r="G1146" s="1" t="s">
        <v>8826</v>
      </c>
      <c r="H1146" s="1">
        <f>SUMIF([1]Sheet1!$G:$G,A1146,[1]Sheet1!$O:$O)</f>
        <v>4447.79</v>
      </c>
      <c r="I1146" s="21">
        <f t="shared" si="17"/>
        <v>0</v>
      </c>
    </row>
    <row r="1147" spans="1:9" x14ac:dyDescent="0.25">
      <c r="A1147" s="18" t="s">
        <v>7296</v>
      </c>
      <c r="B1147" s="4" t="s">
        <v>2669</v>
      </c>
      <c r="C1147" s="4" t="s">
        <v>1278</v>
      </c>
      <c r="D1147" s="4" t="s">
        <v>3289</v>
      </c>
      <c r="E1147" s="9">
        <v>547.26177777777775</v>
      </c>
      <c r="F1147" s="9">
        <v>12313.39</v>
      </c>
      <c r="G1147" s="1" t="s">
        <v>7297</v>
      </c>
      <c r="H1147" s="1">
        <f>SUMIF([1]Sheet1!$G:$G,A1147,[1]Sheet1!$O:$O)</f>
        <v>12313.39</v>
      </c>
      <c r="I1147" s="21">
        <f t="shared" si="17"/>
        <v>0</v>
      </c>
    </row>
    <row r="1148" spans="1:9" x14ac:dyDescent="0.25">
      <c r="A1148" s="18" t="s">
        <v>10361</v>
      </c>
      <c r="B1148" s="4" t="s">
        <v>2670</v>
      </c>
      <c r="C1148" s="4" t="s">
        <v>1279</v>
      </c>
      <c r="D1148" s="4" t="s">
        <v>3295</v>
      </c>
      <c r="E1148" s="9">
        <v>133.89846153846153</v>
      </c>
      <c r="F1148" s="9">
        <v>1740.6799999999998</v>
      </c>
      <c r="G1148" s="1" t="s">
        <v>10362</v>
      </c>
      <c r="H1148" s="1">
        <f>SUMIF([1]Sheet1!$G:$G,A1148,[1]Sheet1!$O:$O)</f>
        <v>1740.68</v>
      </c>
      <c r="I1148" s="21">
        <f t="shared" si="17"/>
        <v>0</v>
      </c>
    </row>
    <row r="1149" spans="1:9" x14ac:dyDescent="0.25">
      <c r="A1149" s="18" t="s">
        <v>4000</v>
      </c>
      <c r="B1149" s="4" t="s">
        <v>2671</v>
      </c>
      <c r="C1149" s="4" t="s">
        <v>1280</v>
      </c>
      <c r="D1149" s="4" t="s">
        <v>3290</v>
      </c>
      <c r="E1149" s="10">
        <v>604.63</v>
      </c>
      <c r="F1149" s="9">
        <v>604.63</v>
      </c>
      <c r="G1149" s="1" t="s">
        <v>4003</v>
      </c>
      <c r="H1149" s="1">
        <f>SUMIF([1]Sheet1!$G:$G,A1149,[1]Sheet1!$O:$O)</f>
        <v>604.63</v>
      </c>
      <c r="I1149" s="21">
        <f t="shared" si="17"/>
        <v>0</v>
      </c>
    </row>
    <row r="1150" spans="1:9" x14ac:dyDescent="0.25">
      <c r="A1150" s="18" t="s">
        <v>7300</v>
      </c>
      <c r="B1150" s="4" t="s">
        <v>2672</v>
      </c>
      <c r="C1150" s="4" t="s">
        <v>1281</v>
      </c>
      <c r="D1150" s="4" t="s">
        <v>3289</v>
      </c>
      <c r="E1150" s="9">
        <v>2170</v>
      </c>
      <c r="F1150" s="9">
        <v>26040</v>
      </c>
      <c r="G1150" s="1" t="s">
        <v>7302</v>
      </c>
      <c r="H1150" s="1">
        <f>SUMIF([1]Sheet1!$G:$G,A1150,[1]Sheet1!$O:$O)</f>
        <v>26040</v>
      </c>
      <c r="I1150" s="21">
        <f t="shared" si="17"/>
        <v>0</v>
      </c>
    </row>
    <row r="1151" spans="1:9" x14ac:dyDescent="0.25">
      <c r="A1151" s="18" t="s">
        <v>7459</v>
      </c>
      <c r="B1151" s="4" t="s">
        <v>2673</v>
      </c>
      <c r="C1151" s="4" t="s">
        <v>1282</v>
      </c>
      <c r="D1151" s="4" t="s">
        <v>3289</v>
      </c>
      <c r="E1151" s="9">
        <v>1214.2908108108109</v>
      </c>
      <c r="F1151" s="9">
        <v>44928.76</v>
      </c>
      <c r="G1151" s="1" t="s">
        <v>7462</v>
      </c>
      <c r="H1151" s="1">
        <f>SUMIF([1]Sheet1!$G:$G,A1151,[1]Sheet1!$O:$O)</f>
        <v>44928.76</v>
      </c>
      <c r="I1151" s="21">
        <f t="shared" si="17"/>
        <v>0</v>
      </c>
    </row>
    <row r="1152" spans="1:9" x14ac:dyDescent="0.25">
      <c r="A1152" s="18" t="s">
        <v>6749</v>
      </c>
      <c r="B1152" s="4" t="s">
        <v>2674</v>
      </c>
      <c r="C1152" s="4" t="s">
        <v>1283</v>
      </c>
      <c r="D1152" s="4" t="s">
        <v>3291</v>
      </c>
      <c r="E1152" s="9">
        <v>3.5527692307692309</v>
      </c>
      <c r="F1152" s="9">
        <v>230.93</v>
      </c>
      <c r="G1152" s="1" t="s">
        <v>6750</v>
      </c>
      <c r="H1152" s="1">
        <f>SUMIF([1]Sheet1!$G:$G,A1152,[1]Sheet1!$O:$O)</f>
        <v>230.93</v>
      </c>
      <c r="I1152" s="21">
        <f t="shared" si="17"/>
        <v>0</v>
      </c>
    </row>
    <row r="1153" spans="1:9" x14ac:dyDescent="0.25">
      <c r="A1153" s="18" t="s">
        <v>6942</v>
      </c>
      <c r="B1153" s="4" t="s">
        <v>2675</v>
      </c>
      <c r="C1153" s="4" t="s">
        <v>1284</v>
      </c>
      <c r="D1153" s="4" t="s">
        <v>3290</v>
      </c>
      <c r="E1153" s="9">
        <v>122.88124999999999</v>
      </c>
      <c r="F1153" s="9">
        <v>983.05</v>
      </c>
      <c r="G1153" s="1" t="s">
        <v>6943</v>
      </c>
      <c r="H1153" s="1">
        <f>SUMIF([1]Sheet1!$G:$G,A1153,[1]Sheet1!$O:$O)</f>
        <v>983.05</v>
      </c>
      <c r="I1153" s="21">
        <f t="shared" si="17"/>
        <v>0</v>
      </c>
    </row>
    <row r="1154" spans="1:9" x14ac:dyDescent="0.25">
      <c r="A1154" s="18" t="s">
        <v>10392</v>
      </c>
      <c r="B1154" s="4" t="s">
        <v>2676</v>
      </c>
      <c r="C1154" s="4" t="s">
        <v>1285</v>
      </c>
      <c r="D1154" s="4" t="s">
        <v>3289</v>
      </c>
      <c r="E1154" s="9">
        <v>5.5790833333333332</v>
      </c>
      <c r="F1154" s="9">
        <v>669.49</v>
      </c>
      <c r="G1154" s="1" t="s">
        <v>10393</v>
      </c>
      <c r="H1154" s="1">
        <f>SUMIF([1]Sheet1!$G:$G,A1154,[1]Sheet1!$O:$O)</f>
        <v>669.49</v>
      </c>
      <c r="I1154" s="21">
        <f t="shared" si="17"/>
        <v>0</v>
      </c>
    </row>
    <row r="1155" spans="1:9" x14ac:dyDescent="0.25">
      <c r="A1155" s="18" t="s">
        <v>5879</v>
      </c>
      <c r="B1155" s="4" t="s">
        <v>2677</v>
      </c>
      <c r="C1155" s="4" t="s">
        <v>1286</v>
      </c>
      <c r="D1155" s="4" t="s">
        <v>3291</v>
      </c>
      <c r="E1155" s="9">
        <v>16.297235576923079</v>
      </c>
      <c r="F1155" s="9">
        <v>1355.9300000000003</v>
      </c>
      <c r="G1155" s="1" t="s">
        <v>5880</v>
      </c>
      <c r="H1155" s="1">
        <f>SUMIF([1]Sheet1!$G:$G,A1155,[1]Sheet1!$O:$O)</f>
        <v>1355.93</v>
      </c>
      <c r="I1155" s="21">
        <f t="shared" ref="I1155:I1218" si="18">F1155-H1155</f>
        <v>0</v>
      </c>
    </row>
    <row r="1156" spans="1:9" x14ac:dyDescent="0.25">
      <c r="A1156" s="18" t="s">
        <v>11061</v>
      </c>
      <c r="B1156" s="4" t="s">
        <v>2678</v>
      </c>
      <c r="C1156" s="4" t="s">
        <v>1287</v>
      </c>
      <c r="D1156" s="4" t="s">
        <v>3290</v>
      </c>
      <c r="E1156" s="9">
        <v>45.455600000000004</v>
      </c>
      <c r="F1156" s="9">
        <v>1136.3900000000001</v>
      </c>
      <c r="G1156" s="1" t="s">
        <v>11062</v>
      </c>
      <c r="H1156" s="1">
        <f>SUMIF([1]Sheet1!$G:$G,A1156,[1]Sheet1!$O:$O)</f>
        <v>1136.3900000000001</v>
      </c>
      <c r="I1156" s="21">
        <f t="shared" si="18"/>
        <v>0</v>
      </c>
    </row>
    <row r="1157" spans="1:9" x14ac:dyDescent="0.25">
      <c r="A1157" s="18" t="s">
        <v>6323</v>
      </c>
      <c r="B1157" s="4" t="s">
        <v>2679</v>
      </c>
      <c r="C1157" s="4" t="s">
        <v>1288</v>
      </c>
      <c r="D1157" s="4" t="s">
        <v>3290</v>
      </c>
      <c r="E1157" s="9">
        <v>18.643333333333334</v>
      </c>
      <c r="F1157" s="9">
        <v>111.86000000000001</v>
      </c>
      <c r="G1157" s="1" t="s">
        <v>6324</v>
      </c>
      <c r="H1157" s="1">
        <f>SUMIF([1]Sheet1!$G:$G,A1157,[1]Sheet1!$O:$O)</f>
        <v>111.86</v>
      </c>
      <c r="I1157" s="21">
        <f t="shared" si="18"/>
        <v>0</v>
      </c>
    </row>
    <row r="1158" spans="1:9" x14ac:dyDescent="0.25">
      <c r="A1158" s="18" t="s">
        <v>11052</v>
      </c>
      <c r="B1158" s="4" t="s">
        <v>2680</v>
      </c>
      <c r="C1158" s="4" t="s">
        <v>1289</v>
      </c>
      <c r="D1158" s="4" t="s">
        <v>3290</v>
      </c>
      <c r="E1158" s="9">
        <v>37.03</v>
      </c>
      <c r="F1158" s="9">
        <v>74.06</v>
      </c>
      <c r="G1158" s="1" t="s">
        <v>11053</v>
      </c>
      <c r="H1158" s="1">
        <f>SUMIF([1]Sheet1!$G:$G,A1158,[1]Sheet1!$O:$O)</f>
        <v>74.06</v>
      </c>
      <c r="I1158" s="21">
        <f t="shared" si="18"/>
        <v>0</v>
      </c>
    </row>
    <row r="1159" spans="1:9" x14ac:dyDescent="0.25">
      <c r="A1159" s="18" t="s">
        <v>6284</v>
      </c>
      <c r="B1159" s="4" t="s">
        <v>2681</v>
      </c>
      <c r="C1159" s="4" t="s">
        <v>1290</v>
      </c>
      <c r="D1159" s="4" t="s">
        <v>3290</v>
      </c>
      <c r="E1159" s="9">
        <v>14.641282051282051</v>
      </c>
      <c r="F1159" s="9">
        <v>571.01</v>
      </c>
      <c r="G1159" s="1" t="s">
        <v>6285</v>
      </c>
      <c r="H1159" s="1">
        <f>SUMIF([1]Sheet1!$G:$G,A1159,[1]Sheet1!$O:$O)</f>
        <v>571.01</v>
      </c>
      <c r="I1159" s="21">
        <f t="shared" si="18"/>
        <v>0</v>
      </c>
    </row>
    <row r="1160" spans="1:9" x14ac:dyDescent="0.25">
      <c r="A1160" s="18" t="s">
        <v>6288</v>
      </c>
      <c r="B1160" s="4" t="s">
        <v>2682</v>
      </c>
      <c r="C1160" s="4" t="s">
        <v>1291</v>
      </c>
      <c r="D1160" s="4" t="s">
        <v>3290</v>
      </c>
      <c r="E1160" s="9">
        <v>37.269999999999996</v>
      </c>
      <c r="F1160" s="9">
        <v>186.34999999999997</v>
      </c>
      <c r="G1160" s="1" t="s">
        <v>6289</v>
      </c>
      <c r="H1160" s="1">
        <f>SUMIF([1]Sheet1!$G:$G,A1160,[1]Sheet1!$O:$O)</f>
        <v>186.35</v>
      </c>
      <c r="I1160" s="21">
        <f t="shared" si="18"/>
        <v>0</v>
      </c>
    </row>
    <row r="1161" spans="1:9" x14ac:dyDescent="0.25">
      <c r="A1161" s="18" t="s">
        <v>6816</v>
      </c>
      <c r="B1161" s="4" t="s">
        <v>2683</v>
      </c>
      <c r="C1161" s="4" t="s">
        <v>1292</v>
      </c>
      <c r="D1161" s="4" t="s">
        <v>3290</v>
      </c>
      <c r="E1161" s="9">
        <v>27.768000000000001</v>
      </c>
      <c r="F1161" s="9">
        <v>3887.52</v>
      </c>
      <c r="G1161" s="1" t="s">
        <v>6817</v>
      </c>
      <c r="H1161" s="1">
        <f>SUMIF([1]Sheet1!$G:$G,A1161,[1]Sheet1!$O:$O)</f>
        <v>3887.52</v>
      </c>
      <c r="I1161" s="21">
        <f t="shared" si="18"/>
        <v>0</v>
      </c>
    </row>
    <row r="1162" spans="1:9" x14ac:dyDescent="0.25">
      <c r="A1162" s="18" t="s">
        <v>8466</v>
      </c>
      <c r="B1162" s="4" t="s">
        <v>2684</v>
      </c>
      <c r="C1162" s="4" t="s">
        <v>1293</v>
      </c>
      <c r="D1162" s="4" t="s">
        <v>3290</v>
      </c>
      <c r="E1162" s="9">
        <v>15.255000000000001</v>
      </c>
      <c r="F1162" s="9">
        <v>30.51</v>
      </c>
      <c r="G1162" s="1" t="s">
        <v>8467</v>
      </c>
      <c r="H1162" s="1">
        <f>SUMIF([1]Sheet1!$G:$G,A1162,[1]Sheet1!$O:$O)</f>
        <v>30.51</v>
      </c>
      <c r="I1162" s="21">
        <f t="shared" si="18"/>
        <v>0</v>
      </c>
    </row>
    <row r="1163" spans="1:9" x14ac:dyDescent="0.25">
      <c r="A1163" s="18" t="s">
        <v>8335</v>
      </c>
      <c r="B1163" s="4" t="s">
        <v>2685</v>
      </c>
      <c r="C1163" s="4" t="s">
        <v>1294</v>
      </c>
      <c r="D1163" s="4" t="s">
        <v>3290</v>
      </c>
      <c r="E1163" s="9">
        <v>12645.87</v>
      </c>
      <c r="F1163" s="9">
        <v>75875.22</v>
      </c>
      <c r="G1163" s="1" t="s">
        <v>8336</v>
      </c>
      <c r="H1163" s="1">
        <f>SUMIF([1]Sheet1!$G:$G,A1163,[1]Sheet1!$O:$O)</f>
        <v>75875.22</v>
      </c>
      <c r="I1163" s="21">
        <f t="shared" si="18"/>
        <v>0</v>
      </c>
    </row>
    <row r="1164" spans="1:9" x14ac:dyDescent="0.25">
      <c r="A1164" s="18" t="s">
        <v>5590</v>
      </c>
      <c r="B1164" s="4" t="s">
        <v>2686</v>
      </c>
      <c r="C1164" s="4" t="s">
        <v>1295</v>
      </c>
      <c r="D1164" s="4" t="s">
        <v>3290</v>
      </c>
      <c r="E1164" s="9">
        <v>6.5625</v>
      </c>
      <c r="F1164" s="9">
        <v>52.5</v>
      </c>
      <c r="G1164" s="1" t="s">
        <v>5591</v>
      </c>
      <c r="H1164" s="1">
        <f>SUMIF([1]Sheet1!$G:$G,A1164,[1]Sheet1!$O:$O)</f>
        <v>52.5</v>
      </c>
      <c r="I1164" s="21">
        <f t="shared" si="18"/>
        <v>0</v>
      </c>
    </row>
    <row r="1165" spans="1:9" x14ac:dyDescent="0.25">
      <c r="A1165" s="18" t="s">
        <v>5582</v>
      </c>
      <c r="B1165" s="4" t="s">
        <v>2687</v>
      </c>
      <c r="C1165" s="4" t="s">
        <v>1296</v>
      </c>
      <c r="D1165" s="4" t="s">
        <v>3290</v>
      </c>
      <c r="E1165" s="9">
        <v>5.9320000000000004</v>
      </c>
      <c r="F1165" s="9">
        <v>29.660000000000004</v>
      </c>
      <c r="G1165" s="1" t="s">
        <v>5585</v>
      </c>
      <c r="H1165" s="1">
        <f>SUMIF([1]Sheet1!$G:$G,A1165,[1]Sheet1!$O:$O)</f>
        <v>29.66</v>
      </c>
      <c r="I1165" s="21">
        <f t="shared" si="18"/>
        <v>0</v>
      </c>
    </row>
    <row r="1166" spans="1:9" x14ac:dyDescent="0.25">
      <c r="A1166" s="18" t="s">
        <v>11685</v>
      </c>
      <c r="B1166" s="4" t="s">
        <v>2688</v>
      </c>
      <c r="C1166" s="4" t="s">
        <v>1297</v>
      </c>
      <c r="D1166" s="4" t="s">
        <v>3290</v>
      </c>
      <c r="E1166" s="9">
        <v>211.635625</v>
      </c>
      <c r="F1166" s="9">
        <v>3386.17</v>
      </c>
      <c r="G1166" s="1" t="s">
        <v>11686</v>
      </c>
      <c r="H1166" s="1">
        <f>SUMIF([1]Sheet1!$G:$G,A1166,[1]Sheet1!$O:$O)</f>
        <v>3386.17</v>
      </c>
      <c r="I1166" s="21">
        <f t="shared" si="18"/>
        <v>0</v>
      </c>
    </row>
    <row r="1167" spans="1:9" x14ac:dyDescent="0.25">
      <c r="A1167" s="18" t="s">
        <v>11689</v>
      </c>
      <c r="B1167" s="4" t="s">
        <v>2689</v>
      </c>
      <c r="C1167" s="4" t="s">
        <v>1298</v>
      </c>
      <c r="D1167" s="4" t="s">
        <v>3290</v>
      </c>
      <c r="E1167" s="9">
        <v>565.55142857142857</v>
      </c>
      <c r="F1167" s="9">
        <v>11876.58</v>
      </c>
      <c r="G1167" s="1" t="s">
        <v>11690</v>
      </c>
      <c r="H1167" s="1">
        <f>SUMIF([1]Sheet1!$G:$G,A1167,[1]Sheet1!$O:$O)</f>
        <v>11876.58</v>
      </c>
      <c r="I1167" s="21">
        <f t="shared" si="18"/>
        <v>0</v>
      </c>
    </row>
    <row r="1168" spans="1:9" x14ac:dyDescent="0.25">
      <c r="A1168" s="18" t="s">
        <v>11695</v>
      </c>
      <c r="B1168" s="4" t="s">
        <v>2690</v>
      </c>
      <c r="C1168" s="4" t="s">
        <v>1299</v>
      </c>
      <c r="D1168" s="4" t="s">
        <v>3290</v>
      </c>
      <c r="E1168" s="9">
        <v>1783.6959999999999</v>
      </c>
      <c r="F1168" s="9">
        <v>35673.919999999998</v>
      </c>
      <c r="G1168" s="1" t="s">
        <v>11696</v>
      </c>
      <c r="H1168" s="1">
        <f>SUMIF([1]Sheet1!$G:$G,A1168,[1]Sheet1!$O:$O)</f>
        <v>35673.919999999998</v>
      </c>
      <c r="I1168" s="21">
        <f t="shared" si="18"/>
        <v>0</v>
      </c>
    </row>
    <row r="1169" spans="1:9" x14ac:dyDescent="0.25">
      <c r="A1169" s="18" t="s">
        <v>11526</v>
      </c>
      <c r="B1169" s="4" t="s">
        <v>2691</v>
      </c>
      <c r="C1169" s="4" t="s">
        <v>1300</v>
      </c>
      <c r="D1169" s="4" t="s">
        <v>3290</v>
      </c>
      <c r="E1169" s="9">
        <v>0.72031818181818186</v>
      </c>
      <c r="F1169" s="9">
        <v>158.47</v>
      </c>
      <c r="G1169" s="1" t="s">
        <v>11527</v>
      </c>
      <c r="H1169" s="1">
        <f>SUMIF([1]Sheet1!$G:$G,A1169,[1]Sheet1!$O:$O)</f>
        <v>158.47</v>
      </c>
      <c r="I1169" s="21">
        <f t="shared" si="18"/>
        <v>0</v>
      </c>
    </row>
    <row r="1170" spans="1:9" x14ac:dyDescent="0.25">
      <c r="A1170" s="18" t="s">
        <v>11599</v>
      </c>
      <c r="B1170" s="4" t="s">
        <v>2692</v>
      </c>
      <c r="C1170" s="4" t="s">
        <v>1301</v>
      </c>
      <c r="D1170" s="4" t="s">
        <v>3290</v>
      </c>
      <c r="E1170" s="9">
        <v>1.91</v>
      </c>
      <c r="F1170" s="9">
        <v>1.91</v>
      </c>
      <c r="G1170" s="1" t="s">
        <v>11600</v>
      </c>
      <c r="H1170" s="1">
        <f>SUMIF([1]Sheet1!$G:$G,A1170,[1]Sheet1!$O:$O)</f>
        <v>1.91</v>
      </c>
      <c r="I1170" s="21">
        <f t="shared" si="18"/>
        <v>0</v>
      </c>
    </row>
    <row r="1171" spans="1:9" x14ac:dyDescent="0.25">
      <c r="A1171" s="18" t="s">
        <v>11511</v>
      </c>
      <c r="B1171" s="4" t="s">
        <v>2693</v>
      </c>
      <c r="C1171" s="4" t="s">
        <v>1302</v>
      </c>
      <c r="D1171" s="4" t="s">
        <v>3290</v>
      </c>
      <c r="E1171" s="9">
        <v>0.68838461538461537</v>
      </c>
      <c r="F1171" s="9">
        <v>89.49</v>
      </c>
      <c r="G1171" s="1" t="s">
        <v>11512</v>
      </c>
      <c r="H1171" s="1">
        <f>SUMIF([1]Sheet1!$G:$G,A1171,[1]Sheet1!$O:$O)</f>
        <v>89.49</v>
      </c>
      <c r="I1171" s="21">
        <f t="shared" si="18"/>
        <v>0</v>
      </c>
    </row>
    <row r="1172" spans="1:9" x14ac:dyDescent="0.25">
      <c r="A1172" s="18" t="s">
        <v>10323</v>
      </c>
      <c r="B1172" s="4" t="s">
        <v>2694</v>
      </c>
      <c r="C1172" s="4" t="s">
        <v>1303</v>
      </c>
      <c r="D1172" s="4" t="s">
        <v>3290</v>
      </c>
      <c r="E1172" s="9">
        <v>6.4624999999999995</v>
      </c>
      <c r="F1172" s="9">
        <v>77.55</v>
      </c>
      <c r="G1172" s="1" t="s">
        <v>10324</v>
      </c>
      <c r="H1172" s="1">
        <f>SUMIF([1]Sheet1!$G:$G,A1172,[1]Sheet1!$O:$O)</f>
        <v>77.55</v>
      </c>
      <c r="I1172" s="21">
        <f t="shared" si="18"/>
        <v>0</v>
      </c>
    </row>
    <row r="1173" spans="1:9" x14ac:dyDescent="0.25">
      <c r="A1173" s="18" t="s">
        <v>4237</v>
      </c>
      <c r="B1173" s="4" t="s">
        <v>2695</v>
      </c>
      <c r="C1173" s="4" t="s">
        <v>1304</v>
      </c>
      <c r="D1173" s="4" t="s">
        <v>3290</v>
      </c>
      <c r="E1173" s="9">
        <v>11.625</v>
      </c>
      <c r="F1173" s="9">
        <v>46.5</v>
      </c>
      <c r="G1173" s="1" t="s">
        <v>4238</v>
      </c>
      <c r="H1173" s="1">
        <f>SUMIF([1]Sheet1!$G:$G,A1173,[1]Sheet1!$O:$O)</f>
        <v>46.5</v>
      </c>
      <c r="I1173" s="21">
        <f t="shared" si="18"/>
        <v>0</v>
      </c>
    </row>
    <row r="1174" spans="1:9" x14ac:dyDescent="0.25">
      <c r="A1174" s="18" t="s">
        <v>4129</v>
      </c>
      <c r="B1174" s="4" t="s">
        <v>2696</v>
      </c>
      <c r="C1174" s="4" t="s">
        <v>1305</v>
      </c>
      <c r="D1174" s="4" t="s">
        <v>3290</v>
      </c>
      <c r="E1174" s="9">
        <v>1.94875</v>
      </c>
      <c r="F1174" s="9">
        <v>31.18</v>
      </c>
      <c r="G1174" s="1" t="s">
        <v>4130</v>
      </c>
      <c r="H1174" s="1">
        <f>SUMIF([1]Sheet1!$G:$G,A1174,[1]Sheet1!$O:$O)</f>
        <v>31.18</v>
      </c>
      <c r="I1174" s="21">
        <f t="shared" si="18"/>
        <v>0</v>
      </c>
    </row>
    <row r="1175" spans="1:9" x14ac:dyDescent="0.25">
      <c r="A1175" s="18" t="s">
        <v>11101</v>
      </c>
      <c r="B1175" s="4" t="s">
        <v>2697</v>
      </c>
      <c r="C1175" s="4" t="s">
        <v>1306</v>
      </c>
      <c r="D1175" s="4" t="s">
        <v>3289</v>
      </c>
      <c r="E1175" s="9">
        <v>19.770248596631916</v>
      </c>
      <c r="F1175" s="9">
        <v>493.07</v>
      </c>
      <c r="G1175" s="1" t="s">
        <v>11102</v>
      </c>
      <c r="H1175" s="1">
        <f>SUMIF([1]Sheet1!$G:$G,A1175,[1]Sheet1!$O:$O)</f>
        <v>493.07</v>
      </c>
      <c r="I1175" s="21">
        <f t="shared" si="18"/>
        <v>0</v>
      </c>
    </row>
    <row r="1176" spans="1:9" x14ac:dyDescent="0.25">
      <c r="A1176" s="18" t="s">
        <v>8863</v>
      </c>
      <c r="B1176" s="4" t="s">
        <v>2698</v>
      </c>
      <c r="C1176" s="4" t="s">
        <v>1307</v>
      </c>
      <c r="D1176" s="4" t="s">
        <v>3290</v>
      </c>
      <c r="E1176" s="9">
        <v>88.984999999999999</v>
      </c>
      <c r="F1176" s="9">
        <v>177.97</v>
      </c>
      <c r="G1176" s="1" t="s">
        <v>8864</v>
      </c>
      <c r="H1176" s="1">
        <f>SUMIF([1]Sheet1!$G:$G,A1176,[1]Sheet1!$O:$O)</f>
        <v>177.97</v>
      </c>
      <c r="I1176" s="21">
        <f t="shared" si="18"/>
        <v>0</v>
      </c>
    </row>
    <row r="1177" spans="1:9" x14ac:dyDescent="0.25">
      <c r="A1177" s="18" t="s">
        <v>10023</v>
      </c>
      <c r="B1177" s="4" t="s">
        <v>2699</v>
      </c>
      <c r="C1177" s="4" t="s">
        <v>1308</v>
      </c>
      <c r="D1177" s="4" t="s">
        <v>3290</v>
      </c>
      <c r="E1177" s="9">
        <v>1271.1849999999999</v>
      </c>
      <c r="F1177" s="9">
        <v>2542.37</v>
      </c>
      <c r="G1177" s="1" t="s">
        <v>10024</v>
      </c>
      <c r="H1177" s="1">
        <f>SUMIF([1]Sheet1!$G:$G,A1177,[1]Sheet1!$O:$O)</f>
        <v>2542.37</v>
      </c>
      <c r="I1177" s="21">
        <f t="shared" si="18"/>
        <v>0</v>
      </c>
    </row>
    <row r="1178" spans="1:9" x14ac:dyDescent="0.25">
      <c r="A1178" s="18" t="s">
        <v>6286</v>
      </c>
      <c r="B1178" s="4" t="s">
        <v>2700</v>
      </c>
      <c r="C1178" s="4" t="s">
        <v>1309</v>
      </c>
      <c r="D1178" s="4" t="s">
        <v>3290</v>
      </c>
      <c r="E1178" s="9">
        <v>10.169375</v>
      </c>
      <c r="F1178" s="9">
        <v>162.71</v>
      </c>
      <c r="G1178" s="1" t="s">
        <v>6287</v>
      </c>
      <c r="H1178" s="1">
        <f>SUMIF([1]Sheet1!$G:$G,A1178,[1]Sheet1!$O:$O)</f>
        <v>162.71</v>
      </c>
      <c r="I1178" s="21">
        <f t="shared" si="18"/>
        <v>0</v>
      </c>
    </row>
    <row r="1179" spans="1:9" x14ac:dyDescent="0.25">
      <c r="A1179" s="18" t="s">
        <v>11568</v>
      </c>
      <c r="B1179" s="4" t="s">
        <v>2701</v>
      </c>
      <c r="C1179" s="4" t="s">
        <v>1310</v>
      </c>
      <c r="D1179" s="4" t="s">
        <v>3290</v>
      </c>
      <c r="E1179" s="9">
        <v>1.6102256944444444</v>
      </c>
      <c r="F1179" s="9">
        <v>927.49</v>
      </c>
      <c r="G1179" s="1" t="s">
        <v>11569</v>
      </c>
      <c r="H1179" s="1">
        <f>SUMIF([1]Sheet1!$G:$G,A1179,[1]Sheet1!$O:$O)</f>
        <v>927.48</v>
      </c>
      <c r="I1179" s="21">
        <f t="shared" si="18"/>
        <v>9.9999999999909051E-3</v>
      </c>
    </row>
    <row r="1180" spans="1:9" x14ac:dyDescent="0.25">
      <c r="A1180" s="18" t="s">
        <v>6478</v>
      </c>
      <c r="B1180" s="4" t="s">
        <v>2702</v>
      </c>
      <c r="C1180" s="4" t="s">
        <v>1311</v>
      </c>
      <c r="D1180" s="4" t="s">
        <v>3289</v>
      </c>
      <c r="E1180" s="9">
        <v>38.814285714285717</v>
      </c>
      <c r="F1180" s="9">
        <v>54.34</v>
      </c>
      <c r="G1180" s="1" t="s">
        <v>6479</v>
      </c>
      <c r="H1180" s="1">
        <f>SUMIF([1]Sheet1!$G:$G,A1180,[1]Sheet1!$O:$O)</f>
        <v>54.34</v>
      </c>
      <c r="I1180" s="21">
        <f t="shared" si="18"/>
        <v>0</v>
      </c>
    </row>
    <row r="1181" spans="1:9" x14ac:dyDescent="0.25">
      <c r="A1181" s="18" t="s">
        <v>11528</v>
      </c>
      <c r="B1181" s="4" t="s">
        <v>2703</v>
      </c>
      <c r="C1181" s="4" t="s">
        <v>1312</v>
      </c>
      <c r="D1181" s="4" t="s">
        <v>3290</v>
      </c>
      <c r="E1181" s="9">
        <v>1.1865277777777778</v>
      </c>
      <c r="F1181" s="9">
        <v>85.43</v>
      </c>
      <c r="G1181" s="1" t="s">
        <v>11529</v>
      </c>
      <c r="H1181" s="1">
        <f>SUMIF([1]Sheet1!$G:$G,A1181,[1]Sheet1!$O:$O)</f>
        <v>85.43</v>
      </c>
      <c r="I1181" s="21">
        <f t="shared" si="18"/>
        <v>0</v>
      </c>
    </row>
    <row r="1182" spans="1:9" x14ac:dyDescent="0.25">
      <c r="A1182" s="18" t="s">
        <v>11575</v>
      </c>
      <c r="B1182" s="4" t="s">
        <v>2704</v>
      </c>
      <c r="C1182" s="4" t="s">
        <v>1313</v>
      </c>
      <c r="D1182" s="4" t="s">
        <v>3290</v>
      </c>
      <c r="E1182" s="9">
        <v>1.6950000000000001</v>
      </c>
      <c r="F1182" s="9">
        <v>23.73</v>
      </c>
      <c r="G1182" s="1" t="s">
        <v>11576</v>
      </c>
      <c r="H1182" s="1">
        <f>SUMIF([1]Sheet1!$G:$G,A1182,[1]Sheet1!$O:$O)</f>
        <v>23.73</v>
      </c>
      <c r="I1182" s="21">
        <f t="shared" si="18"/>
        <v>0</v>
      </c>
    </row>
    <row r="1183" spans="1:9" x14ac:dyDescent="0.25">
      <c r="A1183" s="18" t="s">
        <v>11513</v>
      </c>
      <c r="B1183" s="4" t="s">
        <v>2705</v>
      </c>
      <c r="C1183" s="4" t="s">
        <v>1314</v>
      </c>
      <c r="D1183" s="4" t="s">
        <v>3290</v>
      </c>
      <c r="E1183" s="9">
        <v>0.74454545454545451</v>
      </c>
      <c r="F1183" s="9">
        <v>16.38</v>
      </c>
      <c r="G1183" s="1" t="s">
        <v>11514</v>
      </c>
      <c r="H1183" s="1">
        <f>SUMIF([1]Sheet1!$G:$G,A1183,[1]Sheet1!$O:$O)</f>
        <v>16.38</v>
      </c>
      <c r="I1183" s="21">
        <f t="shared" si="18"/>
        <v>0</v>
      </c>
    </row>
    <row r="1184" spans="1:9" x14ac:dyDescent="0.25">
      <c r="A1184" s="18" t="s">
        <v>6680</v>
      </c>
      <c r="B1184" s="4" t="s">
        <v>2706</v>
      </c>
      <c r="C1184" s="4" t="s">
        <v>1315</v>
      </c>
      <c r="D1184" s="4" t="s">
        <v>3291</v>
      </c>
      <c r="E1184" s="9">
        <v>3.6549999999999998</v>
      </c>
      <c r="F1184" s="9">
        <v>29.24</v>
      </c>
      <c r="G1184" s="1" t="s">
        <v>6681</v>
      </c>
      <c r="H1184" s="1">
        <f>SUMIF([1]Sheet1!$G:$G,A1184,[1]Sheet1!$O:$O)</f>
        <v>29.24</v>
      </c>
      <c r="I1184" s="21">
        <f t="shared" si="18"/>
        <v>0</v>
      </c>
    </row>
    <row r="1185" spans="1:9" x14ac:dyDescent="0.25">
      <c r="A1185" s="18" t="s">
        <v>9955</v>
      </c>
      <c r="B1185" s="4" t="s">
        <v>2707</v>
      </c>
      <c r="C1185" s="4" t="s">
        <v>1316</v>
      </c>
      <c r="D1185" s="4" t="s">
        <v>3290</v>
      </c>
      <c r="E1185" s="9">
        <v>3389.83</v>
      </c>
      <c r="F1185" s="9">
        <v>6779.66</v>
      </c>
      <c r="G1185" s="1" t="s">
        <v>9958</v>
      </c>
      <c r="H1185" s="1">
        <f>SUMIF([1]Sheet1!$G:$G,A1185,[1]Sheet1!$O:$O)</f>
        <v>6779.66</v>
      </c>
      <c r="I1185" s="21">
        <f t="shared" si="18"/>
        <v>0</v>
      </c>
    </row>
    <row r="1186" spans="1:9" x14ac:dyDescent="0.25">
      <c r="A1186" s="18" t="s">
        <v>9143</v>
      </c>
      <c r="B1186" s="4" t="s">
        <v>2708</v>
      </c>
      <c r="C1186" s="4" t="s">
        <v>1317</v>
      </c>
      <c r="D1186" s="4" t="s">
        <v>3290</v>
      </c>
      <c r="E1186" s="9">
        <v>5338.9849999999997</v>
      </c>
      <c r="F1186" s="9">
        <v>10677.97</v>
      </c>
      <c r="G1186" s="1" t="s">
        <v>9144</v>
      </c>
      <c r="H1186" s="1">
        <f>SUMIF([1]Sheet1!$G:$G,A1186,[1]Sheet1!$O:$O)</f>
        <v>10677.97</v>
      </c>
      <c r="I1186" s="21">
        <f t="shared" si="18"/>
        <v>0</v>
      </c>
    </row>
    <row r="1187" spans="1:9" x14ac:dyDescent="0.25">
      <c r="A1187" s="18" t="s">
        <v>6891</v>
      </c>
      <c r="B1187" s="4" t="s">
        <v>2709</v>
      </c>
      <c r="C1187" s="4" t="s">
        <v>1318</v>
      </c>
      <c r="D1187" s="4" t="s">
        <v>3290</v>
      </c>
      <c r="E1187" s="9">
        <v>10.126666666666667</v>
      </c>
      <c r="F1187" s="9">
        <v>60.760000000000005</v>
      </c>
      <c r="G1187" s="1" t="s">
        <v>6892</v>
      </c>
      <c r="H1187" s="1">
        <f>SUMIF([1]Sheet1!$G:$G,A1187,[1]Sheet1!$O:$O)</f>
        <v>60.76</v>
      </c>
      <c r="I1187" s="21">
        <f t="shared" si="18"/>
        <v>0</v>
      </c>
    </row>
    <row r="1188" spans="1:9" x14ac:dyDescent="0.25">
      <c r="A1188" s="18" t="s">
        <v>6893</v>
      </c>
      <c r="B1188" s="4" t="s">
        <v>2710</v>
      </c>
      <c r="C1188" s="4" t="s">
        <v>1319</v>
      </c>
      <c r="D1188" s="4" t="s">
        <v>3290</v>
      </c>
      <c r="E1188" s="9">
        <v>4.2459259259259259</v>
      </c>
      <c r="F1188" s="9">
        <v>343.92</v>
      </c>
      <c r="G1188" s="1" t="s">
        <v>6894</v>
      </c>
      <c r="H1188" s="1">
        <f>SUMIF([1]Sheet1!$G:$G,A1188,[1]Sheet1!$O:$O)</f>
        <v>343.92</v>
      </c>
      <c r="I1188" s="21">
        <f t="shared" si="18"/>
        <v>0</v>
      </c>
    </row>
    <row r="1189" spans="1:9" x14ac:dyDescent="0.25">
      <c r="A1189" s="18" t="s">
        <v>6861</v>
      </c>
      <c r="B1189" s="4" t="s">
        <v>2711</v>
      </c>
      <c r="C1189" s="4" t="s">
        <v>1320</v>
      </c>
      <c r="D1189" s="4" t="s">
        <v>3290</v>
      </c>
      <c r="E1189" s="9">
        <v>5.7026923076923079</v>
      </c>
      <c r="F1189" s="9">
        <v>148.27000000000001</v>
      </c>
      <c r="G1189" s="1" t="s">
        <v>6862</v>
      </c>
      <c r="H1189" s="1">
        <f>SUMIF([1]Sheet1!$G:$G,A1189,[1]Sheet1!$O:$O)</f>
        <v>148.27000000000001</v>
      </c>
      <c r="I1189" s="21">
        <f t="shared" si="18"/>
        <v>0</v>
      </c>
    </row>
    <row r="1190" spans="1:9" x14ac:dyDescent="0.25">
      <c r="A1190" s="18" t="s">
        <v>6895</v>
      </c>
      <c r="B1190" s="4" t="s">
        <v>2712</v>
      </c>
      <c r="C1190" s="4" t="s">
        <v>1321</v>
      </c>
      <c r="D1190" s="4" t="s">
        <v>3290</v>
      </c>
      <c r="E1190" s="9">
        <v>4.4935849056603772</v>
      </c>
      <c r="F1190" s="9">
        <v>238.16</v>
      </c>
      <c r="G1190" s="1" t="s">
        <v>6896</v>
      </c>
      <c r="H1190" s="1">
        <f>SUMIF([1]Sheet1!$G:$G,A1190,[1]Sheet1!$O:$O)</f>
        <v>225.68</v>
      </c>
      <c r="I1190" s="21">
        <f t="shared" si="18"/>
        <v>12.47999999999999</v>
      </c>
    </row>
    <row r="1191" spans="1:9" x14ac:dyDescent="0.25">
      <c r="A1191" s="18" t="s">
        <v>6897</v>
      </c>
      <c r="B1191" s="4" t="s">
        <v>2713</v>
      </c>
      <c r="C1191" s="4" t="s">
        <v>1322</v>
      </c>
      <c r="D1191" s="4" t="s">
        <v>3290</v>
      </c>
      <c r="E1191" s="9">
        <v>70.34</v>
      </c>
      <c r="F1191" s="9">
        <v>70.34</v>
      </c>
      <c r="G1191" s="1" t="s">
        <v>6898</v>
      </c>
      <c r="H1191" s="1">
        <f>SUMIF([1]Sheet1!$G:$G,A1191,[1]Sheet1!$O:$O)</f>
        <v>70.34</v>
      </c>
      <c r="I1191" s="21">
        <f t="shared" si="18"/>
        <v>0</v>
      </c>
    </row>
    <row r="1192" spans="1:9" x14ac:dyDescent="0.25">
      <c r="A1192" s="18" t="s">
        <v>9518</v>
      </c>
      <c r="B1192" s="4" t="s">
        <v>2714</v>
      </c>
      <c r="C1192" s="4" t="s">
        <v>1323</v>
      </c>
      <c r="D1192" s="4" t="s">
        <v>3290</v>
      </c>
      <c r="E1192" s="9">
        <v>0.26894736842105266</v>
      </c>
      <c r="F1192" s="9">
        <v>5.1100000000000003</v>
      </c>
      <c r="G1192" s="1" t="s">
        <v>9519</v>
      </c>
      <c r="H1192" s="1">
        <f>SUMIF([1]Sheet1!$G:$G,A1192,[1]Sheet1!$O:$O)</f>
        <v>5.1100000000000003</v>
      </c>
      <c r="I1192" s="21">
        <f t="shared" si="18"/>
        <v>0</v>
      </c>
    </row>
    <row r="1193" spans="1:9" x14ac:dyDescent="0.25">
      <c r="A1193" s="18" t="s">
        <v>10748</v>
      </c>
      <c r="B1193" s="4" t="s">
        <v>2715</v>
      </c>
      <c r="C1193" s="4" t="s">
        <v>1324</v>
      </c>
      <c r="D1193" s="4" t="s">
        <v>3290</v>
      </c>
      <c r="E1193" s="9">
        <v>0.5671300448430493</v>
      </c>
      <c r="F1193" s="9">
        <v>126.47</v>
      </c>
      <c r="G1193" s="1" t="s">
        <v>10749</v>
      </c>
      <c r="H1193" s="1">
        <f>SUMIF([1]Sheet1!$G:$G,A1193,[1]Sheet1!$O:$O)</f>
        <v>126.46</v>
      </c>
      <c r="I1193" s="21">
        <f t="shared" si="18"/>
        <v>1.0000000000005116E-2</v>
      </c>
    </row>
    <row r="1194" spans="1:9" x14ac:dyDescent="0.25">
      <c r="A1194" s="18" t="s">
        <v>11637</v>
      </c>
      <c r="B1194" s="4" t="s">
        <v>2716</v>
      </c>
      <c r="C1194" s="4" t="s">
        <v>1325</v>
      </c>
      <c r="D1194" s="4" t="s">
        <v>3290</v>
      </c>
      <c r="E1194" s="9">
        <v>0.13980000000000001</v>
      </c>
      <c r="F1194" s="9">
        <v>13.98</v>
      </c>
      <c r="G1194" s="1" t="s">
        <v>11638</v>
      </c>
      <c r="H1194" s="1">
        <f>SUMIF([1]Sheet1!$G:$G,A1194,[1]Sheet1!$O:$O)</f>
        <v>13.98</v>
      </c>
      <c r="I1194" s="21">
        <f t="shared" si="18"/>
        <v>0</v>
      </c>
    </row>
    <row r="1195" spans="1:9" x14ac:dyDescent="0.25">
      <c r="A1195" s="18" t="s">
        <v>5449</v>
      </c>
      <c r="B1195" s="4" t="s">
        <v>2717</v>
      </c>
      <c r="C1195" s="4" t="s">
        <v>1326</v>
      </c>
      <c r="D1195" s="4" t="s">
        <v>3290</v>
      </c>
      <c r="E1195" s="9">
        <v>584.99285714285713</v>
      </c>
      <c r="F1195" s="9">
        <v>12284.85</v>
      </c>
      <c r="G1195" s="1" t="s">
        <v>5450</v>
      </c>
      <c r="H1195" s="1">
        <f>SUMIF([1]Sheet1!$G:$G,A1195,[1]Sheet1!$O:$O)</f>
        <v>12284.85</v>
      </c>
      <c r="I1195" s="21">
        <f t="shared" si="18"/>
        <v>0</v>
      </c>
    </row>
    <row r="1196" spans="1:9" x14ac:dyDescent="0.25">
      <c r="A1196" s="18" t="s">
        <v>5451</v>
      </c>
      <c r="B1196" s="4" t="s">
        <v>2718</v>
      </c>
      <c r="C1196" s="4" t="s">
        <v>1327</v>
      </c>
      <c r="D1196" s="4" t="s">
        <v>3290</v>
      </c>
      <c r="E1196" s="9">
        <v>392.65454545454543</v>
      </c>
      <c r="F1196" s="9">
        <v>4319.2</v>
      </c>
      <c r="G1196" s="1" t="s">
        <v>5452</v>
      </c>
      <c r="H1196" s="1">
        <f>SUMIF([1]Sheet1!$G:$G,A1196,[1]Sheet1!$O:$O)</f>
        <v>4319.2</v>
      </c>
      <c r="I1196" s="21">
        <f t="shared" si="18"/>
        <v>0</v>
      </c>
    </row>
    <row r="1197" spans="1:9" x14ac:dyDescent="0.25">
      <c r="A1197" s="18" t="s">
        <v>6167</v>
      </c>
      <c r="B1197" s="4" t="s">
        <v>2719</v>
      </c>
      <c r="C1197" s="4" t="s">
        <v>1328</v>
      </c>
      <c r="D1197" s="4" t="s">
        <v>3290</v>
      </c>
      <c r="E1197" s="9">
        <v>2.3547058823529414</v>
      </c>
      <c r="F1197" s="9">
        <v>40.03</v>
      </c>
      <c r="G1197" s="1" t="s">
        <v>6168</v>
      </c>
      <c r="H1197" s="1">
        <f>SUMIF([1]Sheet1!$G:$G,A1197,[1]Sheet1!$O:$O)</f>
        <v>40.03</v>
      </c>
      <c r="I1197" s="21">
        <f t="shared" si="18"/>
        <v>0</v>
      </c>
    </row>
    <row r="1198" spans="1:9" x14ac:dyDescent="0.25">
      <c r="A1198" s="18" t="s">
        <v>6079</v>
      </c>
      <c r="B1198" s="4" t="s">
        <v>2720</v>
      </c>
      <c r="C1198" s="4" t="s">
        <v>1329</v>
      </c>
      <c r="D1198" s="4" t="s">
        <v>3289</v>
      </c>
      <c r="E1198" s="9">
        <v>1.5256000000000001</v>
      </c>
      <c r="F1198" s="9">
        <v>38.14</v>
      </c>
      <c r="G1198" s="1" t="s">
        <v>6080</v>
      </c>
      <c r="H1198" s="1">
        <f>SUMIF([1]Sheet1!$G:$G,A1198,[1]Sheet1!$O:$O)</f>
        <v>38.14</v>
      </c>
      <c r="I1198" s="21">
        <f t="shared" si="18"/>
        <v>0</v>
      </c>
    </row>
    <row r="1199" spans="1:9" x14ac:dyDescent="0.25">
      <c r="A1199" s="18" t="s">
        <v>7292</v>
      </c>
      <c r="B1199" s="4" t="s">
        <v>2721</v>
      </c>
      <c r="C1199" s="4" t="s">
        <v>1330</v>
      </c>
      <c r="D1199" s="4" t="s">
        <v>3289</v>
      </c>
      <c r="E1199" s="9">
        <v>345.93187347931877</v>
      </c>
      <c r="F1199" s="9">
        <v>4265.34</v>
      </c>
      <c r="G1199" s="1" t="s">
        <v>7293</v>
      </c>
      <c r="H1199" s="1">
        <f>SUMIF([1]Sheet1!$G:$G,A1199,[1]Sheet1!$O:$O)</f>
        <v>4265.34</v>
      </c>
      <c r="I1199" s="21">
        <f t="shared" si="18"/>
        <v>0</v>
      </c>
    </row>
    <row r="1200" spans="1:9" x14ac:dyDescent="0.25">
      <c r="A1200" s="18" t="s">
        <v>10852</v>
      </c>
      <c r="B1200" s="4" t="s">
        <v>2722</v>
      </c>
      <c r="C1200" s="4" t="s">
        <v>1331</v>
      </c>
      <c r="D1200" s="4" t="s">
        <v>3290</v>
      </c>
      <c r="E1200" s="9">
        <v>344.07</v>
      </c>
      <c r="F1200" s="9">
        <v>344.07</v>
      </c>
      <c r="G1200" s="1" t="s">
        <v>10853</v>
      </c>
      <c r="H1200" s="1">
        <f>SUMIF([1]Sheet1!$G:$G,A1200,[1]Sheet1!$O:$O)</f>
        <v>344.07</v>
      </c>
      <c r="I1200" s="21">
        <f t="shared" si="18"/>
        <v>0</v>
      </c>
    </row>
    <row r="1201" spans="1:9" x14ac:dyDescent="0.25">
      <c r="A1201" s="18" t="s">
        <v>10394</v>
      </c>
      <c r="B1201" s="4" t="s">
        <v>2723</v>
      </c>
      <c r="C1201" s="4" t="s">
        <v>1332</v>
      </c>
      <c r="D1201" s="4" t="s">
        <v>3289</v>
      </c>
      <c r="E1201" s="9">
        <v>6.7796666666666665</v>
      </c>
      <c r="F1201" s="9">
        <v>406.78</v>
      </c>
      <c r="G1201" s="1" t="s">
        <v>10395</v>
      </c>
      <c r="H1201" s="1">
        <f>SUMIF([1]Sheet1!$G:$G,A1201,[1]Sheet1!$O:$O)</f>
        <v>406.78</v>
      </c>
      <c r="I1201" s="21">
        <f t="shared" si="18"/>
        <v>0</v>
      </c>
    </row>
    <row r="1202" spans="1:9" x14ac:dyDescent="0.25">
      <c r="A1202" s="18" t="s">
        <v>5453</v>
      </c>
      <c r="B1202" s="4" t="s">
        <v>2724</v>
      </c>
      <c r="C1202" s="4" t="s">
        <v>1333</v>
      </c>
      <c r="D1202" s="4" t="s">
        <v>3290</v>
      </c>
      <c r="E1202" s="9">
        <v>240.63807692307694</v>
      </c>
      <c r="F1202" s="9">
        <v>18769.77</v>
      </c>
      <c r="G1202" s="1" t="s">
        <v>5454</v>
      </c>
      <c r="H1202" s="1">
        <f>SUMIF([1]Sheet1!$G:$G,A1202,[1]Sheet1!$O:$O)</f>
        <v>18529.13</v>
      </c>
      <c r="I1202" s="21">
        <f t="shared" si="18"/>
        <v>240.63999999999942</v>
      </c>
    </row>
    <row r="1203" spans="1:9" x14ac:dyDescent="0.25">
      <c r="A1203" s="18" t="s">
        <v>5455</v>
      </c>
      <c r="B1203" s="4" t="s">
        <v>2725</v>
      </c>
      <c r="C1203" s="4" t="s">
        <v>1334</v>
      </c>
      <c r="D1203" s="4" t="s">
        <v>3290</v>
      </c>
      <c r="E1203" s="9">
        <v>269.75103092783502</v>
      </c>
      <c r="F1203" s="9">
        <v>26165.85</v>
      </c>
      <c r="G1203" s="1" t="s">
        <v>5456</v>
      </c>
      <c r="H1203" s="1">
        <f>SUMIF([1]Sheet1!$G:$G,A1203,[1]Sheet1!$O:$O)</f>
        <v>26165.85</v>
      </c>
      <c r="I1203" s="21">
        <f t="shared" si="18"/>
        <v>0</v>
      </c>
    </row>
    <row r="1204" spans="1:9" x14ac:dyDescent="0.25">
      <c r="A1204" s="18" t="s">
        <v>5445</v>
      </c>
      <c r="B1204" s="4" t="s">
        <v>2726</v>
      </c>
      <c r="C1204" s="4" t="s">
        <v>1335</v>
      </c>
      <c r="D1204" s="4" t="s">
        <v>3290</v>
      </c>
      <c r="E1204" s="9">
        <v>439.79842105263157</v>
      </c>
      <c r="F1204" s="9">
        <v>16712.34</v>
      </c>
      <c r="G1204" s="1" t="s">
        <v>5448</v>
      </c>
      <c r="H1204" s="1">
        <f>SUMIF([1]Sheet1!$G:$G,A1204,[1]Sheet1!$O:$O)</f>
        <v>15392.94</v>
      </c>
      <c r="I1204" s="21">
        <f t="shared" si="18"/>
        <v>1319.3999999999996</v>
      </c>
    </row>
    <row r="1205" spans="1:9" x14ac:dyDescent="0.25">
      <c r="A1205" s="18" t="s">
        <v>4561</v>
      </c>
      <c r="B1205" s="4" t="s">
        <v>2727</v>
      </c>
      <c r="C1205" s="4" t="s">
        <v>1336</v>
      </c>
      <c r="D1205" s="4" t="s">
        <v>3290</v>
      </c>
      <c r="E1205" s="9">
        <v>5.93</v>
      </c>
      <c r="F1205" s="9">
        <v>5.93</v>
      </c>
      <c r="G1205" s="1" t="s">
        <v>4562</v>
      </c>
      <c r="H1205" s="1">
        <f>SUMIF([1]Sheet1!$G:$G,A1205,[1]Sheet1!$O:$O)</f>
        <v>5.93</v>
      </c>
      <c r="I1205" s="21">
        <f t="shared" si="18"/>
        <v>0</v>
      </c>
    </row>
    <row r="1206" spans="1:9" x14ac:dyDescent="0.25">
      <c r="A1206" s="18" t="s">
        <v>4553</v>
      </c>
      <c r="B1206" s="4" t="s">
        <v>2728</v>
      </c>
      <c r="C1206" s="4" t="s">
        <v>1337</v>
      </c>
      <c r="D1206" s="4" t="s">
        <v>3290</v>
      </c>
      <c r="E1206" s="9">
        <v>7.63</v>
      </c>
      <c r="F1206" s="9">
        <v>15.26</v>
      </c>
      <c r="G1206" s="1" t="s">
        <v>4554</v>
      </c>
      <c r="H1206" s="1">
        <f>SUMIF([1]Sheet1!$G:$G,A1206,[1]Sheet1!$O:$O)</f>
        <v>15.26</v>
      </c>
      <c r="I1206" s="21">
        <f t="shared" si="18"/>
        <v>0</v>
      </c>
    </row>
    <row r="1207" spans="1:9" x14ac:dyDescent="0.25">
      <c r="A1207" s="18" t="s">
        <v>11357</v>
      </c>
      <c r="B1207" s="4" t="s">
        <v>2729</v>
      </c>
      <c r="C1207" s="4" t="s">
        <v>1338</v>
      </c>
      <c r="D1207" s="4" t="s">
        <v>3290</v>
      </c>
      <c r="E1207" s="9">
        <v>42.698461538461544</v>
      </c>
      <c r="F1207" s="9">
        <v>555.08000000000004</v>
      </c>
      <c r="G1207" s="1" t="s">
        <v>11358</v>
      </c>
      <c r="H1207" s="1">
        <f>SUMIF([1]Sheet1!$G:$G,A1207,[1]Sheet1!$O:$O)</f>
        <v>555.08000000000004</v>
      </c>
      <c r="I1207" s="21">
        <f t="shared" si="18"/>
        <v>0</v>
      </c>
    </row>
    <row r="1208" spans="1:9" x14ac:dyDescent="0.25">
      <c r="A1208" s="18" t="s">
        <v>11595</v>
      </c>
      <c r="B1208" s="4" t="s">
        <v>2730</v>
      </c>
      <c r="C1208" s="4" t="s">
        <v>1339</v>
      </c>
      <c r="D1208" s="4" t="s">
        <v>3290</v>
      </c>
      <c r="E1208" s="9">
        <v>7.6280000000000001E-2</v>
      </c>
      <c r="F1208" s="9">
        <v>38.14</v>
      </c>
      <c r="G1208" s="1" t="s">
        <v>11596</v>
      </c>
      <c r="H1208" s="1">
        <f>SUMIF([1]Sheet1!$G:$G,A1208,[1]Sheet1!$O:$O)</f>
        <v>38.15</v>
      </c>
      <c r="I1208" s="21">
        <f t="shared" si="18"/>
        <v>-9.9999999999980105E-3</v>
      </c>
    </row>
    <row r="1209" spans="1:9" x14ac:dyDescent="0.25">
      <c r="A1209" s="18" t="s">
        <v>11610</v>
      </c>
      <c r="B1209" s="4" t="s">
        <v>2731</v>
      </c>
      <c r="C1209" s="4" t="s">
        <v>1340</v>
      </c>
      <c r="D1209" s="4" t="s">
        <v>3290</v>
      </c>
      <c r="E1209" s="9">
        <v>7.6266666666666663E-2</v>
      </c>
      <c r="F1209" s="9">
        <v>22.88</v>
      </c>
      <c r="G1209" s="1" t="s">
        <v>11611</v>
      </c>
      <c r="H1209" s="1">
        <f>SUMIF([1]Sheet1!$G:$G,A1209,[1]Sheet1!$O:$O)</f>
        <v>22.89</v>
      </c>
      <c r="I1209" s="21">
        <f t="shared" si="18"/>
        <v>-1.0000000000001563E-2</v>
      </c>
    </row>
    <row r="1210" spans="1:9" x14ac:dyDescent="0.25">
      <c r="A1210" s="18" t="s">
        <v>11978</v>
      </c>
      <c r="B1210" s="4" t="s">
        <v>2732</v>
      </c>
      <c r="C1210" s="4" t="s">
        <v>1341</v>
      </c>
      <c r="D1210" s="4" t="s">
        <v>3290</v>
      </c>
      <c r="E1210" s="9">
        <v>29.661666666666665</v>
      </c>
      <c r="F1210" s="9">
        <v>177.97</v>
      </c>
      <c r="G1210" s="1" t="s">
        <v>11979</v>
      </c>
      <c r="H1210" s="1">
        <f>SUMIF([1]Sheet1!$G:$G,A1210,[1]Sheet1!$O:$O)</f>
        <v>177.97</v>
      </c>
      <c r="I1210" s="21">
        <f t="shared" si="18"/>
        <v>0</v>
      </c>
    </row>
    <row r="1211" spans="1:9" x14ac:dyDescent="0.25">
      <c r="A1211" s="18" t="s">
        <v>10802</v>
      </c>
      <c r="B1211" s="4" t="s">
        <v>2733</v>
      </c>
      <c r="C1211" s="4" t="s">
        <v>1342</v>
      </c>
      <c r="D1211" s="4" t="s">
        <v>3290</v>
      </c>
      <c r="E1211" s="9">
        <v>357.20499999999998</v>
      </c>
      <c r="F1211" s="9">
        <v>714.41</v>
      </c>
      <c r="G1211" s="1" t="s">
        <v>10803</v>
      </c>
      <c r="H1211" s="1">
        <f>SUMIF([1]Sheet1!$G:$G,A1211,[1]Sheet1!$O:$O)</f>
        <v>714.41</v>
      </c>
      <c r="I1211" s="21">
        <f t="shared" si="18"/>
        <v>0</v>
      </c>
    </row>
    <row r="1212" spans="1:9" x14ac:dyDescent="0.25">
      <c r="A1212" s="18" t="s">
        <v>6305</v>
      </c>
      <c r="B1212" s="4" t="s">
        <v>2734</v>
      </c>
      <c r="C1212" s="4" t="s">
        <v>1343</v>
      </c>
      <c r="D1212" s="4" t="s">
        <v>3290</v>
      </c>
      <c r="E1212" s="9">
        <v>296.62</v>
      </c>
      <c r="F1212" s="9">
        <v>889.86</v>
      </c>
      <c r="G1212" s="1" t="s">
        <v>6306</v>
      </c>
      <c r="H1212" s="1">
        <f>SUMIF([1]Sheet1!$G:$G,A1212,[1]Sheet1!$O:$O)</f>
        <v>889.86</v>
      </c>
      <c r="I1212" s="21">
        <f t="shared" si="18"/>
        <v>0</v>
      </c>
    </row>
    <row r="1213" spans="1:9" x14ac:dyDescent="0.25">
      <c r="A1213" s="18" t="s">
        <v>11980</v>
      </c>
      <c r="B1213" s="4" t="s">
        <v>2735</v>
      </c>
      <c r="C1213" s="4" t="s">
        <v>1344</v>
      </c>
      <c r="D1213" s="4" t="s">
        <v>3290</v>
      </c>
      <c r="E1213" s="9">
        <v>21.184999999999999</v>
      </c>
      <c r="F1213" s="9">
        <v>84.74</v>
      </c>
      <c r="G1213" s="1" t="s">
        <v>11981</v>
      </c>
      <c r="H1213" s="1">
        <f>SUMIF([1]Sheet1!$G:$G,A1213,[1]Sheet1!$O:$O)</f>
        <v>84.74</v>
      </c>
      <c r="I1213" s="21">
        <f t="shared" si="18"/>
        <v>0</v>
      </c>
    </row>
    <row r="1214" spans="1:9" x14ac:dyDescent="0.25">
      <c r="A1214" s="18" t="s">
        <v>11522</v>
      </c>
      <c r="B1214" s="4" t="s">
        <v>2736</v>
      </c>
      <c r="C1214" s="4" t="s">
        <v>1345</v>
      </c>
      <c r="D1214" s="4" t="s">
        <v>3290</v>
      </c>
      <c r="E1214" s="9">
        <v>1.2745220588235295</v>
      </c>
      <c r="F1214" s="9">
        <v>346.67</v>
      </c>
      <c r="G1214" s="1" t="s">
        <v>11523</v>
      </c>
      <c r="H1214" s="1">
        <f>SUMIF([1]Sheet1!$G:$G,A1214,[1]Sheet1!$O:$O)</f>
        <v>346.66</v>
      </c>
      <c r="I1214" s="21">
        <f t="shared" si="18"/>
        <v>9.9999999999909051E-3</v>
      </c>
    </row>
    <row r="1215" spans="1:9" x14ac:dyDescent="0.25">
      <c r="A1215" s="18" t="s">
        <v>11783</v>
      </c>
      <c r="B1215" s="4" t="s">
        <v>2737</v>
      </c>
      <c r="C1215" s="4" t="s">
        <v>1346</v>
      </c>
      <c r="D1215" s="4" t="s">
        <v>3289</v>
      </c>
      <c r="E1215" s="9">
        <v>97.457599999999999</v>
      </c>
      <c r="F1215" s="9">
        <v>2436.44</v>
      </c>
      <c r="G1215" s="1" t="s">
        <v>11784</v>
      </c>
      <c r="H1215" s="1">
        <f>SUMIF([1]Sheet1!$G:$G,A1215,[1]Sheet1!$O:$O)</f>
        <v>2436.44</v>
      </c>
      <c r="I1215" s="21">
        <f t="shared" si="18"/>
        <v>0</v>
      </c>
    </row>
    <row r="1216" spans="1:9" x14ac:dyDescent="0.25">
      <c r="A1216" s="18" t="s">
        <v>11661</v>
      </c>
      <c r="B1216" s="4" t="s">
        <v>2738</v>
      </c>
      <c r="C1216" s="4" t="s">
        <v>1347</v>
      </c>
      <c r="D1216" s="4" t="s">
        <v>3290</v>
      </c>
      <c r="E1216" s="9">
        <v>7.4558730158730162</v>
      </c>
      <c r="F1216" s="9">
        <v>939.44</v>
      </c>
      <c r="G1216" s="1" t="s">
        <v>11662</v>
      </c>
      <c r="H1216" s="1">
        <f>SUMIF([1]Sheet1!$G:$G,A1216,[1]Sheet1!$O:$O)</f>
        <v>939.44</v>
      </c>
      <c r="I1216" s="21">
        <f t="shared" si="18"/>
        <v>0</v>
      </c>
    </row>
    <row r="1217" spans="1:9" x14ac:dyDescent="0.25">
      <c r="A1217" s="18" t="s">
        <v>10653</v>
      </c>
      <c r="B1217" s="4" t="s">
        <v>2739</v>
      </c>
      <c r="C1217" s="4" t="s">
        <v>1348</v>
      </c>
      <c r="D1217" s="4" t="s">
        <v>3295</v>
      </c>
      <c r="E1217" s="9">
        <v>8.4745535714285722</v>
      </c>
      <c r="F1217" s="9">
        <v>379.66</v>
      </c>
      <c r="G1217" s="1" t="s">
        <v>10654</v>
      </c>
      <c r="H1217" s="1">
        <f>SUMIF([1]Sheet1!$G:$G,A1217,[1]Sheet1!$O:$O)</f>
        <v>379.66</v>
      </c>
      <c r="I1217" s="21">
        <f t="shared" si="18"/>
        <v>0</v>
      </c>
    </row>
    <row r="1218" spans="1:9" x14ac:dyDescent="0.25">
      <c r="A1218" s="18" t="s">
        <v>10703</v>
      </c>
      <c r="B1218" s="4" t="s">
        <v>2740</v>
      </c>
      <c r="C1218" s="4" t="s">
        <v>1349</v>
      </c>
      <c r="D1218" s="4" t="s">
        <v>3295</v>
      </c>
      <c r="E1218" s="9">
        <v>11.016999999999999</v>
      </c>
      <c r="F1218" s="9">
        <v>881.3599999999999</v>
      </c>
      <c r="G1218" s="1" t="s">
        <v>10704</v>
      </c>
      <c r="H1218" s="1">
        <f>SUMIF([1]Sheet1!$G:$G,A1218,[1]Sheet1!$O:$O)</f>
        <v>881.36</v>
      </c>
      <c r="I1218" s="21">
        <f t="shared" si="18"/>
        <v>0</v>
      </c>
    </row>
    <row r="1219" spans="1:9" x14ac:dyDescent="0.25">
      <c r="A1219" s="18" t="s">
        <v>5772</v>
      </c>
      <c r="B1219" s="4" t="s">
        <v>2741</v>
      </c>
      <c r="C1219" s="4" t="s">
        <v>1350</v>
      </c>
      <c r="D1219" s="4" t="s">
        <v>3289</v>
      </c>
      <c r="E1219" s="9">
        <v>2.3729113924050633</v>
      </c>
      <c r="F1219" s="9">
        <v>374.92</v>
      </c>
      <c r="G1219" s="1" t="s">
        <v>5773</v>
      </c>
      <c r="H1219" s="1">
        <f>SUMIF([1]Sheet1!$G:$G,A1219,[1]Sheet1!$O:$O)</f>
        <v>374.92</v>
      </c>
      <c r="I1219" s="21">
        <f t="shared" ref="I1219:I1282" si="19">F1219-H1219</f>
        <v>0</v>
      </c>
    </row>
    <row r="1220" spans="1:9" x14ac:dyDescent="0.25">
      <c r="A1220" s="18" t="s">
        <v>10619</v>
      </c>
      <c r="B1220" s="4" t="s">
        <v>2742</v>
      </c>
      <c r="C1220" s="4" t="s">
        <v>1351</v>
      </c>
      <c r="D1220" s="4" t="s">
        <v>3291</v>
      </c>
      <c r="E1220" s="9">
        <v>59.322000000000003</v>
      </c>
      <c r="F1220" s="9">
        <v>1186.44</v>
      </c>
      <c r="G1220" s="1" t="s">
        <v>10620</v>
      </c>
      <c r="H1220" s="1">
        <f>SUMIF([1]Sheet1!$G:$G,A1220,[1]Sheet1!$O:$O)</f>
        <v>1186.44</v>
      </c>
      <c r="I1220" s="21">
        <f t="shared" si="19"/>
        <v>0</v>
      </c>
    </row>
    <row r="1221" spans="1:9" x14ac:dyDescent="0.25">
      <c r="A1221" s="18" t="s">
        <v>10617</v>
      </c>
      <c r="B1221" s="4" t="s">
        <v>2743</v>
      </c>
      <c r="C1221" s="4" t="s">
        <v>1352</v>
      </c>
      <c r="D1221" s="4" t="s">
        <v>3291</v>
      </c>
      <c r="E1221" s="9">
        <v>59.322000000000003</v>
      </c>
      <c r="F1221" s="9">
        <v>1186.44</v>
      </c>
      <c r="G1221" s="1" t="s">
        <v>10618</v>
      </c>
      <c r="H1221" s="1">
        <f>SUMIF([1]Sheet1!$G:$G,A1221,[1]Sheet1!$O:$O)</f>
        <v>1186.44</v>
      </c>
      <c r="I1221" s="21">
        <f t="shared" si="19"/>
        <v>0</v>
      </c>
    </row>
    <row r="1222" spans="1:9" x14ac:dyDescent="0.25">
      <c r="A1222" s="18" t="s">
        <v>10615</v>
      </c>
      <c r="B1222" s="4" t="s">
        <v>2744</v>
      </c>
      <c r="C1222" s="4" t="s">
        <v>1353</v>
      </c>
      <c r="D1222" s="4" t="s">
        <v>3291</v>
      </c>
      <c r="E1222" s="9">
        <v>59.322105263157887</v>
      </c>
      <c r="F1222" s="9">
        <v>1127.1199999999999</v>
      </c>
      <c r="G1222" s="1" t="s">
        <v>10616</v>
      </c>
      <c r="H1222" s="1">
        <f>SUMIF([1]Sheet1!$G:$G,A1222,[1]Sheet1!$O:$O)</f>
        <v>1127.1199999999999</v>
      </c>
      <c r="I1222" s="21">
        <f t="shared" si="19"/>
        <v>0</v>
      </c>
    </row>
    <row r="1223" spans="1:9" x14ac:dyDescent="0.25">
      <c r="A1223" s="18" t="s">
        <v>10613</v>
      </c>
      <c r="B1223" s="4" t="s">
        <v>2745</v>
      </c>
      <c r="C1223" s="4" t="s">
        <v>1354</v>
      </c>
      <c r="D1223" s="4" t="s">
        <v>3291</v>
      </c>
      <c r="E1223" s="9">
        <v>59.322000000000003</v>
      </c>
      <c r="F1223" s="9">
        <v>593.22</v>
      </c>
      <c r="G1223" s="1" t="s">
        <v>10614</v>
      </c>
      <c r="H1223" s="1">
        <f>SUMIF([1]Sheet1!$G:$G,A1223,[1]Sheet1!$O:$O)</f>
        <v>593.22</v>
      </c>
      <c r="I1223" s="21">
        <f t="shared" si="19"/>
        <v>0</v>
      </c>
    </row>
    <row r="1224" spans="1:9" x14ac:dyDescent="0.25">
      <c r="A1224" s="18" t="s">
        <v>10148</v>
      </c>
      <c r="B1224" s="4" t="s">
        <v>3204</v>
      </c>
      <c r="C1224" s="4" t="s">
        <v>1355</v>
      </c>
      <c r="D1224" s="4" t="s">
        <v>3290</v>
      </c>
      <c r="E1224" s="9">
        <v>81240.493333333332</v>
      </c>
      <c r="F1224" s="9">
        <v>243721.47999999998</v>
      </c>
      <c r="G1224" s="1" t="s">
        <v>10149</v>
      </c>
      <c r="H1224" s="1">
        <f>SUMIF([1]Sheet1!$G:$G,A1224,[1]Sheet1!$O:$O)</f>
        <v>243721.48</v>
      </c>
      <c r="I1224" s="21">
        <f t="shared" si="19"/>
        <v>0</v>
      </c>
    </row>
    <row r="1225" spans="1:9" x14ac:dyDescent="0.25">
      <c r="A1225" s="18" t="s">
        <v>10036</v>
      </c>
      <c r="B1225" s="4" t="s">
        <v>3205</v>
      </c>
      <c r="C1225" s="4" t="s">
        <v>1356</v>
      </c>
      <c r="D1225" s="4" t="s">
        <v>3290</v>
      </c>
      <c r="E1225" s="9">
        <v>1752.12</v>
      </c>
      <c r="F1225" s="9">
        <v>3504.24</v>
      </c>
      <c r="G1225" s="1" t="s">
        <v>10037</v>
      </c>
      <c r="H1225" s="1">
        <f>SUMIF([1]Sheet1!$G:$G,A1225,[1]Sheet1!$O:$O)</f>
        <v>3504.24</v>
      </c>
      <c r="I1225" s="21">
        <f t="shared" si="19"/>
        <v>0</v>
      </c>
    </row>
    <row r="1226" spans="1:9" x14ac:dyDescent="0.25">
      <c r="A1226" s="18" t="s">
        <v>5666</v>
      </c>
      <c r="B1226" s="4" t="s">
        <v>3206</v>
      </c>
      <c r="C1226" s="4" t="s">
        <v>1357</v>
      </c>
      <c r="D1226" s="4" t="s">
        <v>3290</v>
      </c>
      <c r="E1226" s="9">
        <v>6326.8167164179104</v>
      </c>
      <c r="F1226" s="9">
        <v>423896.72</v>
      </c>
      <c r="G1226" s="1" t="s">
        <v>5667</v>
      </c>
      <c r="H1226" s="1">
        <f>SUMIF([1]Sheet1!$G:$G,A1226,[1]Sheet1!$O:$O)</f>
        <v>724.46</v>
      </c>
      <c r="I1226" s="21">
        <f t="shared" si="19"/>
        <v>423172.25999999995</v>
      </c>
    </row>
    <row r="1227" spans="1:9" x14ac:dyDescent="0.25">
      <c r="A1227" s="18" t="s">
        <v>5664</v>
      </c>
      <c r="B1227" s="4" t="s">
        <v>3207</v>
      </c>
      <c r="C1227" s="4" t="s">
        <v>1358</v>
      </c>
      <c r="D1227" s="4" t="s">
        <v>3290</v>
      </c>
      <c r="E1227" s="9">
        <v>6347.4566666666669</v>
      </c>
      <c r="F1227" s="9">
        <v>114254.22</v>
      </c>
      <c r="G1227" s="1" t="s">
        <v>5665</v>
      </c>
      <c r="H1227" s="1">
        <f>SUMIF([1]Sheet1!$G:$G,A1227,[1]Sheet1!$O:$O)</f>
        <v>0</v>
      </c>
      <c r="I1227" s="21">
        <f t="shared" si="19"/>
        <v>114254.22</v>
      </c>
    </row>
    <row r="1228" spans="1:9" x14ac:dyDescent="0.25">
      <c r="A1228" s="18" t="s">
        <v>7027</v>
      </c>
      <c r="B1228" s="4" t="s">
        <v>2746</v>
      </c>
      <c r="C1228" s="4" t="s">
        <v>1359</v>
      </c>
      <c r="D1228" s="4" t="s">
        <v>3290</v>
      </c>
      <c r="E1228" s="9">
        <v>296.13621848739496</v>
      </c>
      <c r="F1228" s="9">
        <v>35240.21</v>
      </c>
      <c r="G1228" s="1" t="s">
        <v>7028</v>
      </c>
      <c r="H1228" s="1">
        <f>SUMIF([1]Sheet1!$G:$G,A1228,[1]Sheet1!$O:$O)</f>
        <v>34944.07</v>
      </c>
      <c r="I1228" s="21">
        <f t="shared" si="19"/>
        <v>296.13999999999942</v>
      </c>
    </row>
    <row r="1229" spans="1:9" x14ac:dyDescent="0.25">
      <c r="A1229" s="18" t="s">
        <v>6940</v>
      </c>
      <c r="B1229" s="4" t="s">
        <v>3208</v>
      </c>
      <c r="C1229" s="4" t="s">
        <v>1360</v>
      </c>
      <c r="D1229" s="4" t="s">
        <v>3290</v>
      </c>
      <c r="E1229" s="9">
        <v>6000</v>
      </c>
      <c r="F1229" s="9">
        <v>6000</v>
      </c>
      <c r="G1229" s="1" t="s">
        <v>6941</v>
      </c>
      <c r="H1229" s="1">
        <f>SUMIF([1]Sheet1!$G:$G,A1229,[1]Sheet1!$O:$O)</f>
        <v>6000</v>
      </c>
      <c r="I1229" s="21">
        <f t="shared" si="19"/>
        <v>0</v>
      </c>
    </row>
    <row r="1230" spans="1:9" x14ac:dyDescent="0.25">
      <c r="A1230" s="18" t="s">
        <v>10207</v>
      </c>
      <c r="B1230" s="4" t="s">
        <v>3209</v>
      </c>
      <c r="C1230" s="4" t="s">
        <v>1361</v>
      </c>
      <c r="D1230" s="4" t="s">
        <v>3290</v>
      </c>
      <c r="E1230" s="9">
        <v>6590.4618181818187</v>
      </c>
      <c r="F1230" s="9">
        <v>72495.08</v>
      </c>
      <c r="G1230" s="1" t="s">
        <v>10208</v>
      </c>
      <c r="H1230" s="1">
        <f>SUMIF([1]Sheet1!$G:$G,A1230,[1]Sheet1!$O:$O)</f>
        <v>72495.08</v>
      </c>
      <c r="I1230" s="21">
        <f t="shared" si="19"/>
        <v>0</v>
      </c>
    </row>
    <row r="1231" spans="1:9" x14ac:dyDescent="0.25">
      <c r="A1231" s="18" t="s">
        <v>8184</v>
      </c>
      <c r="B1231" s="4" t="s">
        <v>2747</v>
      </c>
      <c r="C1231" s="4" t="s">
        <v>1362</v>
      </c>
      <c r="D1231" s="4" t="s">
        <v>3290</v>
      </c>
      <c r="E1231" s="9">
        <v>386.86333333333329</v>
      </c>
      <c r="F1231" s="9">
        <v>2321.1799999999998</v>
      </c>
      <c r="G1231" s="1" t="s">
        <v>8187</v>
      </c>
      <c r="H1231" s="1">
        <f>SUMIF([1]Sheet1!$G:$G,A1231,[1]Sheet1!$O:$O)</f>
        <v>2321.1799999999998</v>
      </c>
      <c r="I1231" s="21">
        <f t="shared" si="19"/>
        <v>0</v>
      </c>
    </row>
    <row r="1232" spans="1:9" x14ac:dyDescent="0.25">
      <c r="A1232" s="18" t="s">
        <v>4883</v>
      </c>
      <c r="B1232" s="4" t="s">
        <v>3210</v>
      </c>
      <c r="C1232" s="4" t="s">
        <v>1363</v>
      </c>
      <c r="D1232" s="4" t="s">
        <v>3290</v>
      </c>
      <c r="E1232" s="9">
        <v>5084.7466666666669</v>
      </c>
      <c r="F1232" s="9">
        <v>15254.240000000002</v>
      </c>
      <c r="G1232" s="1" t="s">
        <v>4884</v>
      </c>
      <c r="H1232" s="1">
        <f>SUMIF([1]Sheet1!$G:$G,A1232,[1]Sheet1!$O:$O)</f>
        <v>10169.49</v>
      </c>
      <c r="I1232" s="21">
        <f t="shared" si="19"/>
        <v>5084.7500000000018</v>
      </c>
    </row>
    <row r="1233" spans="1:9" x14ac:dyDescent="0.25">
      <c r="A1233" s="18" t="s">
        <v>4939</v>
      </c>
      <c r="B1233" s="4" t="s">
        <v>3211</v>
      </c>
      <c r="C1233" s="4" t="s">
        <v>1364</v>
      </c>
      <c r="D1233" s="4" t="s">
        <v>3290</v>
      </c>
      <c r="E1233" s="9">
        <v>29452.683333333334</v>
      </c>
      <c r="F1233" s="9">
        <v>88358.05</v>
      </c>
      <c r="G1233" s="1" t="s">
        <v>4940</v>
      </c>
      <c r="H1233" s="1">
        <f>SUMIF([1]Sheet1!$G:$G,A1233,[1]Sheet1!$O:$O)</f>
        <v>88358.05</v>
      </c>
      <c r="I1233" s="21">
        <f t="shared" si="19"/>
        <v>0</v>
      </c>
    </row>
    <row r="1234" spans="1:9" x14ac:dyDescent="0.25">
      <c r="A1234" s="18" t="s">
        <v>4941</v>
      </c>
      <c r="B1234" s="4" t="s">
        <v>3212</v>
      </c>
      <c r="C1234" s="4" t="s">
        <v>1365</v>
      </c>
      <c r="D1234" s="4" t="s">
        <v>3290</v>
      </c>
      <c r="E1234" s="9">
        <v>48349.375</v>
      </c>
      <c r="F1234" s="9">
        <v>96698.75</v>
      </c>
      <c r="G1234" s="1" t="s">
        <v>4942</v>
      </c>
      <c r="H1234" s="1">
        <f>SUMIF([1]Sheet1!$G:$G,A1234,[1]Sheet1!$O:$O)</f>
        <v>96698.75</v>
      </c>
      <c r="I1234" s="21">
        <f t="shared" si="19"/>
        <v>0</v>
      </c>
    </row>
    <row r="1235" spans="1:9" x14ac:dyDescent="0.25">
      <c r="A1235" s="18" t="s">
        <v>6733</v>
      </c>
      <c r="B1235" s="4" t="s">
        <v>3213</v>
      </c>
      <c r="C1235" s="4" t="s">
        <v>1366</v>
      </c>
      <c r="D1235" s="4" t="s">
        <v>3290</v>
      </c>
      <c r="E1235" s="9">
        <v>275.42333333333335</v>
      </c>
      <c r="F1235" s="9">
        <v>826.27</v>
      </c>
      <c r="G1235" s="1" t="s">
        <v>6734</v>
      </c>
      <c r="H1235" s="1">
        <f>SUMIF([1]Sheet1!$G:$G,A1235,[1]Sheet1!$O:$O)</f>
        <v>0.01</v>
      </c>
      <c r="I1235" s="21">
        <f t="shared" si="19"/>
        <v>826.26</v>
      </c>
    </row>
    <row r="1236" spans="1:9" x14ac:dyDescent="0.25">
      <c r="A1236" s="18" t="s">
        <v>8753</v>
      </c>
      <c r="B1236" s="4" t="s">
        <v>3214</v>
      </c>
      <c r="C1236" s="4" t="s">
        <v>1367</v>
      </c>
      <c r="D1236" s="4" t="s">
        <v>3290</v>
      </c>
      <c r="E1236" s="9">
        <v>9788.1350000000002</v>
      </c>
      <c r="F1236" s="9">
        <v>19576.27</v>
      </c>
      <c r="G1236" s="1" t="s">
        <v>8754</v>
      </c>
      <c r="H1236" s="1">
        <f>SUMIF([1]Sheet1!$G:$G,A1236,[1]Sheet1!$O:$O)</f>
        <v>19576.27</v>
      </c>
      <c r="I1236" s="21">
        <f t="shared" si="19"/>
        <v>0</v>
      </c>
    </row>
    <row r="1237" spans="1:9" x14ac:dyDescent="0.25">
      <c r="A1237" s="18" t="s">
        <v>7791</v>
      </c>
      <c r="B1237" s="4" t="s">
        <v>3215</v>
      </c>
      <c r="C1237" s="4" t="s">
        <v>1368</v>
      </c>
      <c r="D1237" s="4" t="s">
        <v>3290</v>
      </c>
      <c r="E1237" s="9">
        <v>19661.009999999998</v>
      </c>
      <c r="F1237" s="9">
        <v>19661.009999999998</v>
      </c>
      <c r="G1237" s="1" t="s">
        <v>7792</v>
      </c>
      <c r="H1237" s="1">
        <f>SUMIF([1]Sheet1!$G:$G,A1237,[1]Sheet1!$O:$O)</f>
        <v>19661.009999999998</v>
      </c>
      <c r="I1237" s="21">
        <f t="shared" si="19"/>
        <v>0</v>
      </c>
    </row>
    <row r="1238" spans="1:9" x14ac:dyDescent="0.25">
      <c r="A1238" s="18" t="s">
        <v>6209</v>
      </c>
      <c r="B1238" s="4" t="s">
        <v>3216</v>
      </c>
      <c r="C1238" s="4" t="s">
        <v>1369</v>
      </c>
      <c r="D1238" s="4" t="s">
        <v>3290</v>
      </c>
      <c r="E1238" s="9">
        <v>423.72777777777782</v>
      </c>
      <c r="F1238" s="9">
        <v>3813.55</v>
      </c>
      <c r="G1238" s="1" t="s">
        <v>6212</v>
      </c>
      <c r="H1238" s="1">
        <f>SUMIF([1]Sheet1!$G:$G,A1238,[1]Sheet1!$O:$O)</f>
        <v>0</v>
      </c>
      <c r="I1238" s="21">
        <f t="shared" si="19"/>
        <v>3813.55</v>
      </c>
    </row>
    <row r="1239" spans="1:9" x14ac:dyDescent="0.25">
      <c r="A1239" s="18" t="s">
        <v>6236</v>
      </c>
      <c r="B1239" s="4" t="s">
        <v>3217</v>
      </c>
      <c r="C1239" s="4" t="s">
        <v>1370</v>
      </c>
      <c r="D1239" s="4" t="s">
        <v>3290</v>
      </c>
      <c r="E1239" s="9">
        <v>183.63</v>
      </c>
      <c r="F1239" s="9">
        <v>550.89</v>
      </c>
      <c r="G1239" s="1" t="s">
        <v>6237</v>
      </c>
      <c r="H1239" s="1">
        <f>SUMIF([1]Sheet1!$G:$G,A1239,[1]Sheet1!$O:$O)</f>
        <v>550.89</v>
      </c>
      <c r="I1239" s="21">
        <f t="shared" si="19"/>
        <v>0</v>
      </c>
    </row>
    <row r="1240" spans="1:9" x14ac:dyDescent="0.25">
      <c r="A1240" s="18" t="s">
        <v>5668</v>
      </c>
      <c r="B1240" s="4" t="s">
        <v>3218</v>
      </c>
      <c r="C1240" s="4" t="s">
        <v>1371</v>
      </c>
      <c r="D1240" s="4" t="s">
        <v>3290</v>
      </c>
      <c r="E1240" s="9">
        <v>6389.8304000000007</v>
      </c>
      <c r="F1240" s="9">
        <v>159745.76</v>
      </c>
      <c r="G1240" s="1" t="s">
        <v>5669</v>
      </c>
      <c r="H1240" s="1">
        <f>SUMIF([1]Sheet1!$G:$G,A1240,[1]Sheet1!$O:$O)</f>
        <v>0.01</v>
      </c>
      <c r="I1240" s="21">
        <f t="shared" si="19"/>
        <v>159745.75</v>
      </c>
    </row>
    <row r="1241" spans="1:9" x14ac:dyDescent="0.25">
      <c r="A1241" s="18" t="s">
        <v>8071</v>
      </c>
      <c r="B1241" s="4" t="s">
        <v>2748</v>
      </c>
      <c r="C1241" s="4" t="s">
        <v>1372</v>
      </c>
      <c r="D1241" s="4" t="s">
        <v>3290</v>
      </c>
      <c r="E1241" s="9">
        <v>625</v>
      </c>
      <c r="F1241" s="9">
        <v>1250</v>
      </c>
      <c r="G1241" s="1" t="s">
        <v>8072</v>
      </c>
      <c r="H1241" s="1">
        <f>SUMIF([1]Sheet1!$G:$G,A1241,[1]Sheet1!$O:$O)</f>
        <v>1250</v>
      </c>
      <c r="I1241" s="21">
        <f t="shared" si="19"/>
        <v>0</v>
      </c>
    </row>
    <row r="1242" spans="1:9" x14ac:dyDescent="0.25">
      <c r="A1242" s="18" t="s">
        <v>7355</v>
      </c>
      <c r="B1242" s="4" t="s">
        <v>2749</v>
      </c>
      <c r="C1242" s="4" t="s">
        <v>1373</v>
      </c>
      <c r="D1242" s="4" t="s">
        <v>3289</v>
      </c>
      <c r="E1242" s="9">
        <v>250</v>
      </c>
      <c r="F1242" s="9">
        <v>7277.5</v>
      </c>
      <c r="G1242" s="1" t="s">
        <v>7356</v>
      </c>
      <c r="H1242" s="1">
        <f>SUMIF([1]Sheet1!$G:$G,A1242,[1]Sheet1!$O:$O)</f>
        <v>7277.5</v>
      </c>
      <c r="I1242" s="21">
        <f t="shared" si="19"/>
        <v>0</v>
      </c>
    </row>
    <row r="1243" spans="1:9" x14ac:dyDescent="0.25">
      <c r="A1243" s="18" t="s">
        <v>8900</v>
      </c>
      <c r="B1243" s="4" t="s">
        <v>2750</v>
      </c>
      <c r="C1243" s="4" t="s">
        <v>1374</v>
      </c>
      <c r="D1243" s="4" t="s">
        <v>3290</v>
      </c>
      <c r="E1243" s="9">
        <v>275</v>
      </c>
      <c r="F1243" s="9">
        <v>3575</v>
      </c>
      <c r="G1243" s="1" t="s">
        <v>8901</v>
      </c>
      <c r="H1243" s="1">
        <f>SUMIF([1]Sheet1!$G:$G,A1243,[1]Sheet1!$O:$O)</f>
        <v>3575</v>
      </c>
      <c r="I1243" s="21">
        <f t="shared" si="19"/>
        <v>0</v>
      </c>
    </row>
    <row r="1244" spans="1:9" x14ac:dyDescent="0.25">
      <c r="A1244" s="18" t="s">
        <v>10222</v>
      </c>
      <c r="B1244" s="4" t="s">
        <v>3219</v>
      </c>
      <c r="C1244" s="4" t="s">
        <v>1375</v>
      </c>
      <c r="D1244" s="4" t="s">
        <v>3290</v>
      </c>
      <c r="E1244" s="9">
        <v>2971.4195</v>
      </c>
      <c r="F1244" s="9">
        <v>59428.39</v>
      </c>
      <c r="G1244" s="1" t="s">
        <v>10223</v>
      </c>
      <c r="H1244" s="1">
        <f>SUMIF([1]Sheet1!$G:$G,A1244,[1]Sheet1!$O:$O)</f>
        <v>59428.39</v>
      </c>
      <c r="I1244" s="21">
        <f t="shared" si="19"/>
        <v>0</v>
      </c>
    </row>
    <row r="1245" spans="1:9" x14ac:dyDescent="0.25">
      <c r="A1245" s="18" t="s">
        <v>10080</v>
      </c>
      <c r="B1245" s="4" t="s">
        <v>3220</v>
      </c>
      <c r="C1245" s="4" t="s">
        <v>1376</v>
      </c>
      <c r="D1245" s="4" t="s">
        <v>3290</v>
      </c>
      <c r="E1245" s="9">
        <v>7149.6625000000004</v>
      </c>
      <c r="F1245" s="9">
        <v>57197.3</v>
      </c>
      <c r="G1245" s="1" t="s">
        <v>10081</v>
      </c>
      <c r="H1245" s="1">
        <f>SUMIF([1]Sheet1!$G:$G,A1245,[1]Sheet1!$O:$O)</f>
        <v>57197.3</v>
      </c>
      <c r="I1245" s="21">
        <f t="shared" si="19"/>
        <v>0</v>
      </c>
    </row>
    <row r="1246" spans="1:9" x14ac:dyDescent="0.25">
      <c r="A1246" s="18" t="s">
        <v>8757</v>
      </c>
      <c r="B1246" s="4" t="s">
        <v>3221</v>
      </c>
      <c r="C1246" s="4" t="s">
        <v>1377</v>
      </c>
      <c r="D1246" s="4" t="s">
        <v>3290</v>
      </c>
      <c r="E1246" s="9">
        <v>5149.1536363636369</v>
      </c>
      <c r="F1246" s="9">
        <v>56640.69</v>
      </c>
      <c r="G1246" s="1" t="s">
        <v>8758</v>
      </c>
      <c r="H1246" s="1">
        <f>SUMIF([1]Sheet1!$G:$G,A1246,[1]Sheet1!$O:$O)</f>
        <v>56640.69</v>
      </c>
      <c r="I1246" s="21">
        <f t="shared" si="19"/>
        <v>0</v>
      </c>
    </row>
    <row r="1247" spans="1:9" x14ac:dyDescent="0.25">
      <c r="A1247" s="18" t="s">
        <v>7015</v>
      </c>
      <c r="B1247" s="4" t="s">
        <v>3222</v>
      </c>
      <c r="C1247" s="4" t="s">
        <v>1378</v>
      </c>
      <c r="D1247" s="4" t="s">
        <v>3290</v>
      </c>
      <c r="E1247" s="9">
        <v>140.21564814814815</v>
      </c>
      <c r="F1247" s="9">
        <v>15143.29</v>
      </c>
      <c r="G1247" s="1" t="s">
        <v>7018</v>
      </c>
      <c r="H1247" s="1">
        <f>SUMIF([1]Sheet1!$G:$G,A1247,[1]Sheet1!$O:$O)</f>
        <v>15143.28</v>
      </c>
      <c r="I1247" s="21">
        <f t="shared" si="19"/>
        <v>1.0000000000218279E-2</v>
      </c>
    </row>
    <row r="1248" spans="1:9" x14ac:dyDescent="0.25">
      <c r="A1248" s="18" t="s">
        <v>7019</v>
      </c>
      <c r="B1248" s="4" t="s">
        <v>3223</v>
      </c>
      <c r="C1248" s="4" t="s">
        <v>1379</v>
      </c>
      <c r="D1248" s="4" t="s">
        <v>3290</v>
      </c>
      <c r="E1248" s="9">
        <v>271.18466666666666</v>
      </c>
      <c r="F1248" s="9">
        <v>4067.77</v>
      </c>
      <c r="G1248" s="1" t="s">
        <v>7020</v>
      </c>
      <c r="H1248" s="1">
        <f>SUMIF([1]Sheet1!$G:$G,A1248,[1]Sheet1!$O:$O)</f>
        <v>4067.77</v>
      </c>
      <c r="I1248" s="21">
        <f t="shared" si="19"/>
        <v>0</v>
      </c>
    </row>
    <row r="1249" spans="1:9" x14ac:dyDescent="0.25">
      <c r="A1249" s="18" t="s">
        <v>11481</v>
      </c>
      <c r="B1249" s="4" t="s">
        <v>3224</v>
      </c>
      <c r="C1249" s="4" t="s">
        <v>1380</v>
      </c>
      <c r="D1249" s="4" t="s">
        <v>3290</v>
      </c>
      <c r="E1249" s="9">
        <v>12494.35</v>
      </c>
      <c r="F1249" s="9">
        <v>62471.75</v>
      </c>
      <c r="G1249" s="1" t="s">
        <v>11484</v>
      </c>
      <c r="H1249" s="1">
        <f>SUMIF([1]Sheet1!$G:$G,A1249,[1]Sheet1!$O:$O)</f>
        <v>62471.75</v>
      </c>
      <c r="I1249" s="21">
        <f t="shared" si="19"/>
        <v>0</v>
      </c>
    </row>
    <row r="1250" spans="1:9" x14ac:dyDescent="0.25">
      <c r="A1250" s="18" t="s">
        <v>7807</v>
      </c>
      <c r="B1250" s="4" t="s">
        <v>3225</v>
      </c>
      <c r="C1250" s="4" t="s">
        <v>1381</v>
      </c>
      <c r="D1250" s="4" t="s">
        <v>3290</v>
      </c>
      <c r="E1250" s="9">
        <v>1000</v>
      </c>
      <c r="F1250" s="9">
        <v>2000</v>
      </c>
      <c r="G1250" s="1" t="s">
        <v>7808</v>
      </c>
      <c r="H1250" s="1">
        <f>SUMIF([1]Sheet1!$G:$G,A1250,[1]Sheet1!$O:$O)</f>
        <v>2000</v>
      </c>
      <c r="I1250" s="21">
        <f t="shared" si="19"/>
        <v>0</v>
      </c>
    </row>
    <row r="1251" spans="1:9" x14ac:dyDescent="0.25">
      <c r="A1251" s="18" t="s">
        <v>8685</v>
      </c>
      <c r="B1251" s="4" t="s">
        <v>3226</v>
      </c>
      <c r="C1251" s="4" t="s">
        <v>1382</v>
      </c>
      <c r="D1251" s="4" t="s">
        <v>3290</v>
      </c>
      <c r="E1251" s="9">
        <v>889.83</v>
      </c>
      <c r="F1251" s="9">
        <v>889.83</v>
      </c>
      <c r="G1251" s="1" t="s">
        <v>8686</v>
      </c>
      <c r="H1251" s="1">
        <f>SUMIF([1]Sheet1!$G:$G,A1251,[1]Sheet1!$O:$O)</f>
        <v>0</v>
      </c>
      <c r="I1251" s="21">
        <f t="shared" si="19"/>
        <v>889.83</v>
      </c>
    </row>
    <row r="1252" spans="1:9" x14ac:dyDescent="0.25">
      <c r="A1252" s="18" t="s">
        <v>5098</v>
      </c>
      <c r="B1252" s="4" t="s">
        <v>2751</v>
      </c>
      <c r="C1252" s="4" t="s">
        <v>1383</v>
      </c>
      <c r="D1252" s="4" t="s">
        <v>3290</v>
      </c>
      <c r="E1252" s="9">
        <v>3648.305294117647</v>
      </c>
      <c r="F1252" s="9">
        <v>62021.19</v>
      </c>
      <c r="G1252" s="1" t="s">
        <v>5099</v>
      </c>
      <c r="H1252" s="1">
        <f>SUMIF([1]Sheet1!$G:$G,A1252,[1]Sheet1!$O:$O)</f>
        <v>54724.58</v>
      </c>
      <c r="I1252" s="21">
        <f t="shared" si="19"/>
        <v>7296.6100000000006</v>
      </c>
    </row>
    <row r="1253" spans="1:9" x14ac:dyDescent="0.25">
      <c r="A1253" s="18" t="s">
        <v>9288</v>
      </c>
      <c r="B1253" s="4" t="s">
        <v>2752</v>
      </c>
      <c r="C1253" s="4" t="s">
        <v>1384</v>
      </c>
      <c r="D1253" s="4" t="s">
        <v>3291</v>
      </c>
      <c r="E1253" s="9">
        <v>32.203333333333333</v>
      </c>
      <c r="F1253" s="9">
        <v>193.22</v>
      </c>
      <c r="G1253" s="1" t="s">
        <v>9289</v>
      </c>
      <c r="H1253" s="1">
        <f>SUMIF([1]Sheet1!$G:$G,A1253,[1]Sheet1!$O:$O)</f>
        <v>193.22</v>
      </c>
      <c r="I1253" s="21">
        <f t="shared" si="19"/>
        <v>0</v>
      </c>
    </row>
    <row r="1254" spans="1:9" x14ac:dyDescent="0.25">
      <c r="A1254" s="18" t="s">
        <v>7752</v>
      </c>
      <c r="B1254" s="4" t="s">
        <v>2753</v>
      </c>
      <c r="C1254" s="4" t="s">
        <v>1385</v>
      </c>
      <c r="D1254" s="4" t="s">
        <v>3290</v>
      </c>
      <c r="E1254" s="9">
        <v>20.670666666666666</v>
      </c>
      <c r="F1254" s="9">
        <v>930.18</v>
      </c>
      <c r="G1254" s="1" t="s">
        <v>7753</v>
      </c>
      <c r="H1254" s="1">
        <f>SUMIF([1]Sheet1!$G:$G,A1254,[1]Sheet1!$O:$O)</f>
        <v>930.18</v>
      </c>
      <c r="I1254" s="21">
        <f t="shared" si="19"/>
        <v>0</v>
      </c>
    </row>
    <row r="1255" spans="1:9" x14ac:dyDescent="0.25">
      <c r="A1255" s="18" t="s">
        <v>4698</v>
      </c>
      <c r="B1255" s="4" t="s">
        <v>2754</v>
      </c>
      <c r="C1255" s="4" t="s">
        <v>1386</v>
      </c>
      <c r="D1255" s="4" t="s">
        <v>3290</v>
      </c>
      <c r="E1255" s="9">
        <v>238.41833333333332</v>
      </c>
      <c r="F1255" s="9">
        <v>1430.51</v>
      </c>
      <c r="G1255" s="1" t="s">
        <v>4699</v>
      </c>
      <c r="H1255" s="1">
        <f>SUMIF([1]Sheet1!$G:$G,A1255,[1]Sheet1!$O:$O)</f>
        <v>1430.51</v>
      </c>
      <c r="I1255" s="21">
        <f t="shared" si="19"/>
        <v>0</v>
      </c>
    </row>
    <row r="1256" spans="1:9" x14ac:dyDescent="0.25">
      <c r="A1256" s="18" t="s">
        <v>7738</v>
      </c>
      <c r="B1256" s="4" t="s">
        <v>2755</v>
      </c>
      <c r="C1256" s="4" t="s">
        <v>1387</v>
      </c>
      <c r="D1256" s="4" t="s">
        <v>3290</v>
      </c>
      <c r="E1256" s="9">
        <v>262.71249999999998</v>
      </c>
      <c r="F1256" s="9">
        <v>1050.8499999999999</v>
      </c>
      <c r="G1256" s="1" t="s">
        <v>7739</v>
      </c>
      <c r="H1256" s="1">
        <f>SUMIF([1]Sheet1!$G:$G,A1256,[1]Sheet1!$O:$O)</f>
        <v>1050.8499999999999</v>
      </c>
      <c r="I1256" s="21">
        <f t="shared" si="19"/>
        <v>0</v>
      </c>
    </row>
    <row r="1257" spans="1:9" x14ac:dyDescent="0.25">
      <c r="A1257" s="18" t="s">
        <v>5861</v>
      </c>
      <c r="B1257" s="4" t="s">
        <v>2756</v>
      </c>
      <c r="C1257" s="4" t="s">
        <v>1388</v>
      </c>
      <c r="D1257" s="4" t="s">
        <v>3290</v>
      </c>
      <c r="E1257" s="9">
        <v>94.07</v>
      </c>
      <c r="F1257" s="9">
        <v>282.20999999999998</v>
      </c>
      <c r="G1257" s="1" t="s">
        <v>5862</v>
      </c>
      <c r="H1257" s="1">
        <f>SUMIF([1]Sheet1!$G:$G,A1257,[1]Sheet1!$O:$O)</f>
        <v>282.20999999999998</v>
      </c>
      <c r="I1257" s="21">
        <f t="shared" si="19"/>
        <v>0</v>
      </c>
    </row>
    <row r="1258" spans="1:9" x14ac:dyDescent="0.25">
      <c r="A1258" s="18" t="s">
        <v>11078</v>
      </c>
      <c r="B1258" s="4" t="s">
        <v>2757</v>
      </c>
      <c r="C1258" s="4" t="s">
        <v>1389</v>
      </c>
      <c r="D1258" s="4" t="s">
        <v>3290</v>
      </c>
      <c r="E1258" s="9">
        <v>4.2374999999999998</v>
      </c>
      <c r="F1258" s="9">
        <v>16.95</v>
      </c>
      <c r="G1258" s="1" t="s">
        <v>11079</v>
      </c>
      <c r="H1258" s="1">
        <f>SUMIF([1]Sheet1!$G:$G,A1258,[1]Sheet1!$O:$O)</f>
        <v>16.95</v>
      </c>
      <c r="I1258" s="21">
        <f t="shared" si="19"/>
        <v>0</v>
      </c>
    </row>
    <row r="1259" spans="1:9" x14ac:dyDescent="0.25">
      <c r="A1259" s="18" t="s">
        <v>8535</v>
      </c>
      <c r="B1259" s="4" t="s">
        <v>2758</v>
      </c>
      <c r="C1259" s="4" t="s">
        <v>1390</v>
      </c>
      <c r="D1259" s="4" t="s">
        <v>3289</v>
      </c>
      <c r="E1259" s="9">
        <v>2.0338461538461536</v>
      </c>
      <c r="F1259" s="9">
        <v>264.39999999999998</v>
      </c>
      <c r="G1259" s="1" t="s">
        <v>8536</v>
      </c>
      <c r="H1259" s="1">
        <f>SUMIF([1]Sheet1!$G:$G,A1259,[1]Sheet1!$O:$O)</f>
        <v>264.39</v>
      </c>
      <c r="I1259" s="21">
        <f t="shared" si="19"/>
        <v>9.9999999999909051E-3</v>
      </c>
    </row>
    <row r="1260" spans="1:9" x14ac:dyDescent="0.25">
      <c r="A1260" s="18" t="s">
        <v>10216</v>
      </c>
      <c r="B1260" s="4" t="s">
        <v>3227</v>
      </c>
      <c r="C1260" s="4" t="s">
        <v>1391</v>
      </c>
      <c r="D1260" s="4" t="s">
        <v>3290</v>
      </c>
      <c r="E1260" s="9">
        <v>2473.3485714285712</v>
      </c>
      <c r="F1260" s="9">
        <v>34626.879999999997</v>
      </c>
      <c r="G1260" s="1" t="s">
        <v>10219</v>
      </c>
      <c r="H1260" s="1">
        <f>SUMIF([1]Sheet1!$G:$G,A1260,[1]Sheet1!$O:$O)</f>
        <v>0</v>
      </c>
      <c r="I1260" s="21">
        <f t="shared" si="19"/>
        <v>34626.879999999997</v>
      </c>
    </row>
    <row r="1261" spans="1:9" x14ac:dyDescent="0.25">
      <c r="A1261" s="18" t="s">
        <v>10197</v>
      </c>
      <c r="B1261" s="4" t="s">
        <v>3228</v>
      </c>
      <c r="C1261" s="4" t="s">
        <v>1392</v>
      </c>
      <c r="D1261" s="4" t="s">
        <v>3290</v>
      </c>
      <c r="E1261" s="9">
        <v>1457.914</v>
      </c>
      <c r="F1261" s="9">
        <v>7289.57</v>
      </c>
      <c r="G1261" s="1" t="s">
        <v>10198</v>
      </c>
      <c r="H1261" s="1">
        <f>SUMIF([1]Sheet1!$G:$G,A1261,[1]Sheet1!$O:$O)</f>
        <v>7289.57</v>
      </c>
      <c r="I1261" s="21">
        <f t="shared" si="19"/>
        <v>0</v>
      </c>
    </row>
    <row r="1262" spans="1:9" x14ac:dyDescent="0.25">
      <c r="A1262" s="18" t="s">
        <v>10189</v>
      </c>
      <c r="B1262" s="4" t="s">
        <v>3229</v>
      </c>
      <c r="C1262" s="4" t="s">
        <v>1393</v>
      </c>
      <c r="D1262" s="4" t="s">
        <v>3290</v>
      </c>
      <c r="E1262" s="9">
        <v>1404.4133333333332</v>
      </c>
      <c r="F1262" s="9">
        <v>25279.439999999999</v>
      </c>
      <c r="G1262" s="1" t="s">
        <v>10192</v>
      </c>
      <c r="H1262" s="1">
        <f>SUMIF([1]Sheet1!$G:$G,A1262,[1]Sheet1!$O:$O)</f>
        <v>0.06</v>
      </c>
      <c r="I1262" s="21">
        <f t="shared" si="19"/>
        <v>25279.379999999997</v>
      </c>
    </row>
    <row r="1263" spans="1:9" x14ac:dyDescent="0.25">
      <c r="A1263" s="18" t="s">
        <v>10178</v>
      </c>
      <c r="B1263" s="4" t="s">
        <v>3230</v>
      </c>
      <c r="C1263" s="4" t="s">
        <v>1394</v>
      </c>
      <c r="D1263" s="4" t="s">
        <v>3290</v>
      </c>
      <c r="E1263" s="9">
        <v>296.61</v>
      </c>
      <c r="F1263" s="9">
        <v>593.22</v>
      </c>
      <c r="G1263" s="1" t="s">
        <v>10179</v>
      </c>
      <c r="H1263" s="1">
        <f>SUMIF([1]Sheet1!$G:$G,A1263,[1]Sheet1!$O:$O)</f>
        <v>593.22</v>
      </c>
      <c r="I1263" s="21">
        <f t="shared" si="19"/>
        <v>0</v>
      </c>
    </row>
    <row r="1264" spans="1:9" x14ac:dyDescent="0.25">
      <c r="A1264" s="18" t="s">
        <v>10038</v>
      </c>
      <c r="B1264" s="4" t="s">
        <v>3231</v>
      </c>
      <c r="C1264" s="4" t="s">
        <v>1395</v>
      </c>
      <c r="D1264" s="4" t="s">
        <v>3290</v>
      </c>
      <c r="E1264" s="9">
        <v>2792.5747826086958</v>
      </c>
      <c r="F1264" s="9">
        <v>64229.22</v>
      </c>
      <c r="G1264" s="1" t="s">
        <v>10039</v>
      </c>
      <c r="H1264" s="1">
        <f>SUMIF([1]Sheet1!$G:$G,A1264,[1]Sheet1!$O:$O)</f>
        <v>0</v>
      </c>
      <c r="I1264" s="21">
        <f t="shared" si="19"/>
        <v>64229.22</v>
      </c>
    </row>
    <row r="1265" spans="1:9" x14ac:dyDescent="0.25">
      <c r="A1265" s="18" t="s">
        <v>6926</v>
      </c>
      <c r="B1265" s="4" t="s">
        <v>2759</v>
      </c>
      <c r="C1265" s="4" t="s">
        <v>1396</v>
      </c>
      <c r="D1265" s="4" t="s">
        <v>3290</v>
      </c>
      <c r="E1265" s="9">
        <v>56.794029850746263</v>
      </c>
      <c r="F1265" s="9">
        <v>3805.2</v>
      </c>
      <c r="G1265" s="1" t="s">
        <v>6927</v>
      </c>
      <c r="H1265" s="1">
        <f>SUMIF([1]Sheet1!$G:$G,A1265,[1]Sheet1!$O:$O)</f>
        <v>3805.2</v>
      </c>
      <c r="I1265" s="21">
        <f t="shared" si="19"/>
        <v>0</v>
      </c>
    </row>
    <row r="1266" spans="1:9" x14ac:dyDescent="0.25">
      <c r="A1266" s="18" t="s">
        <v>10425</v>
      </c>
      <c r="B1266" s="4" t="s">
        <v>2760</v>
      </c>
      <c r="C1266" s="4" t="s">
        <v>1397</v>
      </c>
      <c r="D1266" s="4" t="s">
        <v>3290</v>
      </c>
      <c r="E1266" s="9">
        <v>38.14</v>
      </c>
      <c r="F1266" s="9">
        <v>76.28</v>
      </c>
      <c r="G1266" s="1" t="s">
        <v>10426</v>
      </c>
      <c r="H1266" s="1">
        <f>SUMIF([1]Sheet1!$G:$G,A1266,[1]Sheet1!$O:$O)</f>
        <v>76.28</v>
      </c>
      <c r="I1266" s="21">
        <f t="shared" si="19"/>
        <v>0</v>
      </c>
    </row>
    <row r="1267" spans="1:9" x14ac:dyDescent="0.25">
      <c r="A1267" s="18" t="s">
        <v>9119</v>
      </c>
      <c r="B1267" s="4" t="s">
        <v>2761</v>
      </c>
      <c r="C1267" s="4" t="s">
        <v>1398</v>
      </c>
      <c r="D1267" s="4" t="s">
        <v>3290</v>
      </c>
      <c r="E1267" s="9">
        <v>1.272</v>
      </c>
      <c r="F1267" s="9">
        <v>6.36</v>
      </c>
      <c r="G1267" s="1" t="s">
        <v>9120</v>
      </c>
      <c r="H1267" s="1">
        <f>SUMIF([1]Sheet1!$G:$G,A1267,[1]Sheet1!$O:$O)</f>
        <v>6.36</v>
      </c>
      <c r="I1267" s="21">
        <f t="shared" si="19"/>
        <v>0</v>
      </c>
    </row>
    <row r="1268" spans="1:9" x14ac:dyDescent="0.25">
      <c r="A1268" s="18" t="s">
        <v>6141</v>
      </c>
      <c r="B1268" s="4" t="s">
        <v>2762</v>
      </c>
      <c r="C1268" s="4" t="s">
        <v>1399</v>
      </c>
      <c r="D1268" s="4" t="s">
        <v>3290</v>
      </c>
      <c r="E1268" s="9">
        <v>619.91499999999996</v>
      </c>
      <c r="F1268" s="9">
        <v>1239.83</v>
      </c>
      <c r="G1268" s="1" t="s">
        <v>6142</v>
      </c>
      <c r="H1268" s="1">
        <f>SUMIF([1]Sheet1!$G:$G,A1268,[1]Sheet1!$O:$O)</f>
        <v>1239.83</v>
      </c>
      <c r="I1268" s="21">
        <f t="shared" si="19"/>
        <v>0</v>
      </c>
    </row>
    <row r="1269" spans="1:9" x14ac:dyDescent="0.25">
      <c r="A1269" s="18" t="s">
        <v>8053</v>
      </c>
      <c r="B1269" s="4" t="s">
        <v>2763</v>
      </c>
      <c r="C1269" s="4" t="s">
        <v>1400</v>
      </c>
      <c r="D1269" s="4" t="s">
        <v>3290</v>
      </c>
      <c r="E1269" s="9">
        <v>3775.4250000000002</v>
      </c>
      <c r="F1269" s="9">
        <v>7550.85</v>
      </c>
      <c r="G1269" s="1" t="s">
        <v>8054</v>
      </c>
      <c r="H1269" s="1">
        <f>SUMIF([1]Sheet1!$G:$G,A1269,[1]Sheet1!$O:$O)</f>
        <v>7550.85</v>
      </c>
      <c r="I1269" s="21">
        <f t="shared" si="19"/>
        <v>0</v>
      </c>
    </row>
    <row r="1270" spans="1:9" x14ac:dyDescent="0.25">
      <c r="A1270" s="18" t="s">
        <v>8065</v>
      </c>
      <c r="B1270" s="4" t="s">
        <v>2764</v>
      </c>
      <c r="C1270" s="4" t="s">
        <v>1401</v>
      </c>
      <c r="D1270" s="4" t="s">
        <v>3290</v>
      </c>
      <c r="E1270" s="9">
        <v>5644.07</v>
      </c>
      <c r="F1270" s="9">
        <v>11288.14</v>
      </c>
      <c r="G1270" s="1" t="s">
        <v>8066</v>
      </c>
      <c r="H1270" s="1">
        <f>SUMIF([1]Sheet1!$G:$G,A1270,[1]Sheet1!$O:$O)</f>
        <v>11288.14</v>
      </c>
      <c r="I1270" s="21">
        <f t="shared" si="19"/>
        <v>0</v>
      </c>
    </row>
    <row r="1271" spans="1:9" x14ac:dyDescent="0.25">
      <c r="A1271" s="18" t="s">
        <v>8096</v>
      </c>
      <c r="B1271" s="4" t="s">
        <v>2765</v>
      </c>
      <c r="C1271" s="4" t="s">
        <v>1402</v>
      </c>
      <c r="D1271" s="4" t="s">
        <v>3290</v>
      </c>
      <c r="E1271" s="9">
        <v>29067.8</v>
      </c>
      <c r="F1271" s="9">
        <v>29067.8</v>
      </c>
      <c r="G1271" s="1" t="s">
        <v>8097</v>
      </c>
      <c r="H1271" s="1">
        <f>SUMIF([1]Sheet1!$G:$G,A1271,[1]Sheet1!$O:$O)</f>
        <v>29067.8</v>
      </c>
      <c r="I1271" s="21">
        <f t="shared" si="19"/>
        <v>0</v>
      </c>
    </row>
    <row r="1272" spans="1:9" x14ac:dyDescent="0.25">
      <c r="A1272" s="18" t="s">
        <v>9202</v>
      </c>
      <c r="B1272" s="4" t="s">
        <v>2766</v>
      </c>
      <c r="C1272" s="4" t="s">
        <v>1403</v>
      </c>
      <c r="D1272" s="4" t="s">
        <v>3290</v>
      </c>
      <c r="E1272" s="9">
        <v>2025.4266666666665</v>
      </c>
      <c r="F1272" s="9">
        <v>6076.28</v>
      </c>
      <c r="G1272" s="1" t="s">
        <v>9203</v>
      </c>
      <c r="H1272" s="1">
        <f>SUMIF([1]Sheet1!$G:$G,A1272,[1]Sheet1!$O:$O)</f>
        <v>6076.28</v>
      </c>
      <c r="I1272" s="21">
        <f t="shared" si="19"/>
        <v>0</v>
      </c>
    </row>
    <row r="1273" spans="1:9" x14ac:dyDescent="0.25">
      <c r="A1273" s="18" t="s">
        <v>6884</v>
      </c>
      <c r="B1273" s="4" t="s">
        <v>2767</v>
      </c>
      <c r="C1273" s="4" t="s">
        <v>1404</v>
      </c>
      <c r="D1273" s="4" t="s">
        <v>3290</v>
      </c>
      <c r="E1273" s="9">
        <v>2.2141290322580645</v>
      </c>
      <c r="F1273" s="9">
        <v>343.19</v>
      </c>
      <c r="G1273" s="1" t="s">
        <v>6885</v>
      </c>
      <c r="H1273" s="1">
        <f>SUMIF([1]Sheet1!$G:$G,A1273,[1]Sheet1!$O:$O)</f>
        <v>343.19</v>
      </c>
      <c r="I1273" s="21">
        <f t="shared" si="19"/>
        <v>0</v>
      </c>
    </row>
    <row r="1274" spans="1:9" x14ac:dyDescent="0.25">
      <c r="A1274" s="18" t="s">
        <v>6269</v>
      </c>
      <c r="B1274" s="4" t="s">
        <v>3232</v>
      </c>
      <c r="C1274" s="4" t="s">
        <v>1405</v>
      </c>
      <c r="D1274" s="4" t="s">
        <v>3290</v>
      </c>
      <c r="E1274" s="9">
        <v>3789.5</v>
      </c>
      <c r="F1274" s="9">
        <v>7579</v>
      </c>
      <c r="G1274" s="1" t="s">
        <v>6270</v>
      </c>
      <c r="H1274" s="1">
        <f>SUMIF([1]Sheet1!$G:$G,A1274,[1]Sheet1!$O:$O)</f>
        <v>7579</v>
      </c>
      <c r="I1274" s="21">
        <f t="shared" si="19"/>
        <v>0</v>
      </c>
    </row>
    <row r="1275" spans="1:9" x14ac:dyDescent="0.25">
      <c r="A1275" s="18" t="s">
        <v>10926</v>
      </c>
      <c r="B1275" s="4" t="s">
        <v>2768</v>
      </c>
      <c r="C1275" s="4" t="s">
        <v>1406</v>
      </c>
      <c r="D1275" s="4" t="s">
        <v>3290</v>
      </c>
      <c r="E1275" s="9">
        <v>186.44</v>
      </c>
      <c r="F1275" s="9">
        <v>186.44</v>
      </c>
      <c r="G1275" s="1" t="s">
        <v>10927</v>
      </c>
      <c r="H1275" s="1">
        <f>SUMIF([1]Sheet1!$G:$G,A1275,[1]Sheet1!$O:$O)</f>
        <v>186.44</v>
      </c>
      <c r="I1275" s="21">
        <f t="shared" si="19"/>
        <v>0</v>
      </c>
    </row>
    <row r="1276" spans="1:9" x14ac:dyDescent="0.25">
      <c r="A1276" s="18" t="s">
        <v>6178</v>
      </c>
      <c r="B1276" s="4" t="s">
        <v>2769</v>
      </c>
      <c r="C1276" s="4" t="s">
        <v>1407</v>
      </c>
      <c r="D1276" s="4" t="s">
        <v>3289</v>
      </c>
      <c r="E1276" s="9">
        <v>0.82054251012145751</v>
      </c>
      <c r="F1276" s="9">
        <v>1013.37</v>
      </c>
      <c r="G1276" s="1" t="s">
        <v>6181</v>
      </c>
      <c r="H1276" s="1">
        <f>SUMIF([1]Sheet1!$G:$G,A1276,[1]Sheet1!$O:$O)</f>
        <v>1013.32</v>
      </c>
      <c r="I1276" s="21">
        <f t="shared" si="19"/>
        <v>4.9999999999954525E-2</v>
      </c>
    </row>
    <row r="1277" spans="1:9" x14ac:dyDescent="0.25">
      <c r="A1277" s="18" t="s">
        <v>8923</v>
      </c>
      <c r="B1277" s="4" t="s">
        <v>2770</v>
      </c>
      <c r="C1277" s="4" t="s">
        <v>1408</v>
      </c>
      <c r="D1277" s="4" t="s">
        <v>3290</v>
      </c>
      <c r="E1277" s="9">
        <v>1464.4070588235293</v>
      </c>
      <c r="F1277" s="9">
        <v>24894.92</v>
      </c>
      <c r="G1277" s="1" t="s">
        <v>8924</v>
      </c>
      <c r="H1277" s="1">
        <f>SUMIF([1]Sheet1!$G:$G,A1277,[1]Sheet1!$O:$O)</f>
        <v>24894.92</v>
      </c>
      <c r="I1277" s="21">
        <f t="shared" si="19"/>
        <v>0</v>
      </c>
    </row>
    <row r="1278" spans="1:9" x14ac:dyDescent="0.25">
      <c r="A1278" s="18" t="s">
        <v>4261</v>
      </c>
      <c r="B1278" s="4" t="s">
        <v>2771</v>
      </c>
      <c r="C1278" s="4" t="s">
        <v>1409</v>
      </c>
      <c r="D1278" s="4" t="s">
        <v>3290</v>
      </c>
      <c r="E1278" s="9">
        <v>12.913571428571428</v>
      </c>
      <c r="F1278" s="9">
        <v>180.79</v>
      </c>
      <c r="G1278" s="1" t="s">
        <v>4264</v>
      </c>
      <c r="H1278" s="1">
        <f>SUMIF([1]Sheet1!$G:$G,A1278,[1]Sheet1!$O:$O)</f>
        <v>180.79</v>
      </c>
      <c r="I1278" s="21">
        <f t="shared" si="19"/>
        <v>0</v>
      </c>
    </row>
    <row r="1279" spans="1:9" x14ac:dyDescent="0.25">
      <c r="A1279" s="18" t="s">
        <v>10427</v>
      </c>
      <c r="B1279" s="4" t="s">
        <v>2772</v>
      </c>
      <c r="C1279" s="4" t="s">
        <v>1410</v>
      </c>
      <c r="D1279" s="4" t="s">
        <v>3290</v>
      </c>
      <c r="E1279" s="9">
        <v>194.91400000000002</v>
      </c>
      <c r="F1279" s="9">
        <v>974.57</v>
      </c>
      <c r="G1279" s="1" t="s">
        <v>10428</v>
      </c>
      <c r="H1279" s="1">
        <f>SUMIF([1]Sheet1!$G:$G,A1279,[1]Sheet1!$O:$O)</f>
        <v>974.57</v>
      </c>
      <c r="I1279" s="21">
        <f t="shared" si="19"/>
        <v>0</v>
      </c>
    </row>
    <row r="1280" spans="1:9" x14ac:dyDescent="0.25">
      <c r="A1280" s="18" t="s">
        <v>10356</v>
      </c>
      <c r="B1280" s="4" t="s">
        <v>2773</v>
      </c>
      <c r="C1280" s="4" t="s">
        <v>1411</v>
      </c>
      <c r="D1280" s="4" t="s">
        <v>3290</v>
      </c>
      <c r="E1280" s="9">
        <v>24.675000000000001</v>
      </c>
      <c r="F1280" s="9">
        <v>49.35</v>
      </c>
      <c r="G1280" s="1" t="s">
        <v>10357</v>
      </c>
      <c r="H1280" s="1">
        <f>SUMIF([1]Sheet1!$G:$G,A1280,[1]Sheet1!$O:$O)</f>
        <v>49.35</v>
      </c>
      <c r="I1280" s="21">
        <f t="shared" si="19"/>
        <v>0</v>
      </c>
    </row>
    <row r="1281" spans="1:9" x14ac:dyDescent="0.25">
      <c r="A1281" s="18" t="s">
        <v>4233</v>
      </c>
      <c r="B1281" s="4" t="s">
        <v>2774</v>
      </c>
      <c r="C1281" s="4" t="s">
        <v>1412</v>
      </c>
      <c r="D1281" s="4" t="s">
        <v>3290</v>
      </c>
      <c r="E1281" s="9">
        <v>4.49125</v>
      </c>
      <c r="F1281" s="9">
        <v>35.93</v>
      </c>
      <c r="G1281" s="1" t="s">
        <v>4236</v>
      </c>
      <c r="H1281" s="1">
        <f>SUMIF([1]Sheet1!$G:$G,A1281,[1]Sheet1!$O:$O)</f>
        <v>35.93</v>
      </c>
      <c r="I1281" s="21">
        <f t="shared" si="19"/>
        <v>0</v>
      </c>
    </row>
    <row r="1282" spans="1:9" x14ac:dyDescent="0.25">
      <c r="A1282" s="18" t="s">
        <v>6764</v>
      </c>
      <c r="B1282" s="4" t="s">
        <v>2775</v>
      </c>
      <c r="C1282" s="4" t="s">
        <v>1413</v>
      </c>
      <c r="D1282" s="4" t="s">
        <v>3291</v>
      </c>
      <c r="E1282" s="9">
        <v>3.5531818181818182</v>
      </c>
      <c r="F1282" s="9">
        <v>78.17</v>
      </c>
      <c r="G1282" s="1" t="s">
        <v>6765</v>
      </c>
      <c r="H1282" s="1">
        <f>SUMIF([1]Sheet1!$G:$G,A1282,[1]Sheet1!$O:$O)</f>
        <v>78.17</v>
      </c>
      <c r="I1282" s="21">
        <f t="shared" si="19"/>
        <v>0</v>
      </c>
    </row>
    <row r="1283" spans="1:9" x14ac:dyDescent="0.25">
      <c r="A1283" s="18" t="s">
        <v>11014</v>
      </c>
      <c r="B1283" s="4" t="s">
        <v>2776</v>
      </c>
      <c r="C1283" s="4" t="s">
        <v>1414</v>
      </c>
      <c r="D1283" s="4" t="s">
        <v>3290</v>
      </c>
      <c r="E1283" s="9">
        <v>39.344901960784313</v>
      </c>
      <c r="F1283" s="9">
        <v>2006.59</v>
      </c>
      <c r="G1283" s="1" t="s">
        <v>11015</v>
      </c>
      <c r="H1283" s="1">
        <f>SUMIF([1]Sheet1!$G:$G,A1283,[1]Sheet1!$O:$O)</f>
        <v>2006.59</v>
      </c>
      <c r="I1283" s="21">
        <f t="shared" ref="I1283:I1346" si="20">F1283-H1283</f>
        <v>0</v>
      </c>
    </row>
    <row r="1284" spans="1:9" x14ac:dyDescent="0.25">
      <c r="A1284" s="18" t="s">
        <v>8856</v>
      </c>
      <c r="B1284" s="4" t="s">
        <v>2777</v>
      </c>
      <c r="C1284" s="4" t="s">
        <v>1415</v>
      </c>
      <c r="D1284" s="4" t="s">
        <v>3290</v>
      </c>
      <c r="E1284" s="9">
        <v>59.322857142857139</v>
      </c>
      <c r="F1284" s="9">
        <v>415.26</v>
      </c>
      <c r="G1284" s="1" t="s">
        <v>8857</v>
      </c>
      <c r="H1284" s="1">
        <f>SUMIF([1]Sheet1!$G:$G,A1284,[1]Sheet1!$O:$O)</f>
        <v>415.26</v>
      </c>
      <c r="I1284" s="21">
        <f t="shared" si="20"/>
        <v>0</v>
      </c>
    </row>
    <row r="1285" spans="1:9" x14ac:dyDescent="0.25">
      <c r="A1285" s="18" t="s">
        <v>11292</v>
      </c>
      <c r="B1285" s="4" t="s">
        <v>2778</v>
      </c>
      <c r="C1285" s="4" t="s">
        <v>1416</v>
      </c>
      <c r="D1285" s="4" t="s">
        <v>3290</v>
      </c>
      <c r="E1285" s="9">
        <v>7.0706666666666669</v>
      </c>
      <c r="F1285" s="9">
        <v>106.06</v>
      </c>
      <c r="G1285" s="1" t="s">
        <v>11294</v>
      </c>
      <c r="H1285" s="1">
        <f>SUMIF([1]Sheet1!$G:$G,A1285,[1]Sheet1!$O:$O)</f>
        <v>106.06</v>
      </c>
      <c r="I1285" s="21">
        <f t="shared" si="20"/>
        <v>0</v>
      </c>
    </row>
    <row r="1286" spans="1:9" x14ac:dyDescent="0.25">
      <c r="A1286" s="18" t="s">
        <v>11517</v>
      </c>
      <c r="B1286" s="4" t="s">
        <v>2779</v>
      </c>
      <c r="C1286" s="4" t="s">
        <v>1417</v>
      </c>
      <c r="D1286" s="4" t="s">
        <v>3290</v>
      </c>
      <c r="E1286" s="9">
        <v>0.85129518072289156</v>
      </c>
      <c r="F1286" s="9">
        <v>282.63</v>
      </c>
      <c r="G1286" s="1" t="s">
        <v>11518</v>
      </c>
      <c r="H1286" s="1">
        <f>SUMIF([1]Sheet1!$G:$G,A1286,[1]Sheet1!$O:$O)</f>
        <v>282.63</v>
      </c>
      <c r="I1286" s="21">
        <f t="shared" si="20"/>
        <v>0</v>
      </c>
    </row>
    <row r="1287" spans="1:9" x14ac:dyDescent="0.25">
      <c r="A1287" s="18" t="s">
        <v>11543</v>
      </c>
      <c r="B1287" s="4" t="s">
        <v>2780</v>
      </c>
      <c r="C1287" s="4" t="s">
        <v>1418</v>
      </c>
      <c r="D1287" s="4" t="s">
        <v>3290</v>
      </c>
      <c r="E1287" s="9">
        <v>1.8643656716417909</v>
      </c>
      <c r="F1287" s="9">
        <v>499.65</v>
      </c>
      <c r="G1287" s="1" t="s">
        <v>11544</v>
      </c>
      <c r="H1287" s="1">
        <f>SUMIF([1]Sheet1!$G:$G,A1287,[1]Sheet1!$O:$O)</f>
        <v>499.66</v>
      </c>
      <c r="I1287" s="21">
        <f t="shared" si="20"/>
        <v>-1.0000000000047748E-2</v>
      </c>
    </row>
    <row r="1288" spans="1:9" x14ac:dyDescent="0.25">
      <c r="A1288" s="18" t="s">
        <v>9459</v>
      </c>
      <c r="B1288" s="4" t="s">
        <v>2781</v>
      </c>
      <c r="C1288" s="4" t="s">
        <v>1419</v>
      </c>
      <c r="D1288" s="4" t="s">
        <v>3290</v>
      </c>
      <c r="E1288" s="9">
        <v>0.23727848101265825</v>
      </c>
      <c r="F1288" s="9">
        <v>37.49</v>
      </c>
      <c r="G1288" s="1" t="s">
        <v>9460</v>
      </c>
      <c r="H1288" s="1">
        <f>SUMIF([1]Sheet1!$G:$G,A1288,[1]Sheet1!$O:$O)</f>
        <v>37.49</v>
      </c>
      <c r="I1288" s="21">
        <f t="shared" si="20"/>
        <v>0</v>
      </c>
    </row>
    <row r="1289" spans="1:9" x14ac:dyDescent="0.25">
      <c r="A1289" s="18" t="s">
        <v>12008</v>
      </c>
      <c r="B1289" s="4" t="s">
        <v>2782</v>
      </c>
      <c r="C1289" s="4" t="s">
        <v>1420</v>
      </c>
      <c r="D1289" s="4" t="s">
        <v>3290</v>
      </c>
      <c r="E1289" s="9">
        <v>381.35</v>
      </c>
      <c r="F1289" s="9">
        <v>381.35</v>
      </c>
      <c r="G1289" s="1" t="s">
        <v>12009</v>
      </c>
      <c r="H1289" s="1">
        <f>SUMIF([1]Sheet1!$G:$G,A1289,[1]Sheet1!$O:$O)</f>
        <v>381.35</v>
      </c>
      <c r="I1289" s="21">
        <f t="shared" si="20"/>
        <v>0</v>
      </c>
    </row>
    <row r="1290" spans="1:9" x14ac:dyDescent="0.25">
      <c r="A1290" s="18" t="s">
        <v>10472</v>
      </c>
      <c r="B1290" s="4" t="s">
        <v>2783</v>
      </c>
      <c r="C1290" s="4" t="s">
        <v>1421</v>
      </c>
      <c r="D1290" s="4" t="s">
        <v>3290</v>
      </c>
      <c r="E1290" s="9">
        <v>211.86500000000001</v>
      </c>
      <c r="F1290" s="9">
        <v>847.46</v>
      </c>
      <c r="G1290" s="1" t="s">
        <v>10473</v>
      </c>
      <c r="H1290" s="1">
        <f>SUMIF([1]Sheet1!$G:$G,A1290,[1]Sheet1!$O:$O)</f>
        <v>847.46</v>
      </c>
      <c r="I1290" s="21">
        <f t="shared" si="20"/>
        <v>0</v>
      </c>
    </row>
    <row r="1291" spans="1:9" x14ac:dyDescent="0.25">
      <c r="A1291" s="18" t="s">
        <v>10947</v>
      </c>
      <c r="B1291" s="4" t="s">
        <v>2784</v>
      </c>
      <c r="C1291" s="4" t="s">
        <v>1422</v>
      </c>
      <c r="D1291" s="4" t="s">
        <v>3290</v>
      </c>
      <c r="E1291" s="9">
        <v>42.372500000000002</v>
      </c>
      <c r="F1291" s="9">
        <v>169.49</v>
      </c>
      <c r="G1291" s="1" t="s">
        <v>10948</v>
      </c>
      <c r="H1291" s="1">
        <f>SUMIF([1]Sheet1!$G:$G,A1291,[1]Sheet1!$O:$O)</f>
        <v>169.49</v>
      </c>
      <c r="I1291" s="21">
        <f t="shared" si="20"/>
        <v>0</v>
      </c>
    </row>
    <row r="1292" spans="1:9" x14ac:dyDescent="0.25">
      <c r="A1292" s="18" t="s">
        <v>6127</v>
      </c>
      <c r="B1292" s="4" t="s">
        <v>2785</v>
      </c>
      <c r="C1292" s="4" t="s">
        <v>1423</v>
      </c>
      <c r="D1292" s="4" t="s">
        <v>3290</v>
      </c>
      <c r="E1292" s="9">
        <v>57.627499999999998</v>
      </c>
      <c r="F1292" s="9">
        <v>230.51</v>
      </c>
      <c r="G1292" s="1" t="s">
        <v>6128</v>
      </c>
      <c r="H1292" s="1">
        <f>SUMIF([1]Sheet1!$G:$G,A1292,[1]Sheet1!$O:$O)</f>
        <v>230.51</v>
      </c>
      <c r="I1292" s="21">
        <f t="shared" si="20"/>
        <v>0</v>
      </c>
    </row>
    <row r="1293" spans="1:9" x14ac:dyDescent="0.25">
      <c r="A1293" s="18" t="s">
        <v>7772</v>
      </c>
      <c r="B1293" s="4" t="s">
        <v>2786</v>
      </c>
      <c r="C1293" s="4" t="s">
        <v>1424</v>
      </c>
      <c r="D1293" s="4" t="s">
        <v>3290</v>
      </c>
      <c r="E1293" s="9">
        <v>2.288061224489796</v>
      </c>
      <c r="F1293" s="9">
        <v>224.23000000000002</v>
      </c>
      <c r="G1293" s="1" t="s">
        <v>7773</v>
      </c>
      <c r="H1293" s="1">
        <f>SUMIF([1]Sheet1!$G:$G,A1293,[1]Sheet1!$O:$O)</f>
        <v>224.23</v>
      </c>
      <c r="I1293" s="21">
        <f t="shared" si="20"/>
        <v>0</v>
      </c>
    </row>
    <row r="1294" spans="1:9" x14ac:dyDescent="0.25">
      <c r="A1294" s="18" t="s">
        <v>6585</v>
      </c>
      <c r="B1294" s="4" t="s">
        <v>2787</v>
      </c>
      <c r="C1294" s="4" t="s">
        <v>1425</v>
      </c>
      <c r="D1294" s="4" t="s">
        <v>3289</v>
      </c>
      <c r="E1294" s="9">
        <v>13.041176470588237</v>
      </c>
      <c r="F1294" s="9">
        <v>22.17</v>
      </c>
      <c r="G1294" s="1" t="s">
        <v>6586</v>
      </c>
      <c r="H1294" s="1">
        <f>SUMIF([1]Sheet1!$G:$G,A1294,[1]Sheet1!$O:$O)</f>
        <v>22.17</v>
      </c>
      <c r="I1294" s="21">
        <f t="shared" si="20"/>
        <v>0</v>
      </c>
    </row>
    <row r="1295" spans="1:9" x14ac:dyDescent="0.25">
      <c r="A1295" s="18" t="s">
        <v>6910</v>
      </c>
      <c r="B1295" s="4" t="s">
        <v>2788</v>
      </c>
      <c r="C1295" s="4" t="s">
        <v>1426</v>
      </c>
      <c r="D1295" s="4" t="s">
        <v>3290</v>
      </c>
      <c r="E1295" s="9">
        <v>52.985500000000002</v>
      </c>
      <c r="F1295" s="9">
        <v>1059.71</v>
      </c>
      <c r="G1295" s="1" t="s">
        <v>6911</v>
      </c>
      <c r="H1295" s="1">
        <f>SUMIF([1]Sheet1!$G:$G,A1295,[1]Sheet1!$O:$O)</f>
        <v>1059.71</v>
      </c>
      <c r="I1295" s="21">
        <f t="shared" si="20"/>
        <v>0</v>
      </c>
    </row>
    <row r="1296" spans="1:9" x14ac:dyDescent="0.25">
      <c r="A1296" s="18" t="s">
        <v>6916</v>
      </c>
      <c r="B1296" s="4" t="s">
        <v>2789</v>
      </c>
      <c r="C1296" s="4" t="s">
        <v>1427</v>
      </c>
      <c r="D1296" s="4" t="s">
        <v>3290</v>
      </c>
      <c r="E1296" s="9">
        <v>54.383982300884959</v>
      </c>
      <c r="F1296" s="9">
        <v>6145.39</v>
      </c>
      <c r="G1296" s="1" t="s">
        <v>6917</v>
      </c>
      <c r="H1296" s="1">
        <f>SUMIF([1]Sheet1!$G:$G,A1296,[1]Sheet1!$O:$O)</f>
        <v>6145.39</v>
      </c>
      <c r="I1296" s="21">
        <f t="shared" si="20"/>
        <v>0</v>
      </c>
    </row>
    <row r="1297" spans="1:9" x14ac:dyDescent="0.25">
      <c r="A1297" s="18" t="s">
        <v>6922</v>
      </c>
      <c r="B1297" s="4" t="s">
        <v>2790</v>
      </c>
      <c r="C1297" s="4" t="s">
        <v>1428</v>
      </c>
      <c r="D1297" s="4" t="s">
        <v>3290</v>
      </c>
      <c r="E1297" s="9">
        <v>57.066625000000002</v>
      </c>
      <c r="F1297" s="9">
        <v>4565.33</v>
      </c>
      <c r="G1297" s="1" t="s">
        <v>6923</v>
      </c>
      <c r="H1297" s="1">
        <f>SUMIF([1]Sheet1!$G:$G,A1297,[1]Sheet1!$O:$O)</f>
        <v>4565.33</v>
      </c>
      <c r="I1297" s="21">
        <f t="shared" si="20"/>
        <v>0</v>
      </c>
    </row>
    <row r="1298" spans="1:9" x14ac:dyDescent="0.25">
      <c r="A1298" s="18" t="s">
        <v>6930</v>
      </c>
      <c r="B1298" s="4" t="s">
        <v>2791</v>
      </c>
      <c r="C1298" s="4" t="s">
        <v>1429</v>
      </c>
      <c r="D1298" s="4" t="s">
        <v>3290</v>
      </c>
      <c r="E1298" s="9">
        <v>59.121290322580641</v>
      </c>
      <c r="F1298" s="9">
        <v>1832.76</v>
      </c>
      <c r="G1298" s="1" t="s">
        <v>6931</v>
      </c>
      <c r="H1298" s="1">
        <f>SUMIF([1]Sheet1!$G:$G,A1298,[1]Sheet1!$O:$O)</f>
        <v>1832.76</v>
      </c>
      <c r="I1298" s="21">
        <f t="shared" si="20"/>
        <v>0</v>
      </c>
    </row>
    <row r="1299" spans="1:9" x14ac:dyDescent="0.25">
      <c r="A1299" s="18" t="s">
        <v>10587</v>
      </c>
      <c r="B1299" s="4" t="s">
        <v>2792</v>
      </c>
      <c r="C1299" s="4" t="s">
        <v>1430</v>
      </c>
      <c r="D1299" s="4" t="s">
        <v>3290</v>
      </c>
      <c r="E1299" s="9">
        <v>12.974</v>
      </c>
      <c r="F1299" s="9">
        <v>64.87</v>
      </c>
      <c r="G1299" s="1" t="s">
        <v>10588</v>
      </c>
      <c r="H1299" s="1">
        <f>SUMIF([1]Sheet1!$G:$G,A1299,[1]Sheet1!$O:$O)</f>
        <v>64.87</v>
      </c>
      <c r="I1299" s="21">
        <f t="shared" si="20"/>
        <v>0</v>
      </c>
    </row>
    <row r="1300" spans="1:9" x14ac:dyDescent="0.25">
      <c r="A1300" s="18" t="s">
        <v>5788</v>
      </c>
      <c r="B1300" s="4" t="s">
        <v>2793</v>
      </c>
      <c r="C1300" s="4" t="s">
        <v>1431</v>
      </c>
      <c r="D1300" s="4" t="s">
        <v>3289</v>
      </c>
      <c r="E1300" s="9">
        <v>6.7796923076923079</v>
      </c>
      <c r="F1300" s="9">
        <v>881.36</v>
      </c>
      <c r="G1300" s="1" t="s">
        <v>5789</v>
      </c>
      <c r="H1300" s="1">
        <f>SUMIF([1]Sheet1!$G:$G,A1300,[1]Sheet1!$O:$O)</f>
        <v>881.36</v>
      </c>
      <c r="I1300" s="21">
        <f t="shared" si="20"/>
        <v>0</v>
      </c>
    </row>
    <row r="1301" spans="1:9" x14ac:dyDescent="0.25">
      <c r="A1301" s="18" t="s">
        <v>7008</v>
      </c>
      <c r="B1301" s="4" t="s">
        <v>2794</v>
      </c>
      <c r="C1301" s="4" t="s">
        <v>1432</v>
      </c>
      <c r="D1301" s="4" t="s">
        <v>3290</v>
      </c>
      <c r="E1301" s="9">
        <v>72.034411764705879</v>
      </c>
      <c r="F1301" s="9">
        <v>2449.17</v>
      </c>
      <c r="G1301" s="1" t="s">
        <v>7009</v>
      </c>
      <c r="H1301" s="1">
        <f>SUMIF([1]Sheet1!$G:$G,A1301,[1]Sheet1!$O:$O)</f>
        <v>2449.17</v>
      </c>
      <c r="I1301" s="21">
        <f t="shared" si="20"/>
        <v>0</v>
      </c>
    </row>
    <row r="1302" spans="1:9" x14ac:dyDescent="0.25">
      <c r="A1302" s="18" t="s">
        <v>3448</v>
      </c>
      <c r="B1302" s="4" t="s">
        <v>2795</v>
      </c>
      <c r="C1302" s="4" t="s">
        <v>1433</v>
      </c>
      <c r="D1302" s="4" t="s">
        <v>3290</v>
      </c>
      <c r="E1302" s="9">
        <v>343.22</v>
      </c>
      <c r="F1302" s="9">
        <v>686.44</v>
      </c>
      <c r="G1302" s="1" t="s">
        <v>3449</v>
      </c>
      <c r="H1302" s="1">
        <f>SUMIF([1]Sheet1!$G:$G,A1302,[1]Sheet1!$O:$O)</f>
        <v>686.44</v>
      </c>
      <c r="I1302" s="21">
        <f t="shared" si="20"/>
        <v>0</v>
      </c>
    </row>
    <row r="1303" spans="1:9" x14ac:dyDescent="0.25">
      <c r="A1303" s="18" t="s">
        <v>3452</v>
      </c>
      <c r="B1303" s="4" t="s">
        <v>2796</v>
      </c>
      <c r="C1303" s="4" t="s">
        <v>1434</v>
      </c>
      <c r="D1303" s="4" t="s">
        <v>3290</v>
      </c>
      <c r="E1303" s="9">
        <v>83.9</v>
      </c>
      <c r="F1303" s="9">
        <v>167.8</v>
      </c>
      <c r="G1303" s="1" t="s">
        <v>3453</v>
      </c>
      <c r="H1303" s="1">
        <f>SUMIF([1]Sheet1!$G:$G,A1303,[1]Sheet1!$O:$O)</f>
        <v>167.8</v>
      </c>
      <c r="I1303" s="21">
        <f t="shared" si="20"/>
        <v>0</v>
      </c>
    </row>
    <row r="1304" spans="1:9" x14ac:dyDescent="0.25">
      <c r="A1304" s="18" t="s">
        <v>3488</v>
      </c>
      <c r="B1304" s="4" t="s">
        <v>2797</v>
      </c>
      <c r="C1304" s="4" t="s">
        <v>1435</v>
      </c>
      <c r="D1304" s="4" t="s">
        <v>3290</v>
      </c>
      <c r="E1304" s="9">
        <v>194.92</v>
      </c>
      <c r="F1304" s="9">
        <v>194.92</v>
      </c>
      <c r="G1304" s="1" t="s">
        <v>3489</v>
      </c>
      <c r="H1304" s="1">
        <f>SUMIF([1]Sheet1!$G:$G,A1304,[1]Sheet1!$O:$O)</f>
        <v>194.92</v>
      </c>
      <c r="I1304" s="21">
        <f t="shared" si="20"/>
        <v>0</v>
      </c>
    </row>
    <row r="1305" spans="1:9" x14ac:dyDescent="0.25">
      <c r="A1305" s="18" t="s">
        <v>3858</v>
      </c>
      <c r="B1305" s="4" t="s">
        <v>2798</v>
      </c>
      <c r="C1305" s="4" t="s">
        <v>1436</v>
      </c>
      <c r="D1305" s="4" t="s">
        <v>3292</v>
      </c>
      <c r="E1305" s="9">
        <v>9.6687352941176474</v>
      </c>
      <c r="F1305" s="9">
        <v>3287.3700000000003</v>
      </c>
      <c r="G1305" s="1" t="s">
        <v>3859</v>
      </c>
      <c r="H1305" s="1">
        <f>SUMIF([1]Sheet1!$G:$G,A1305,[1]Sheet1!$O:$O)</f>
        <v>3093.98</v>
      </c>
      <c r="I1305" s="21">
        <f t="shared" si="20"/>
        <v>193.39000000000033</v>
      </c>
    </row>
    <row r="1306" spans="1:9" x14ac:dyDescent="0.25">
      <c r="A1306" s="18" t="s">
        <v>9227</v>
      </c>
      <c r="B1306" s="4" t="s">
        <v>3071</v>
      </c>
      <c r="C1306" s="4" t="s">
        <v>1437</v>
      </c>
      <c r="D1306" s="4" t="s">
        <v>3290</v>
      </c>
      <c r="E1306" s="9">
        <v>16.397500000000001</v>
      </c>
      <c r="F1306" s="9">
        <v>65.59</v>
      </c>
      <c r="G1306" s="1" t="s">
        <v>9229</v>
      </c>
      <c r="H1306" s="1">
        <f>SUMIF([1]Sheet1!$G:$G,A1306,[1]Sheet1!$O:$O)</f>
        <v>65.59</v>
      </c>
      <c r="I1306" s="21">
        <f t="shared" si="20"/>
        <v>0</v>
      </c>
    </row>
    <row r="1307" spans="1:9" x14ac:dyDescent="0.25">
      <c r="A1307" s="18" t="s">
        <v>5674</v>
      </c>
      <c r="B1307" s="4" t="s">
        <v>2799</v>
      </c>
      <c r="C1307" s="4" t="s">
        <v>1438</v>
      </c>
      <c r="D1307" s="4" t="s">
        <v>3290</v>
      </c>
      <c r="E1307" s="9">
        <v>2.9683333333333333</v>
      </c>
      <c r="F1307" s="9">
        <v>17.809999999999999</v>
      </c>
      <c r="G1307" s="1" t="s">
        <v>5675</v>
      </c>
      <c r="H1307" s="1">
        <f>SUMIF([1]Sheet1!$G:$G,A1307,[1]Sheet1!$O:$O)</f>
        <v>17.809999999999999</v>
      </c>
      <c r="I1307" s="21">
        <f t="shared" si="20"/>
        <v>0</v>
      </c>
    </row>
    <row r="1308" spans="1:9" x14ac:dyDescent="0.25">
      <c r="A1308" s="18" t="s">
        <v>5639</v>
      </c>
      <c r="B1308" s="4" t="s">
        <v>2800</v>
      </c>
      <c r="C1308" s="4" t="s">
        <v>1439</v>
      </c>
      <c r="D1308" s="4" t="s">
        <v>3290</v>
      </c>
      <c r="E1308" s="9">
        <v>6.9712500000000004</v>
      </c>
      <c r="F1308" s="9">
        <v>55.77</v>
      </c>
      <c r="G1308" s="1" t="s">
        <v>5640</v>
      </c>
      <c r="H1308" s="1">
        <f>SUMIF([1]Sheet1!$G:$G,A1308,[1]Sheet1!$O:$O)</f>
        <v>55.77</v>
      </c>
      <c r="I1308" s="21">
        <f t="shared" si="20"/>
        <v>0</v>
      </c>
    </row>
    <row r="1309" spans="1:9" x14ac:dyDescent="0.25">
      <c r="A1309" s="18" t="s">
        <v>9141</v>
      </c>
      <c r="B1309" s="4" t="s">
        <v>3072</v>
      </c>
      <c r="C1309" s="4" t="s">
        <v>1440</v>
      </c>
      <c r="D1309" s="4" t="s">
        <v>3290</v>
      </c>
      <c r="E1309" s="9">
        <v>14.195</v>
      </c>
      <c r="F1309" s="9">
        <v>85.17</v>
      </c>
      <c r="G1309" s="1" t="s">
        <v>9142</v>
      </c>
      <c r="H1309" s="1">
        <f>SUMIF([1]Sheet1!$G:$G,A1309,[1]Sheet1!$O:$O)</f>
        <v>85.17</v>
      </c>
      <c r="I1309" s="21">
        <f t="shared" si="20"/>
        <v>0</v>
      </c>
    </row>
    <row r="1310" spans="1:9" x14ac:dyDescent="0.25">
      <c r="A1310" s="18" t="s">
        <v>4835</v>
      </c>
      <c r="B1310" s="4" t="s">
        <v>3073</v>
      </c>
      <c r="C1310" s="4" t="s">
        <v>1441</v>
      </c>
      <c r="D1310" s="4" t="s">
        <v>3290</v>
      </c>
      <c r="E1310" s="9">
        <v>17.072307692307692</v>
      </c>
      <c r="F1310" s="9">
        <v>443.88</v>
      </c>
      <c r="G1310" s="1" t="s">
        <v>4836</v>
      </c>
      <c r="H1310" s="1">
        <f>SUMIF([1]Sheet1!$G:$G,A1310,[1]Sheet1!$O:$O)</f>
        <v>443.88</v>
      </c>
      <c r="I1310" s="21">
        <f t="shared" si="20"/>
        <v>0</v>
      </c>
    </row>
    <row r="1311" spans="1:9" x14ac:dyDescent="0.25">
      <c r="A1311" s="18" t="s">
        <v>8370</v>
      </c>
      <c r="B1311" s="4" t="s">
        <v>3074</v>
      </c>
      <c r="C1311" s="4" t="s">
        <v>1442</v>
      </c>
      <c r="D1311" s="4" t="s">
        <v>3290</v>
      </c>
      <c r="E1311" s="9">
        <v>56.78</v>
      </c>
      <c r="F1311" s="9">
        <v>113.56</v>
      </c>
      <c r="G1311" s="1" t="s">
        <v>8371</v>
      </c>
      <c r="H1311" s="1">
        <f>SUMIF([1]Sheet1!$G:$G,A1311,[1]Sheet1!$O:$O)</f>
        <v>113.56</v>
      </c>
      <c r="I1311" s="21">
        <f t="shared" si="20"/>
        <v>0</v>
      </c>
    </row>
    <row r="1312" spans="1:9" x14ac:dyDescent="0.25">
      <c r="A1312" s="18" t="s">
        <v>8292</v>
      </c>
      <c r="B1312" s="4" t="s">
        <v>2801</v>
      </c>
      <c r="C1312" s="4" t="s">
        <v>1443</v>
      </c>
      <c r="D1312" s="4" t="s">
        <v>3290</v>
      </c>
      <c r="E1312" s="9">
        <v>3.38375</v>
      </c>
      <c r="F1312" s="9">
        <v>27.07</v>
      </c>
      <c r="G1312" s="1" t="s">
        <v>8293</v>
      </c>
      <c r="H1312" s="1">
        <f>SUMIF([1]Sheet1!$G:$G,A1312,[1]Sheet1!$O:$O)</f>
        <v>27.07</v>
      </c>
      <c r="I1312" s="21">
        <f t="shared" si="20"/>
        <v>0</v>
      </c>
    </row>
    <row r="1313" spans="1:9" x14ac:dyDescent="0.25">
      <c r="A1313" s="18" t="s">
        <v>5436</v>
      </c>
      <c r="B1313" s="4" t="s">
        <v>3075</v>
      </c>
      <c r="C1313" s="4" t="s">
        <v>1444</v>
      </c>
      <c r="D1313" s="4" t="s">
        <v>3290</v>
      </c>
      <c r="E1313" s="9">
        <v>339.71</v>
      </c>
      <c r="F1313" s="9">
        <v>339.71</v>
      </c>
      <c r="G1313" s="1" t="s">
        <v>5437</v>
      </c>
      <c r="H1313" s="1">
        <f>SUMIF([1]Sheet1!$G:$G,A1313,[1]Sheet1!$O:$O)</f>
        <v>339.71</v>
      </c>
      <c r="I1313" s="21">
        <f t="shared" si="20"/>
        <v>0</v>
      </c>
    </row>
    <row r="1314" spans="1:9" x14ac:dyDescent="0.25">
      <c r="A1314" s="18" t="s">
        <v>7615</v>
      </c>
      <c r="B1314" s="4" t="s">
        <v>3076</v>
      </c>
      <c r="C1314" s="4" t="s">
        <v>1445</v>
      </c>
      <c r="D1314" s="4" t="s">
        <v>3290</v>
      </c>
      <c r="E1314" s="9">
        <v>7.0116666666666667</v>
      </c>
      <c r="F1314" s="9">
        <v>42.07</v>
      </c>
      <c r="G1314" s="1" t="s">
        <v>7618</v>
      </c>
      <c r="H1314" s="1">
        <f>SUMIF([1]Sheet1!$G:$G,A1314,[1]Sheet1!$O:$O)</f>
        <v>42.07</v>
      </c>
      <c r="I1314" s="21">
        <f t="shared" si="20"/>
        <v>0</v>
      </c>
    </row>
    <row r="1315" spans="1:9" x14ac:dyDescent="0.25">
      <c r="A1315" s="18" t="s">
        <v>10255</v>
      </c>
      <c r="B1315" s="4" t="s">
        <v>3077</v>
      </c>
      <c r="C1315" s="4" t="s">
        <v>1446</v>
      </c>
      <c r="D1315" s="4" t="s">
        <v>3290</v>
      </c>
      <c r="E1315" s="9">
        <v>690.4</v>
      </c>
      <c r="F1315" s="9">
        <v>690.4</v>
      </c>
      <c r="G1315" s="1" t="s">
        <v>10256</v>
      </c>
      <c r="H1315" s="1">
        <f>SUMIF([1]Sheet1!$G:$G,A1315,[1]Sheet1!$O:$O)</f>
        <v>690.4</v>
      </c>
      <c r="I1315" s="21">
        <f t="shared" si="20"/>
        <v>0</v>
      </c>
    </row>
    <row r="1316" spans="1:9" x14ac:dyDescent="0.25">
      <c r="A1316" s="18" t="s">
        <v>5425</v>
      </c>
      <c r="B1316" s="4" t="s">
        <v>3078</v>
      </c>
      <c r="C1316" s="4" t="s">
        <v>1447</v>
      </c>
      <c r="D1316" s="4" t="s">
        <v>3290</v>
      </c>
      <c r="E1316" s="9">
        <v>167.91</v>
      </c>
      <c r="F1316" s="9">
        <v>167.91</v>
      </c>
      <c r="G1316" s="1" t="s">
        <v>5428</v>
      </c>
      <c r="H1316" s="1">
        <f>SUMIF([1]Sheet1!$G:$G,A1316,[1]Sheet1!$O:$O)</f>
        <v>167.91</v>
      </c>
      <c r="I1316" s="21">
        <f t="shared" si="20"/>
        <v>0</v>
      </c>
    </row>
    <row r="1317" spans="1:9" x14ac:dyDescent="0.25">
      <c r="A1317" s="18" t="s">
        <v>11917</v>
      </c>
      <c r="B1317" s="4" t="s">
        <v>2802</v>
      </c>
      <c r="C1317" s="4" t="s">
        <v>1448</v>
      </c>
      <c r="D1317" s="4" t="s">
        <v>3290</v>
      </c>
      <c r="E1317" s="9">
        <v>12.71</v>
      </c>
      <c r="F1317" s="9">
        <v>12.71</v>
      </c>
      <c r="G1317" s="1" t="s">
        <v>11918</v>
      </c>
      <c r="H1317" s="1">
        <f>SUMIF([1]Sheet1!$G:$G,A1317,[1]Sheet1!$O:$O)</f>
        <v>12.71</v>
      </c>
      <c r="I1317" s="21">
        <f t="shared" si="20"/>
        <v>0</v>
      </c>
    </row>
    <row r="1318" spans="1:9" x14ac:dyDescent="0.25">
      <c r="A1318" s="18" t="s">
        <v>11816</v>
      </c>
      <c r="B1318" s="4" t="s">
        <v>2803</v>
      </c>
      <c r="C1318" s="4" t="s">
        <v>1449</v>
      </c>
      <c r="D1318" s="4" t="s">
        <v>3290</v>
      </c>
      <c r="E1318" s="9">
        <v>10.17</v>
      </c>
      <c r="F1318" s="9">
        <v>10.17</v>
      </c>
      <c r="G1318" s="1" t="s">
        <v>11817</v>
      </c>
      <c r="H1318" s="1">
        <f>SUMIF([1]Sheet1!$G:$G,A1318,[1]Sheet1!$O:$O)</f>
        <v>10.17</v>
      </c>
      <c r="I1318" s="21">
        <f t="shared" si="20"/>
        <v>0</v>
      </c>
    </row>
    <row r="1319" spans="1:9" x14ac:dyDescent="0.25">
      <c r="A1319" s="18" t="s">
        <v>7457</v>
      </c>
      <c r="B1319" s="4" t="s">
        <v>2804</v>
      </c>
      <c r="C1319" s="4" t="s">
        <v>1450</v>
      </c>
      <c r="D1319" s="4" t="s">
        <v>3289</v>
      </c>
      <c r="E1319" s="9">
        <v>9.7457692307692305</v>
      </c>
      <c r="F1319" s="9">
        <v>760.17</v>
      </c>
      <c r="G1319" s="1" t="s">
        <v>7458</v>
      </c>
      <c r="H1319" s="1">
        <f>SUMIF([1]Sheet1!$G:$G,A1319,[1]Sheet1!$O:$O)</f>
        <v>760.17</v>
      </c>
      <c r="I1319" s="21">
        <f t="shared" si="20"/>
        <v>0</v>
      </c>
    </row>
    <row r="1320" spans="1:9" x14ac:dyDescent="0.25">
      <c r="A1320" s="18" t="s">
        <v>7718</v>
      </c>
      <c r="B1320" s="4" t="s">
        <v>2805</v>
      </c>
      <c r="C1320" s="4" t="s">
        <v>1451</v>
      </c>
      <c r="D1320" s="4" t="s">
        <v>3290</v>
      </c>
      <c r="E1320" s="9">
        <v>2118.6433333333334</v>
      </c>
      <c r="F1320" s="9">
        <v>12711.86</v>
      </c>
      <c r="G1320" s="1" t="s">
        <v>7719</v>
      </c>
      <c r="H1320" s="1">
        <f>SUMIF([1]Sheet1!$G:$G,A1320,[1]Sheet1!$O:$O)</f>
        <v>12711.86</v>
      </c>
      <c r="I1320" s="21">
        <f t="shared" si="20"/>
        <v>0</v>
      </c>
    </row>
    <row r="1321" spans="1:9" x14ac:dyDescent="0.25">
      <c r="A1321" s="18" t="s">
        <v>9351</v>
      </c>
      <c r="B1321" s="4" t="s">
        <v>2806</v>
      </c>
      <c r="C1321" s="4" t="s">
        <v>1452</v>
      </c>
      <c r="D1321" s="4" t="s">
        <v>3290</v>
      </c>
      <c r="E1321" s="9">
        <v>40.360208333333333</v>
      </c>
      <c r="F1321" s="9">
        <v>1937.29</v>
      </c>
      <c r="G1321" s="1" t="s">
        <v>9352</v>
      </c>
      <c r="H1321" s="1">
        <f>SUMIF([1]Sheet1!$G:$G,A1321,[1]Sheet1!$O:$O)</f>
        <v>1937.29</v>
      </c>
      <c r="I1321" s="21">
        <f t="shared" si="20"/>
        <v>0</v>
      </c>
    </row>
    <row r="1322" spans="1:9" x14ac:dyDescent="0.25">
      <c r="A1322" s="18" t="s">
        <v>7720</v>
      </c>
      <c r="B1322" s="4" t="s">
        <v>2807</v>
      </c>
      <c r="C1322" s="4" t="s">
        <v>1453</v>
      </c>
      <c r="D1322" s="4" t="s">
        <v>3290</v>
      </c>
      <c r="E1322" s="9">
        <v>6440.6779999999999</v>
      </c>
      <c r="F1322" s="9">
        <v>32203.39</v>
      </c>
      <c r="G1322" s="1" t="s">
        <v>7721</v>
      </c>
      <c r="H1322" s="1">
        <f>SUMIF([1]Sheet1!$G:$G,A1322,[1]Sheet1!$O:$O)</f>
        <v>32203.39</v>
      </c>
      <c r="I1322" s="21">
        <f t="shared" si="20"/>
        <v>0</v>
      </c>
    </row>
    <row r="1323" spans="1:9" x14ac:dyDescent="0.25">
      <c r="A1323" s="18" t="s">
        <v>9353</v>
      </c>
      <c r="B1323" s="4" t="s">
        <v>2808</v>
      </c>
      <c r="C1323" s="4" t="s">
        <v>1454</v>
      </c>
      <c r="D1323" s="4" t="s">
        <v>3290</v>
      </c>
      <c r="E1323" s="9">
        <v>22.881250000000001</v>
      </c>
      <c r="F1323" s="9">
        <v>732.2</v>
      </c>
      <c r="G1323" s="1" t="s">
        <v>9354</v>
      </c>
      <c r="H1323" s="1">
        <f>SUMIF([1]Sheet1!$G:$G,A1323,[1]Sheet1!$O:$O)</f>
        <v>732.2</v>
      </c>
      <c r="I1323" s="21">
        <f t="shared" si="20"/>
        <v>0</v>
      </c>
    </row>
    <row r="1324" spans="1:9" x14ac:dyDescent="0.25">
      <c r="A1324" s="18" t="s">
        <v>11666</v>
      </c>
      <c r="B1324" s="4" t="s">
        <v>2809</v>
      </c>
      <c r="C1324" s="4" t="s">
        <v>1455</v>
      </c>
      <c r="D1324" s="4" t="s">
        <v>3290</v>
      </c>
      <c r="E1324" s="9">
        <v>15.254444444444445</v>
      </c>
      <c r="F1324" s="9">
        <v>411.87</v>
      </c>
      <c r="G1324" s="1" t="s">
        <v>11667</v>
      </c>
      <c r="H1324" s="1">
        <f>SUMIF([1]Sheet1!$G:$G,A1324,[1]Sheet1!$O:$O)</f>
        <v>411.87</v>
      </c>
      <c r="I1324" s="21">
        <f t="shared" si="20"/>
        <v>0</v>
      </c>
    </row>
    <row r="1325" spans="1:9" x14ac:dyDescent="0.25">
      <c r="A1325" s="18" t="s">
        <v>11687</v>
      </c>
      <c r="B1325" s="4" t="s">
        <v>2810</v>
      </c>
      <c r="C1325" s="4" t="s">
        <v>1456</v>
      </c>
      <c r="D1325" s="4" t="s">
        <v>3290</v>
      </c>
      <c r="E1325" s="9">
        <v>694.91666666666663</v>
      </c>
      <c r="F1325" s="9">
        <v>2084.75</v>
      </c>
      <c r="G1325" s="1" t="s">
        <v>11688</v>
      </c>
      <c r="H1325" s="1">
        <f>SUMIF([1]Sheet1!$G:$G,A1325,[1]Sheet1!$O:$O)</f>
        <v>2084.75</v>
      </c>
      <c r="I1325" s="21">
        <f t="shared" si="20"/>
        <v>0</v>
      </c>
    </row>
    <row r="1326" spans="1:9" x14ac:dyDescent="0.25">
      <c r="A1326" s="18" t="s">
        <v>11691</v>
      </c>
      <c r="B1326" s="4" t="s">
        <v>2811</v>
      </c>
      <c r="C1326" s="4" t="s">
        <v>1457</v>
      </c>
      <c r="D1326" s="4" t="s">
        <v>3290</v>
      </c>
      <c r="E1326" s="9">
        <v>1042.373</v>
      </c>
      <c r="F1326" s="9">
        <v>10423.73</v>
      </c>
      <c r="G1326" s="1" t="s">
        <v>11692</v>
      </c>
      <c r="H1326" s="1">
        <f>SUMIF([1]Sheet1!$G:$G,A1326,[1]Sheet1!$O:$O)</f>
        <v>10423.73</v>
      </c>
      <c r="I1326" s="21">
        <f t="shared" si="20"/>
        <v>0</v>
      </c>
    </row>
    <row r="1327" spans="1:9" x14ac:dyDescent="0.25">
      <c r="A1327" s="18" t="s">
        <v>11693</v>
      </c>
      <c r="B1327" s="4" t="s">
        <v>2812</v>
      </c>
      <c r="C1327" s="4" t="s">
        <v>1458</v>
      </c>
      <c r="D1327" s="4" t="s">
        <v>3290</v>
      </c>
      <c r="E1327" s="9">
        <v>1661.0174999999999</v>
      </c>
      <c r="F1327" s="9">
        <v>6644.07</v>
      </c>
      <c r="G1327" s="1" t="s">
        <v>11694</v>
      </c>
      <c r="H1327" s="1">
        <f>SUMIF([1]Sheet1!$G:$G,A1327,[1]Sheet1!$O:$O)</f>
        <v>6644.07</v>
      </c>
      <c r="I1327" s="21">
        <f t="shared" si="20"/>
        <v>0</v>
      </c>
    </row>
    <row r="1328" spans="1:9" x14ac:dyDescent="0.25">
      <c r="A1328" s="18" t="s">
        <v>11697</v>
      </c>
      <c r="B1328" s="4" t="s">
        <v>2813</v>
      </c>
      <c r="C1328" s="4" t="s">
        <v>1459</v>
      </c>
      <c r="D1328" s="4" t="s">
        <v>3290</v>
      </c>
      <c r="E1328" s="9">
        <v>2245.7628571428572</v>
      </c>
      <c r="F1328" s="9">
        <v>31440.68</v>
      </c>
      <c r="G1328" s="1" t="s">
        <v>11698</v>
      </c>
      <c r="H1328" s="1">
        <f>SUMIF([1]Sheet1!$G:$G,A1328,[1]Sheet1!$O:$O)</f>
        <v>31440.68</v>
      </c>
      <c r="I1328" s="21">
        <f t="shared" si="20"/>
        <v>0</v>
      </c>
    </row>
    <row r="1329" spans="1:9" x14ac:dyDescent="0.25">
      <c r="A1329" s="18" t="s">
        <v>11699</v>
      </c>
      <c r="B1329" s="4" t="s">
        <v>2814</v>
      </c>
      <c r="C1329" s="4" t="s">
        <v>1460</v>
      </c>
      <c r="D1329" s="4" t="s">
        <v>3290</v>
      </c>
      <c r="E1329" s="9">
        <v>2737.29</v>
      </c>
      <c r="F1329" s="9">
        <v>5474.58</v>
      </c>
      <c r="G1329" s="1" t="s">
        <v>11700</v>
      </c>
      <c r="H1329" s="1">
        <f>SUMIF([1]Sheet1!$G:$G,A1329,[1]Sheet1!$O:$O)</f>
        <v>5474.58</v>
      </c>
      <c r="I1329" s="21">
        <f t="shared" si="20"/>
        <v>0</v>
      </c>
    </row>
    <row r="1330" spans="1:9" x14ac:dyDescent="0.25">
      <c r="A1330" s="18" t="s">
        <v>9276</v>
      </c>
      <c r="B1330" s="4" t="s">
        <v>2815</v>
      </c>
      <c r="C1330" s="4" t="s">
        <v>1461</v>
      </c>
      <c r="D1330" s="4" t="s">
        <v>3291</v>
      </c>
      <c r="E1330" s="9">
        <v>33.644148936170218</v>
      </c>
      <c r="F1330" s="9">
        <v>3162.5500000000006</v>
      </c>
      <c r="G1330" s="1" t="s">
        <v>9277</v>
      </c>
      <c r="H1330" s="1">
        <f>SUMIF([1]Sheet1!$G:$G,A1330,[1]Sheet1!$O:$O)</f>
        <v>3162.55</v>
      </c>
      <c r="I1330" s="21">
        <f t="shared" si="20"/>
        <v>0</v>
      </c>
    </row>
    <row r="1331" spans="1:9" x14ac:dyDescent="0.25">
      <c r="A1331" s="18" t="s">
        <v>7583</v>
      </c>
      <c r="B1331" s="4" t="s">
        <v>2816</v>
      </c>
      <c r="C1331" s="4" t="s">
        <v>1462</v>
      </c>
      <c r="D1331" s="4" t="s">
        <v>3289</v>
      </c>
      <c r="E1331" s="9">
        <v>7.0439915321970927</v>
      </c>
      <c r="F1331" s="9">
        <v>6521.75</v>
      </c>
      <c r="G1331" s="1" t="s">
        <v>7584</v>
      </c>
      <c r="H1331" s="1">
        <f>SUMIF([1]Sheet1!$G:$G,A1331,[1]Sheet1!$O:$O)</f>
        <v>6521.76</v>
      </c>
      <c r="I1331" s="21">
        <f t="shared" si="20"/>
        <v>-1.0000000000218279E-2</v>
      </c>
    </row>
    <row r="1332" spans="1:9" x14ac:dyDescent="0.25">
      <c r="A1332" s="18" t="s">
        <v>7264</v>
      </c>
      <c r="B1332" s="4" t="s">
        <v>2817</v>
      </c>
      <c r="C1332" s="4" t="s">
        <v>1463</v>
      </c>
      <c r="D1332" s="4" t="s">
        <v>3289</v>
      </c>
      <c r="E1332" s="9">
        <v>904.13225806451612</v>
      </c>
      <c r="F1332" s="9">
        <v>5605.62</v>
      </c>
      <c r="G1332" s="1" t="s">
        <v>7265</v>
      </c>
      <c r="H1332" s="1">
        <f>SUMIF([1]Sheet1!$G:$G,A1332,[1]Sheet1!$O:$O)</f>
        <v>5605.62</v>
      </c>
      <c r="I1332" s="21">
        <f t="shared" si="20"/>
        <v>0</v>
      </c>
    </row>
    <row r="1333" spans="1:9" x14ac:dyDescent="0.25">
      <c r="A1333" s="18" t="s">
        <v>7912</v>
      </c>
      <c r="B1333" s="4" t="s">
        <v>2818</v>
      </c>
      <c r="C1333" s="4" t="s">
        <v>1464</v>
      </c>
      <c r="D1333" s="4" t="s">
        <v>3290</v>
      </c>
      <c r="E1333" s="9">
        <v>116.10166666666667</v>
      </c>
      <c r="F1333" s="9">
        <v>696.61</v>
      </c>
      <c r="G1333" s="1" t="s">
        <v>7913</v>
      </c>
      <c r="H1333" s="1">
        <f>SUMIF([1]Sheet1!$G:$G,A1333,[1]Sheet1!$O:$O)</f>
        <v>696.61</v>
      </c>
      <c r="I1333" s="21">
        <f t="shared" si="20"/>
        <v>0</v>
      </c>
    </row>
    <row r="1334" spans="1:9" x14ac:dyDescent="0.25">
      <c r="A1334" s="18" t="s">
        <v>8014</v>
      </c>
      <c r="B1334" s="4" t="s">
        <v>2819</v>
      </c>
      <c r="C1334" s="4" t="s">
        <v>1465</v>
      </c>
      <c r="D1334" s="4" t="s">
        <v>3290</v>
      </c>
      <c r="E1334" s="9">
        <v>511.86500000000001</v>
      </c>
      <c r="F1334" s="9">
        <v>3071.19</v>
      </c>
      <c r="G1334" s="1" t="s">
        <v>8015</v>
      </c>
      <c r="H1334" s="1">
        <f>SUMIF([1]Sheet1!$G:$G,A1334,[1]Sheet1!$O:$O)</f>
        <v>3071.19</v>
      </c>
      <c r="I1334" s="21">
        <f t="shared" si="20"/>
        <v>0</v>
      </c>
    </row>
    <row r="1335" spans="1:9" x14ac:dyDescent="0.25">
      <c r="A1335" s="18" t="s">
        <v>8105</v>
      </c>
      <c r="B1335" s="4" t="s">
        <v>2820</v>
      </c>
      <c r="C1335" s="4" t="s">
        <v>1466</v>
      </c>
      <c r="D1335" s="4" t="s">
        <v>3290</v>
      </c>
      <c r="E1335" s="9">
        <v>7877.12</v>
      </c>
      <c r="F1335" s="9">
        <v>23631.360000000001</v>
      </c>
      <c r="G1335" s="1" t="s">
        <v>8106</v>
      </c>
      <c r="H1335" s="1">
        <f>SUMIF([1]Sheet1!$G:$G,A1335,[1]Sheet1!$O:$O)</f>
        <v>23631.360000000001</v>
      </c>
      <c r="I1335" s="21">
        <f t="shared" si="20"/>
        <v>0</v>
      </c>
    </row>
    <row r="1336" spans="1:9" x14ac:dyDescent="0.25">
      <c r="A1336" s="18" t="s">
        <v>8103</v>
      </c>
      <c r="B1336" s="4" t="s">
        <v>2821</v>
      </c>
      <c r="C1336" s="4" t="s">
        <v>1467</v>
      </c>
      <c r="D1336" s="4" t="s">
        <v>3290</v>
      </c>
      <c r="E1336" s="9">
        <v>7877.12</v>
      </c>
      <c r="F1336" s="9">
        <v>15754.24</v>
      </c>
      <c r="G1336" s="1" t="s">
        <v>8104</v>
      </c>
      <c r="H1336" s="1">
        <f>SUMIF([1]Sheet1!$G:$G,A1336,[1]Sheet1!$O:$O)</f>
        <v>15754.24</v>
      </c>
      <c r="I1336" s="21">
        <f t="shared" si="20"/>
        <v>0</v>
      </c>
    </row>
    <row r="1337" spans="1:9" x14ac:dyDescent="0.25">
      <c r="A1337" s="18" t="s">
        <v>4674</v>
      </c>
      <c r="B1337" s="4" t="s">
        <v>2822</v>
      </c>
      <c r="C1337" s="4" t="s">
        <v>1468</v>
      </c>
      <c r="D1337" s="4" t="s">
        <v>3290</v>
      </c>
      <c r="E1337" s="9">
        <v>171.14</v>
      </c>
      <c r="F1337" s="9">
        <v>171.14</v>
      </c>
      <c r="G1337" s="1" t="s">
        <v>4675</v>
      </c>
      <c r="H1337" s="1">
        <f>SUMIF([1]Sheet1!$G:$G,A1337,[1]Sheet1!$O:$O)</f>
        <v>171.14</v>
      </c>
      <c r="I1337" s="21">
        <f t="shared" si="20"/>
        <v>0</v>
      </c>
    </row>
    <row r="1338" spans="1:9" x14ac:dyDescent="0.25">
      <c r="A1338" s="18" t="s">
        <v>8048</v>
      </c>
      <c r="B1338" s="4" t="s">
        <v>2823</v>
      </c>
      <c r="C1338" s="4" t="s">
        <v>1469</v>
      </c>
      <c r="D1338" s="4" t="s">
        <v>3290</v>
      </c>
      <c r="E1338" s="9">
        <v>3559.1533333333332</v>
      </c>
      <c r="F1338" s="9">
        <v>10677.46</v>
      </c>
      <c r="G1338" s="1" t="s">
        <v>8049</v>
      </c>
      <c r="H1338" s="1">
        <f>SUMIF([1]Sheet1!$G:$G,A1338,[1]Sheet1!$O:$O)</f>
        <v>10677.46</v>
      </c>
      <c r="I1338" s="21">
        <f t="shared" si="20"/>
        <v>0</v>
      </c>
    </row>
    <row r="1339" spans="1:9" x14ac:dyDescent="0.25">
      <c r="A1339" s="18" t="s">
        <v>8944</v>
      </c>
      <c r="B1339" s="4" t="s">
        <v>3233</v>
      </c>
      <c r="C1339" s="4" t="s">
        <v>1470</v>
      </c>
      <c r="D1339" s="4" t="s">
        <v>3290</v>
      </c>
      <c r="E1339" s="9">
        <v>289.176875</v>
      </c>
      <c r="F1339" s="9">
        <v>4626.83</v>
      </c>
      <c r="G1339" s="1" t="s">
        <v>8945</v>
      </c>
      <c r="H1339" s="1">
        <f>SUMIF([1]Sheet1!$G:$G,A1339,[1]Sheet1!$O:$O)</f>
        <v>4626.83</v>
      </c>
      <c r="I1339" s="21">
        <f t="shared" si="20"/>
        <v>0</v>
      </c>
    </row>
    <row r="1340" spans="1:9" x14ac:dyDescent="0.25">
      <c r="A1340" s="18" t="s">
        <v>6089</v>
      </c>
      <c r="B1340" s="4" t="s">
        <v>2824</v>
      </c>
      <c r="C1340" s="4" t="s">
        <v>1471</v>
      </c>
      <c r="D1340" s="4" t="s">
        <v>3290</v>
      </c>
      <c r="E1340" s="9">
        <v>19.989999999999998</v>
      </c>
      <c r="F1340" s="9">
        <v>159.91999999999999</v>
      </c>
      <c r="G1340" s="1" t="s">
        <v>6092</v>
      </c>
      <c r="H1340" s="1">
        <f>SUMIF([1]Sheet1!$G:$G,A1340,[1]Sheet1!$O:$O)</f>
        <v>159.91999999999999</v>
      </c>
      <c r="I1340" s="21">
        <f t="shared" si="20"/>
        <v>0</v>
      </c>
    </row>
    <row r="1341" spans="1:9" x14ac:dyDescent="0.25">
      <c r="A1341" s="18" t="s">
        <v>3887</v>
      </c>
      <c r="B1341" s="4" t="s">
        <v>2825</v>
      </c>
      <c r="C1341" s="4" t="s">
        <v>1472</v>
      </c>
      <c r="D1341" s="4" t="s">
        <v>3290</v>
      </c>
      <c r="E1341" s="9">
        <v>720.34</v>
      </c>
      <c r="F1341" s="9">
        <v>2881.36</v>
      </c>
      <c r="G1341" s="1" t="s">
        <v>3888</v>
      </c>
      <c r="H1341" s="1">
        <f>SUMIF([1]Sheet1!$G:$G,A1341,[1]Sheet1!$O:$O)</f>
        <v>2881.36</v>
      </c>
      <c r="I1341" s="21">
        <f t="shared" si="20"/>
        <v>0</v>
      </c>
    </row>
    <row r="1342" spans="1:9" x14ac:dyDescent="0.25">
      <c r="A1342" s="18" t="s">
        <v>6757</v>
      </c>
      <c r="B1342" s="4" t="s">
        <v>2826</v>
      </c>
      <c r="C1342" s="4" t="s">
        <v>1473</v>
      </c>
      <c r="D1342" s="4" t="s">
        <v>3291</v>
      </c>
      <c r="E1342" s="9">
        <v>3.9071641791044773</v>
      </c>
      <c r="F1342" s="9">
        <v>261.77999999999997</v>
      </c>
      <c r="G1342" s="1" t="s">
        <v>6758</v>
      </c>
      <c r="H1342" s="1">
        <f>SUMIF([1]Sheet1!$G:$G,A1342,[1]Sheet1!$O:$O)</f>
        <v>259.83</v>
      </c>
      <c r="I1342" s="21">
        <f t="shared" si="20"/>
        <v>1.9499999999999886</v>
      </c>
    </row>
    <row r="1343" spans="1:9" x14ac:dyDescent="0.25">
      <c r="A1343" s="18" t="s">
        <v>6920</v>
      </c>
      <c r="B1343" s="4" t="s">
        <v>2827</v>
      </c>
      <c r="C1343" s="4" t="s">
        <v>1474</v>
      </c>
      <c r="D1343" s="4" t="s">
        <v>3290</v>
      </c>
      <c r="E1343" s="9">
        <v>42.372500000000002</v>
      </c>
      <c r="F1343" s="9">
        <v>338.98</v>
      </c>
      <c r="G1343" s="1" t="s">
        <v>6921</v>
      </c>
      <c r="H1343" s="1">
        <f>SUMIF([1]Sheet1!$G:$G,A1343,[1]Sheet1!$O:$O)</f>
        <v>338.98</v>
      </c>
      <c r="I1343" s="21">
        <f t="shared" si="20"/>
        <v>0</v>
      </c>
    </row>
    <row r="1344" spans="1:9" x14ac:dyDescent="0.25">
      <c r="A1344" s="18" t="s">
        <v>11601</v>
      </c>
      <c r="B1344" s="4" t="s">
        <v>2828</v>
      </c>
      <c r="C1344" s="4" t="s">
        <v>1475</v>
      </c>
      <c r="D1344" s="4" t="s">
        <v>3290</v>
      </c>
      <c r="E1344" s="9">
        <v>5.085</v>
      </c>
      <c r="F1344" s="9">
        <v>40.68</v>
      </c>
      <c r="G1344" s="1" t="s">
        <v>11602</v>
      </c>
      <c r="H1344" s="1">
        <f>SUMIF([1]Sheet1!$G:$G,A1344,[1]Sheet1!$O:$O)</f>
        <v>40.68</v>
      </c>
      <c r="I1344" s="21">
        <f t="shared" si="20"/>
        <v>0</v>
      </c>
    </row>
    <row r="1345" spans="1:9" x14ac:dyDescent="0.25">
      <c r="A1345" s="18" t="s">
        <v>7239</v>
      </c>
      <c r="B1345" s="4" t="s">
        <v>2829</v>
      </c>
      <c r="C1345" s="4" t="s">
        <v>1476</v>
      </c>
      <c r="D1345" s="4" t="s">
        <v>3289</v>
      </c>
      <c r="E1345" s="9">
        <v>58.820017953321361</v>
      </c>
      <c r="F1345" s="9">
        <v>10484.08</v>
      </c>
      <c r="G1345" s="1" t="s">
        <v>7240</v>
      </c>
      <c r="H1345" s="1">
        <f>SUMIF([1]Sheet1!$G:$G,A1345,[1]Sheet1!$O:$O)</f>
        <v>10484.08</v>
      </c>
      <c r="I1345" s="21">
        <f t="shared" si="20"/>
        <v>0</v>
      </c>
    </row>
    <row r="1346" spans="1:9" x14ac:dyDescent="0.25">
      <c r="A1346" s="18" t="s">
        <v>8451</v>
      </c>
      <c r="B1346" s="4" t="s">
        <v>2830</v>
      </c>
      <c r="C1346" s="4" t="s">
        <v>1477</v>
      </c>
      <c r="D1346" s="4" t="s">
        <v>3295</v>
      </c>
      <c r="E1346" s="9">
        <v>21.279230769230768</v>
      </c>
      <c r="F1346" s="9">
        <v>553.26</v>
      </c>
      <c r="G1346" s="1" t="s">
        <v>8452</v>
      </c>
      <c r="H1346" s="1">
        <f>SUMIF([1]Sheet1!$G:$G,A1346,[1]Sheet1!$O:$O)</f>
        <v>553.26</v>
      </c>
      <c r="I1346" s="21">
        <f t="shared" si="20"/>
        <v>0</v>
      </c>
    </row>
    <row r="1347" spans="1:9" x14ac:dyDescent="0.25">
      <c r="A1347" s="18" t="s">
        <v>6774</v>
      </c>
      <c r="B1347" s="4" t="s">
        <v>2831</v>
      </c>
      <c r="C1347" s="4" t="s">
        <v>1478</v>
      </c>
      <c r="D1347" s="4" t="s">
        <v>3289</v>
      </c>
      <c r="E1347" s="9">
        <v>9.3721428571428582</v>
      </c>
      <c r="F1347" s="9">
        <v>4854.7700000000004</v>
      </c>
      <c r="G1347" s="1" t="s">
        <v>6775</v>
      </c>
      <c r="H1347" s="1">
        <f>SUMIF([1]Sheet1!$G:$G,A1347,[1]Sheet1!$O:$O)</f>
        <v>4854.75</v>
      </c>
      <c r="I1347" s="21">
        <f t="shared" ref="I1347:I1410" si="21">F1347-H1347</f>
        <v>2.0000000000436557E-2</v>
      </c>
    </row>
    <row r="1348" spans="1:9" x14ac:dyDescent="0.25">
      <c r="A1348" s="18" t="s">
        <v>6751</v>
      </c>
      <c r="B1348" s="4" t="s">
        <v>2832</v>
      </c>
      <c r="C1348" s="4" t="s">
        <v>1176</v>
      </c>
      <c r="D1348" s="4" t="s">
        <v>3291</v>
      </c>
      <c r="E1348" s="9">
        <v>4.3141791044776117</v>
      </c>
      <c r="F1348" s="9">
        <v>173.43</v>
      </c>
      <c r="G1348" s="1" t="s">
        <v>6752</v>
      </c>
      <c r="H1348" s="1">
        <f>SUMIF([1]Sheet1!$G:$G,A1348,[1]Sheet1!$O:$O)</f>
        <v>173.43</v>
      </c>
      <c r="I1348" s="21">
        <f t="shared" si="21"/>
        <v>0</v>
      </c>
    </row>
    <row r="1349" spans="1:9" x14ac:dyDescent="0.25">
      <c r="A1349" s="18" t="s">
        <v>9972</v>
      </c>
      <c r="B1349" s="4" t="s">
        <v>2833</v>
      </c>
      <c r="C1349" s="4" t="s">
        <v>1479</v>
      </c>
      <c r="D1349" s="4" t="s">
        <v>3290</v>
      </c>
      <c r="E1349" s="9">
        <v>74.952777777777783</v>
      </c>
      <c r="F1349" s="9">
        <v>1349.15</v>
      </c>
      <c r="G1349" s="1" t="s">
        <v>9973</v>
      </c>
      <c r="H1349" s="1">
        <f>SUMIF([1]Sheet1!$G:$G,A1349,[1]Sheet1!$O:$O)</f>
        <v>1349.15</v>
      </c>
      <c r="I1349" s="21">
        <f t="shared" si="21"/>
        <v>0</v>
      </c>
    </row>
    <row r="1350" spans="1:9" x14ac:dyDescent="0.25">
      <c r="A1350" s="18" t="s">
        <v>4420</v>
      </c>
      <c r="B1350" s="4" t="s">
        <v>2834</v>
      </c>
      <c r="C1350" s="4" t="s">
        <v>1480</v>
      </c>
      <c r="D1350" s="4" t="s">
        <v>3290</v>
      </c>
      <c r="E1350" s="9">
        <v>11.865</v>
      </c>
      <c r="F1350" s="9">
        <v>23.73</v>
      </c>
      <c r="G1350" s="1" t="s">
        <v>4421</v>
      </c>
      <c r="H1350" s="1">
        <f>SUMIF([1]Sheet1!$G:$G,A1350,[1]Sheet1!$O:$O)</f>
        <v>23.73</v>
      </c>
      <c r="I1350" s="21">
        <f t="shared" si="21"/>
        <v>0</v>
      </c>
    </row>
    <row r="1351" spans="1:9" x14ac:dyDescent="0.25">
      <c r="A1351" s="18" t="s">
        <v>9850</v>
      </c>
      <c r="B1351" s="4" t="s">
        <v>2835</v>
      </c>
      <c r="C1351" s="4" t="s">
        <v>1481</v>
      </c>
      <c r="D1351" s="4" t="s">
        <v>3290</v>
      </c>
      <c r="E1351" s="9">
        <v>152.715</v>
      </c>
      <c r="F1351" s="9">
        <v>305.43</v>
      </c>
      <c r="G1351" s="1" t="s">
        <v>9851</v>
      </c>
      <c r="H1351" s="1">
        <f>SUMIF([1]Sheet1!$G:$G,A1351,[1]Sheet1!$O:$O)</f>
        <v>0</v>
      </c>
      <c r="I1351" s="21">
        <f t="shared" si="21"/>
        <v>305.43</v>
      </c>
    </row>
    <row r="1352" spans="1:9" x14ac:dyDescent="0.25">
      <c r="A1352" s="18" t="s">
        <v>6048</v>
      </c>
      <c r="B1352" s="4" t="s">
        <v>2836</v>
      </c>
      <c r="C1352" s="4" t="s">
        <v>1482</v>
      </c>
      <c r="D1352" s="4" t="s">
        <v>3289</v>
      </c>
      <c r="E1352" s="9">
        <v>4.7355392156862752</v>
      </c>
      <c r="F1352" s="9">
        <v>193.21</v>
      </c>
      <c r="G1352" s="1" t="s">
        <v>6049</v>
      </c>
      <c r="H1352" s="1">
        <f>SUMIF([1]Sheet1!$G:$G,A1352,[1]Sheet1!$O:$O)</f>
        <v>193.21</v>
      </c>
      <c r="I1352" s="21">
        <f t="shared" si="21"/>
        <v>0</v>
      </c>
    </row>
    <row r="1353" spans="1:9" x14ac:dyDescent="0.25">
      <c r="A1353" s="18" t="s">
        <v>7774</v>
      </c>
      <c r="B1353" s="4" t="s">
        <v>2837</v>
      </c>
      <c r="C1353" s="4" t="s">
        <v>1483</v>
      </c>
      <c r="D1353" s="4" t="s">
        <v>3290</v>
      </c>
      <c r="E1353" s="9">
        <v>8.4745454545454546</v>
      </c>
      <c r="F1353" s="9">
        <v>466.1</v>
      </c>
      <c r="G1353" s="1" t="s">
        <v>7775</v>
      </c>
      <c r="H1353" s="1">
        <f>SUMIF([1]Sheet1!$G:$G,A1353,[1]Sheet1!$O:$O)</f>
        <v>466.1</v>
      </c>
      <c r="I1353" s="21">
        <f t="shared" si="21"/>
        <v>0</v>
      </c>
    </row>
    <row r="1354" spans="1:9" x14ac:dyDescent="0.25">
      <c r="A1354" s="18" t="s">
        <v>11379</v>
      </c>
      <c r="B1354" s="4" t="s">
        <v>2838</v>
      </c>
      <c r="C1354" s="4" t="s">
        <v>1484</v>
      </c>
      <c r="D1354" s="4" t="s">
        <v>3290</v>
      </c>
      <c r="E1354" s="9">
        <v>40.677272727272729</v>
      </c>
      <c r="F1354" s="9">
        <v>447.45000000000005</v>
      </c>
      <c r="G1354" s="1" t="s">
        <v>11380</v>
      </c>
      <c r="H1354" s="1">
        <f>SUMIF([1]Sheet1!$G:$G,A1354,[1]Sheet1!$O:$O)</f>
        <v>0</v>
      </c>
      <c r="I1354" s="21">
        <f t="shared" si="21"/>
        <v>447.45000000000005</v>
      </c>
    </row>
    <row r="1355" spans="1:9" x14ac:dyDescent="0.25">
      <c r="A1355" s="18" t="s">
        <v>6172</v>
      </c>
      <c r="B1355" s="4" t="s">
        <v>2839</v>
      </c>
      <c r="C1355" s="4" t="s">
        <v>1485</v>
      </c>
      <c r="D1355" s="4" t="s">
        <v>3289</v>
      </c>
      <c r="E1355" s="9">
        <v>4.0676666666666668</v>
      </c>
      <c r="F1355" s="9">
        <v>122.03</v>
      </c>
      <c r="G1355" s="1" t="s">
        <v>6175</v>
      </c>
      <c r="H1355" s="1">
        <f>SUMIF([1]Sheet1!$G:$G,A1355,[1]Sheet1!$O:$O)</f>
        <v>122.03</v>
      </c>
      <c r="I1355" s="21">
        <f t="shared" si="21"/>
        <v>0</v>
      </c>
    </row>
    <row r="1356" spans="1:9" x14ac:dyDescent="0.25">
      <c r="A1356" s="18" t="s">
        <v>10878</v>
      </c>
      <c r="B1356" s="4" t="s">
        <v>2840</v>
      </c>
      <c r="C1356" s="4" t="s">
        <v>1486</v>
      </c>
      <c r="D1356" s="4" t="s">
        <v>3292</v>
      </c>
      <c r="E1356" s="9">
        <v>55.084615384615383</v>
      </c>
      <c r="F1356" s="9">
        <v>2506.35</v>
      </c>
      <c r="G1356" s="1" t="s">
        <v>10881</v>
      </c>
      <c r="H1356" s="1">
        <f>SUMIF([1]Sheet1!$G:$G,A1356,[1]Sheet1!$O:$O)</f>
        <v>2506.35</v>
      </c>
      <c r="I1356" s="21">
        <f t="shared" si="21"/>
        <v>0</v>
      </c>
    </row>
    <row r="1357" spans="1:9" x14ac:dyDescent="0.25">
      <c r="A1357" s="18" t="s">
        <v>8328</v>
      </c>
      <c r="B1357" s="4" t="s">
        <v>2841</v>
      </c>
      <c r="C1357" s="4" t="s">
        <v>1487</v>
      </c>
      <c r="D1357" s="4" t="s">
        <v>3290</v>
      </c>
      <c r="E1357" s="9">
        <v>271.18</v>
      </c>
      <c r="F1357" s="9">
        <v>271.18</v>
      </c>
      <c r="G1357" s="1" t="s">
        <v>8329</v>
      </c>
      <c r="H1357" s="1">
        <f>SUMIF([1]Sheet1!$G:$G,A1357,[1]Sheet1!$O:$O)</f>
        <v>271.18</v>
      </c>
      <c r="I1357" s="21">
        <f t="shared" si="21"/>
        <v>0</v>
      </c>
    </row>
    <row r="1358" spans="1:9" x14ac:dyDescent="0.25">
      <c r="A1358" s="18" t="s">
        <v>11681</v>
      </c>
      <c r="B1358" s="4" t="s">
        <v>2842</v>
      </c>
      <c r="C1358" s="4" t="s">
        <v>1488</v>
      </c>
      <c r="D1358" s="4" t="s">
        <v>3289</v>
      </c>
      <c r="E1358" s="9">
        <v>12.804163568773236</v>
      </c>
      <c r="F1358" s="9">
        <v>1722.16</v>
      </c>
      <c r="G1358" s="1" t="s">
        <v>11682</v>
      </c>
      <c r="H1358" s="1">
        <f>SUMIF([1]Sheet1!$G:$G,A1358,[1]Sheet1!$O:$O)</f>
        <v>1722.16</v>
      </c>
      <c r="I1358" s="21">
        <f t="shared" si="21"/>
        <v>0</v>
      </c>
    </row>
    <row r="1359" spans="1:9" x14ac:dyDescent="0.25">
      <c r="A1359" s="18" t="s">
        <v>11713</v>
      </c>
      <c r="B1359" s="4" t="s">
        <v>2843</v>
      </c>
      <c r="C1359" s="4" t="s">
        <v>1489</v>
      </c>
      <c r="D1359" s="4" t="s">
        <v>3290</v>
      </c>
      <c r="E1359" s="9">
        <v>3.2585815602836878</v>
      </c>
      <c r="F1359" s="9">
        <v>459.46</v>
      </c>
      <c r="G1359" s="1" t="s">
        <v>11714</v>
      </c>
      <c r="H1359" s="1">
        <f>SUMIF([1]Sheet1!$G:$G,A1359,[1]Sheet1!$O:$O)</f>
        <v>459.46</v>
      </c>
      <c r="I1359" s="21">
        <f t="shared" si="21"/>
        <v>0</v>
      </c>
    </row>
    <row r="1360" spans="1:9" x14ac:dyDescent="0.25">
      <c r="A1360" s="18" t="s">
        <v>4045</v>
      </c>
      <c r="B1360" s="4" t="s">
        <v>2844</v>
      </c>
      <c r="C1360" s="4" t="s">
        <v>1490</v>
      </c>
      <c r="D1360" s="4" t="s">
        <v>3290</v>
      </c>
      <c r="E1360" s="9">
        <v>169.49181818181819</v>
      </c>
      <c r="F1360" s="9">
        <v>1864.41</v>
      </c>
      <c r="G1360" s="1" t="s">
        <v>4046</v>
      </c>
      <c r="H1360" s="1">
        <f>SUMIF([1]Sheet1!$G:$G,A1360,[1]Sheet1!$O:$O)</f>
        <v>1864.41</v>
      </c>
      <c r="I1360" s="21">
        <f t="shared" si="21"/>
        <v>0</v>
      </c>
    </row>
    <row r="1361" spans="1:9" x14ac:dyDescent="0.25">
      <c r="A1361" s="18" t="s">
        <v>4049</v>
      </c>
      <c r="B1361" s="4" t="s">
        <v>2845</v>
      </c>
      <c r="C1361" s="4" t="s">
        <v>1491</v>
      </c>
      <c r="D1361" s="4" t="s">
        <v>3290</v>
      </c>
      <c r="E1361" s="9">
        <v>27.119230769230771</v>
      </c>
      <c r="F1361" s="9">
        <v>352.55</v>
      </c>
      <c r="G1361" s="1" t="s">
        <v>4052</v>
      </c>
      <c r="H1361" s="1">
        <f>SUMIF([1]Sheet1!$G:$G,A1361,[1]Sheet1!$O:$O)</f>
        <v>352.55</v>
      </c>
      <c r="I1361" s="21">
        <f t="shared" si="21"/>
        <v>0</v>
      </c>
    </row>
    <row r="1362" spans="1:9" x14ac:dyDescent="0.25">
      <c r="A1362" s="18" t="s">
        <v>7789</v>
      </c>
      <c r="B1362" s="4" t="s">
        <v>2846</v>
      </c>
      <c r="C1362" s="4" t="s">
        <v>1492</v>
      </c>
      <c r="D1362" s="4" t="s">
        <v>3290</v>
      </c>
      <c r="E1362" s="9">
        <v>472.88</v>
      </c>
      <c r="F1362" s="9">
        <v>472.88</v>
      </c>
      <c r="G1362" s="1" t="s">
        <v>7790</v>
      </c>
      <c r="H1362" s="1">
        <f>SUMIF([1]Sheet1!$G:$G,A1362,[1]Sheet1!$O:$O)</f>
        <v>472.88</v>
      </c>
      <c r="I1362" s="21">
        <f t="shared" si="21"/>
        <v>0</v>
      </c>
    </row>
    <row r="1363" spans="1:9" x14ac:dyDescent="0.25">
      <c r="A1363" s="18" t="s">
        <v>4559</v>
      </c>
      <c r="B1363" s="4" t="s">
        <v>2847</v>
      </c>
      <c r="C1363" s="4" t="s">
        <v>1493</v>
      </c>
      <c r="D1363" s="4" t="s">
        <v>3290</v>
      </c>
      <c r="E1363" s="9">
        <v>24.577500000000001</v>
      </c>
      <c r="F1363" s="9">
        <v>98.31</v>
      </c>
      <c r="G1363" s="1" t="s">
        <v>4560</v>
      </c>
      <c r="H1363" s="1">
        <f>SUMIF([1]Sheet1!$G:$G,A1363,[1]Sheet1!$O:$O)</f>
        <v>98.31</v>
      </c>
      <c r="I1363" s="21">
        <f t="shared" si="21"/>
        <v>0</v>
      </c>
    </row>
    <row r="1364" spans="1:9" x14ac:dyDescent="0.25">
      <c r="A1364" s="18" t="s">
        <v>4557</v>
      </c>
      <c r="B1364" s="4" t="s">
        <v>2848</v>
      </c>
      <c r="C1364" s="4" t="s">
        <v>1494</v>
      </c>
      <c r="D1364" s="4" t="s">
        <v>3290</v>
      </c>
      <c r="E1364" s="9">
        <v>11.02</v>
      </c>
      <c r="F1364" s="9">
        <v>22.04</v>
      </c>
      <c r="G1364" s="1" t="s">
        <v>4558</v>
      </c>
      <c r="H1364" s="1">
        <f>SUMIF([1]Sheet1!$G:$G,A1364,[1]Sheet1!$O:$O)</f>
        <v>22.04</v>
      </c>
      <c r="I1364" s="21">
        <f t="shared" si="21"/>
        <v>0</v>
      </c>
    </row>
    <row r="1365" spans="1:9" x14ac:dyDescent="0.25">
      <c r="A1365" s="18" t="s">
        <v>10813</v>
      </c>
      <c r="B1365" s="4" t="s">
        <v>2849</v>
      </c>
      <c r="C1365" s="4" t="s">
        <v>1495</v>
      </c>
      <c r="D1365" s="4" t="s">
        <v>3290</v>
      </c>
      <c r="E1365" s="9">
        <v>147.45857142857145</v>
      </c>
      <c r="F1365" s="9">
        <v>1032.21</v>
      </c>
      <c r="G1365" s="1" t="s">
        <v>10814</v>
      </c>
      <c r="H1365" s="1">
        <f>SUMIF([1]Sheet1!$G:$G,A1365,[1]Sheet1!$O:$O)</f>
        <v>1032.21</v>
      </c>
      <c r="I1365" s="21">
        <f t="shared" si="21"/>
        <v>0</v>
      </c>
    </row>
    <row r="1366" spans="1:9" x14ac:dyDescent="0.25">
      <c r="A1366" s="18" t="s">
        <v>5905</v>
      </c>
      <c r="B1366" s="4" t="s">
        <v>2850</v>
      </c>
      <c r="C1366" s="4" t="s">
        <v>1496</v>
      </c>
      <c r="D1366" s="4" t="s">
        <v>3291</v>
      </c>
      <c r="E1366" s="9">
        <v>5.9326086956521742</v>
      </c>
      <c r="F1366" s="9">
        <v>54.58</v>
      </c>
      <c r="G1366" s="1" t="s">
        <v>5906</v>
      </c>
      <c r="H1366" s="1">
        <f>SUMIF([1]Sheet1!$G:$G,A1366,[1]Sheet1!$O:$O)</f>
        <v>54.58</v>
      </c>
      <c r="I1366" s="21">
        <f t="shared" si="21"/>
        <v>0</v>
      </c>
    </row>
    <row r="1367" spans="1:9" x14ac:dyDescent="0.25">
      <c r="A1367" s="18" t="s">
        <v>5995</v>
      </c>
      <c r="B1367" s="4" t="s">
        <v>2851</v>
      </c>
      <c r="C1367" s="4" t="s">
        <v>1497</v>
      </c>
      <c r="D1367" s="4" t="s">
        <v>3289</v>
      </c>
      <c r="E1367" s="9">
        <v>50</v>
      </c>
      <c r="F1367" s="9">
        <v>50</v>
      </c>
      <c r="G1367" s="1" t="s">
        <v>5996</v>
      </c>
      <c r="H1367" s="1">
        <f>SUMIF([1]Sheet1!$G:$G,A1367,[1]Sheet1!$O:$O)</f>
        <v>50</v>
      </c>
      <c r="I1367" s="21">
        <f t="shared" si="21"/>
        <v>0</v>
      </c>
    </row>
    <row r="1368" spans="1:9" x14ac:dyDescent="0.25">
      <c r="A1368" s="18" t="s">
        <v>8918</v>
      </c>
      <c r="B1368" s="4" t="s">
        <v>2852</v>
      </c>
      <c r="C1368" s="4" t="s">
        <v>1498</v>
      </c>
      <c r="D1368" s="4" t="s">
        <v>3290</v>
      </c>
      <c r="E1368" s="9">
        <v>305.08600000000001</v>
      </c>
      <c r="F1368" s="9">
        <v>1525.43</v>
      </c>
      <c r="G1368" s="1" t="s">
        <v>8919</v>
      </c>
      <c r="H1368" s="1">
        <f>SUMIF([1]Sheet1!$G:$G,A1368,[1]Sheet1!$O:$O)</f>
        <v>1525.43</v>
      </c>
      <c r="I1368" s="21">
        <f t="shared" si="21"/>
        <v>0</v>
      </c>
    </row>
    <row r="1369" spans="1:9" x14ac:dyDescent="0.25">
      <c r="A1369" s="18" t="s">
        <v>7629</v>
      </c>
      <c r="B1369" s="4" t="s">
        <v>2853</v>
      </c>
      <c r="C1369" s="4" t="s">
        <v>1499</v>
      </c>
      <c r="D1369" s="4" t="s">
        <v>3290</v>
      </c>
      <c r="E1369" s="9">
        <v>423.81166666666667</v>
      </c>
      <c r="F1369" s="9">
        <v>7628.61</v>
      </c>
      <c r="G1369" s="1" t="s">
        <v>7630</v>
      </c>
      <c r="H1369" s="1">
        <f>SUMIF([1]Sheet1!$G:$G,A1369,[1]Sheet1!$O:$O)</f>
        <v>7628.61</v>
      </c>
      <c r="I1369" s="21">
        <f t="shared" si="21"/>
        <v>0</v>
      </c>
    </row>
    <row r="1370" spans="1:9" x14ac:dyDescent="0.25">
      <c r="A1370" s="18" t="s">
        <v>11233</v>
      </c>
      <c r="B1370" s="4" t="s">
        <v>2854</v>
      </c>
      <c r="C1370" s="4" t="s">
        <v>1500</v>
      </c>
      <c r="D1370" s="4" t="s">
        <v>3290</v>
      </c>
      <c r="E1370" s="9">
        <v>39.620555555555555</v>
      </c>
      <c r="F1370" s="9">
        <v>713.17</v>
      </c>
      <c r="G1370" s="1" t="s">
        <v>11234</v>
      </c>
      <c r="H1370" s="1">
        <f>SUMIF([1]Sheet1!$G:$G,A1370,[1]Sheet1!$O:$O)</f>
        <v>713.17</v>
      </c>
      <c r="I1370" s="21">
        <f t="shared" si="21"/>
        <v>0</v>
      </c>
    </row>
    <row r="1371" spans="1:9" x14ac:dyDescent="0.25">
      <c r="A1371" s="18" t="s">
        <v>6345</v>
      </c>
      <c r="B1371" s="4" t="s">
        <v>2855</v>
      </c>
      <c r="C1371" s="4" t="s">
        <v>1501</v>
      </c>
      <c r="D1371" s="4" t="s">
        <v>3293</v>
      </c>
      <c r="E1371" s="9">
        <v>103.37055555555555</v>
      </c>
      <c r="F1371" s="9">
        <v>1860.67</v>
      </c>
      <c r="G1371" s="1" t="s">
        <v>6346</v>
      </c>
      <c r="H1371" s="1">
        <f>SUMIF([1]Sheet1!$G:$G,A1371,[1]Sheet1!$O:$O)</f>
        <v>1860.67</v>
      </c>
      <c r="I1371" s="21">
        <f t="shared" si="21"/>
        <v>0</v>
      </c>
    </row>
    <row r="1372" spans="1:9" x14ac:dyDescent="0.25">
      <c r="A1372" s="18" t="s">
        <v>3394</v>
      </c>
      <c r="B1372" s="4" t="s">
        <v>2856</v>
      </c>
      <c r="C1372" s="4" t="s">
        <v>1502</v>
      </c>
      <c r="D1372" s="4" t="s">
        <v>3290</v>
      </c>
      <c r="E1372" s="9">
        <v>1061.25</v>
      </c>
      <c r="F1372" s="9">
        <v>4245</v>
      </c>
      <c r="G1372" s="1" t="s">
        <v>3397</v>
      </c>
      <c r="H1372" s="1">
        <f>SUMIF([1]Sheet1!$G:$G,A1372,[1]Sheet1!$O:$O)</f>
        <v>4245</v>
      </c>
      <c r="I1372" s="21">
        <f t="shared" si="21"/>
        <v>0</v>
      </c>
    </row>
    <row r="1373" spans="1:9" x14ac:dyDescent="0.25">
      <c r="A1373" s="18" t="s">
        <v>3302</v>
      </c>
      <c r="B1373" s="4" t="s">
        <v>2857</v>
      </c>
      <c r="C1373" s="4" t="s">
        <v>1503</v>
      </c>
      <c r="D1373" s="4" t="s">
        <v>3290</v>
      </c>
      <c r="E1373" s="9">
        <v>1610.825</v>
      </c>
      <c r="F1373" s="9">
        <v>3221.65</v>
      </c>
      <c r="G1373" s="1" t="s">
        <v>3305</v>
      </c>
      <c r="H1373" s="1">
        <f>SUMIF([1]Sheet1!$G:$G,A1373,[1]Sheet1!$O:$O)</f>
        <v>3221.65</v>
      </c>
      <c r="I1373" s="21">
        <f t="shared" si="21"/>
        <v>0</v>
      </c>
    </row>
    <row r="1374" spans="1:9" x14ac:dyDescent="0.25">
      <c r="A1374" s="18" t="s">
        <v>3306</v>
      </c>
      <c r="B1374" s="4" t="s">
        <v>2858</v>
      </c>
      <c r="C1374" s="4" t="s">
        <v>1504</v>
      </c>
      <c r="D1374" s="4" t="s">
        <v>3290</v>
      </c>
      <c r="E1374" s="9">
        <v>5435.4375</v>
      </c>
      <c r="F1374" s="9">
        <v>21741.75</v>
      </c>
      <c r="G1374" s="1" t="s">
        <v>3307</v>
      </c>
      <c r="H1374" s="1">
        <f>SUMIF([1]Sheet1!$G:$G,A1374,[1]Sheet1!$O:$O)</f>
        <v>21741.75</v>
      </c>
      <c r="I1374" s="21">
        <f t="shared" si="21"/>
        <v>0</v>
      </c>
    </row>
    <row r="1375" spans="1:9" x14ac:dyDescent="0.25">
      <c r="A1375" s="18" t="s">
        <v>3398</v>
      </c>
      <c r="B1375" s="4" t="s">
        <v>2859</v>
      </c>
      <c r="C1375" s="4" t="s">
        <v>1505</v>
      </c>
      <c r="D1375" s="4" t="s">
        <v>3290</v>
      </c>
      <c r="E1375" s="9">
        <v>1180.125</v>
      </c>
      <c r="F1375" s="9">
        <v>7080.75</v>
      </c>
      <c r="G1375" s="1" t="s">
        <v>3399</v>
      </c>
      <c r="H1375" s="1">
        <f>SUMIF([1]Sheet1!$G:$G,A1375,[1]Sheet1!$O:$O)</f>
        <v>7080.75</v>
      </c>
      <c r="I1375" s="21">
        <f t="shared" si="21"/>
        <v>0</v>
      </c>
    </row>
    <row r="1376" spans="1:9" x14ac:dyDescent="0.25">
      <c r="A1376" s="18" t="s">
        <v>3400</v>
      </c>
      <c r="B1376" s="4" t="s">
        <v>2860</v>
      </c>
      <c r="C1376" s="4" t="s">
        <v>1506</v>
      </c>
      <c r="D1376" s="4" t="s">
        <v>3290</v>
      </c>
      <c r="E1376" s="9">
        <v>1404.0875000000001</v>
      </c>
      <c r="F1376" s="9">
        <v>5616.35</v>
      </c>
      <c r="G1376" s="1" t="s">
        <v>3401</v>
      </c>
      <c r="H1376" s="1">
        <f>SUMIF([1]Sheet1!$G:$G,A1376,[1]Sheet1!$O:$O)</f>
        <v>5616.35</v>
      </c>
      <c r="I1376" s="21">
        <f t="shared" si="21"/>
        <v>0</v>
      </c>
    </row>
    <row r="1377" spans="1:9" x14ac:dyDescent="0.25">
      <c r="A1377" s="18" t="s">
        <v>3402</v>
      </c>
      <c r="B1377" s="4" t="s">
        <v>2861</v>
      </c>
      <c r="C1377" s="4" t="s">
        <v>1507</v>
      </c>
      <c r="D1377" s="4" t="s">
        <v>3290</v>
      </c>
      <c r="E1377" s="9">
        <v>1514.3425</v>
      </c>
      <c r="F1377" s="9">
        <v>6057.37</v>
      </c>
      <c r="G1377" s="1" t="s">
        <v>3403</v>
      </c>
      <c r="H1377" s="1">
        <f>SUMIF([1]Sheet1!$G:$G,A1377,[1]Sheet1!$O:$O)</f>
        <v>6057.37</v>
      </c>
      <c r="I1377" s="21">
        <f t="shared" si="21"/>
        <v>0</v>
      </c>
    </row>
    <row r="1378" spans="1:9" x14ac:dyDescent="0.25">
      <c r="A1378" s="18" t="s">
        <v>7745</v>
      </c>
      <c r="B1378" s="4" t="s">
        <v>2862</v>
      </c>
      <c r="C1378" s="4" t="s">
        <v>1508</v>
      </c>
      <c r="D1378" s="4" t="s">
        <v>3290</v>
      </c>
      <c r="E1378" s="9">
        <v>10338.985000000001</v>
      </c>
      <c r="F1378" s="9">
        <v>20677.97</v>
      </c>
      <c r="G1378" s="1" t="s">
        <v>7746</v>
      </c>
      <c r="H1378" s="1">
        <f>SUMIF([1]Sheet1!$G:$G,A1378,[1]Sheet1!$O:$O)</f>
        <v>20677.97</v>
      </c>
      <c r="I1378" s="21">
        <f t="shared" si="21"/>
        <v>0</v>
      </c>
    </row>
    <row r="1379" spans="1:9" x14ac:dyDescent="0.25">
      <c r="A1379" s="18" t="s">
        <v>9985</v>
      </c>
      <c r="B1379" s="4" t="s">
        <v>2863</v>
      </c>
      <c r="C1379" s="4" t="s">
        <v>1509</v>
      </c>
      <c r="D1379" s="4" t="s">
        <v>3290</v>
      </c>
      <c r="E1379" s="9">
        <v>77.011282051282052</v>
      </c>
      <c r="F1379" s="9">
        <v>3003.44</v>
      </c>
      <c r="G1379" s="1" t="s">
        <v>9986</v>
      </c>
      <c r="H1379" s="1">
        <f>SUMIF([1]Sheet1!$G:$G,A1379,[1]Sheet1!$O:$O)</f>
        <v>3003.44</v>
      </c>
      <c r="I1379" s="21">
        <f t="shared" si="21"/>
        <v>0</v>
      </c>
    </row>
    <row r="1380" spans="1:9" x14ac:dyDescent="0.25">
      <c r="A1380" s="18" t="s">
        <v>6755</v>
      </c>
      <c r="B1380" s="4" t="s">
        <v>2864</v>
      </c>
      <c r="C1380" s="4" t="s">
        <v>1510</v>
      </c>
      <c r="D1380" s="4" t="s">
        <v>3291</v>
      </c>
      <c r="E1380" s="9">
        <v>4.2373333333333338</v>
      </c>
      <c r="F1380" s="9">
        <v>63.560000000000009</v>
      </c>
      <c r="G1380" s="1" t="s">
        <v>6756</v>
      </c>
      <c r="H1380" s="1">
        <f>SUMIF([1]Sheet1!$G:$G,A1380,[1]Sheet1!$O:$O)</f>
        <v>63.56</v>
      </c>
      <c r="I1380" s="21">
        <f t="shared" si="21"/>
        <v>0</v>
      </c>
    </row>
    <row r="1381" spans="1:9" x14ac:dyDescent="0.25">
      <c r="A1381" s="18" t="s">
        <v>10687</v>
      </c>
      <c r="B1381" s="4" t="s">
        <v>2865</v>
      </c>
      <c r="C1381" s="4" t="s">
        <v>1511</v>
      </c>
      <c r="D1381" s="4" t="s">
        <v>3295</v>
      </c>
      <c r="E1381" s="9">
        <v>133.27173913043478</v>
      </c>
      <c r="F1381" s="9">
        <v>735.66</v>
      </c>
      <c r="G1381" s="1" t="s">
        <v>10688</v>
      </c>
      <c r="H1381" s="1">
        <f>SUMIF([1]Sheet1!$G:$G,A1381,[1]Sheet1!$O:$O)</f>
        <v>735.66</v>
      </c>
      <c r="I1381" s="21">
        <f t="shared" si="21"/>
        <v>0</v>
      </c>
    </row>
    <row r="1382" spans="1:9" x14ac:dyDescent="0.25">
      <c r="A1382" s="18" t="s">
        <v>7585</v>
      </c>
      <c r="B1382" s="4" t="s">
        <v>2866</v>
      </c>
      <c r="C1382" s="4" t="s">
        <v>1512</v>
      </c>
      <c r="D1382" s="4" t="s">
        <v>3289</v>
      </c>
      <c r="E1382" s="9">
        <v>11.396363636363636</v>
      </c>
      <c r="F1382" s="9">
        <v>31.34</v>
      </c>
      <c r="G1382" s="1" t="s">
        <v>7586</v>
      </c>
      <c r="H1382" s="1">
        <f>SUMIF([1]Sheet1!$G:$G,A1382,[1]Sheet1!$O:$O)</f>
        <v>31.34</v>
      </c>
      <c r="I1382" s="21">
        <f t="shared" si="21"/>
        <v>0</v>
      </c>
    </row>
    <row r="1383" spans="1:9" x14ac:dyDescent="0.25">
      <c r="A1383" s="18" t="s">
        <v>5761</v>
      </c>
      <c r="B1383" s="4" t="s">
        <v>2867</v>
      </c>
      <c r="C1383" s="4" t="s">
        <v>1513</v>
      </c>
      <c r="D1383" s="4" t="s">
        <v>3289</v>
      </c>
      <c r="E1383" s="9">
        <v>2.9660000000000002</v>
      </c>
      <c r="F1383" s="9">
        <v>118.64000000000001</v>
      </c>
      <c r="G1383" s="1" t="s">
        <v>5762</v>
      </c>
      <c r="H1383" s="1">
        <f>SUMIF([1]Sheet1!$G:$G,A1383,[1]Sheet1!$O:$O)</f>
        <v>118.64</v>
      </c>
      <c r="I1383" s="21">
        <f t="shared" si="21"/>
        <v>0</v>
      </c>
    </row>
    <row r="1384" spans="1:9" x14ac:dyDescent="0.25">
      <c r="A1384" s="18" t="s">
        <v>6778</v>
      </c>
      <c r="B1384" s="4" t="s">
        <v>2868</v>
      </c>
      <c r="C1384" s="4" t="s">
        <v>1514</v>
      </c>
      <c r="D1384" s="4" t="s">
        <v>3291</v>
      </c>
      <c r="E1384" s="9">
        <v>13.558571428571428</v>
      </c>
      <c r="F1384" s="9">
        <v>94.91</v>
      </c>
      <c r="G1384" s="1" t="s">
        <v>6779</v>
      </c>
      <c r="H1384" s="1">
        <f>SUMIF([1]Sheet1!$G:$G,A1384,[1]Sheet1!$O:$O)</f>
        <v>94.91</v>
      </c>
      <c r="I1384" s="21">
        <f t="shared" si="21"/>
        <v>0</v>
      </c>
    </row>
    <row r="1385" spans="1:9" x14ac:dyDescent="0.25">
      <c r="A1385" s="18" t="s">
        <v>5375</v>
      </c>
      <c r="B1385" s="4" t="s">
        <v>2869</v>
      </c>
      <c r="C1385" s="4" t="s">
        <v>1515</v>
      </c>
      <c r="D1385" s="4" t="s">
        <v>3290</v>
      </c>
      <c r="E1385" s="9">
        <v>8.4749999999999999E-3</v>
      </c>
      <c r="F1385" s="9">
        <v>10.17</v>
      </c>
      <c r="G1385" s="1" t="s">
        <v>5376</v>
      </c>
      <c r="H1385" s="1">
        <f>SUMIF([1]Sheet1!$G:$G,A1385,[1]Sheet1!$O:$O)</f>
        <v>10.199999999999999</v>
      </c>
      <c r="I1385" s="21">
        <f t="shared" si="21"/>
        <v>-2.9999999999999361E-2</v>
      </c>
    </row>
    <row r="1386" spans="1:9" x14ac:dyDescent="0.25">
      <c r="A1386" s="18" t="s">
        <v>10011</v>
      </c>
      <c r="B1386" s="4" t="s">
        <v>2870</v>
      </c>
      <c r="C1386" s="4" t="s">
        <v>1516</v>
      </c>
      <c r="D1386" s="4" t="s">
        <v>3290</v>
      </c>
      <c r="E1386" s="9">
        <v>1680.7911111111111</v>
      </c>
      <c r="F1386" s="9">
        <v>15127.12</v>
      </c>
      <c r="G1386" s="1" t="s">
        <v>10012</v>
      </c>
      <c r="H1386" s="1">
        <f>SUMIF([1]Sheet1!$G:$G,A1386,[1]Sheet1!$O:$O)</f>
        <v>15127.12</v>
      </c>
      <c r="I1386" s="21">
        <f t="shared" si="21"/>
        <v>0</v>
      </c>
    </row>
    <row r="1387" spans="1:9" x14ac:dyDescent="0.25">
      <c r="A1387" s="18" t="s">
        <v>9997</v>
      </c>
      <c r="B1387" s="4" t="s">
        <v>2871</v>
      </c>
      <c r="C1387" s="4" t="s">
        <v>1517</v>
      </c>
      <c r="D1387" s="4" t="s">
        <v>3290</v>
      </c>
      <c r="E1387" s="9">
        <v>847.45666666666659</v>
      </c>
      <c r="F1387" s="9">
        <v>2542.37</v>
      </c>
      <c r="G1387" s="1" t="s">
        <v>9998</v>
      </c>
      <c r="H1387" s="1">
        <f>SUMIF([1]Sheet1!$G:$G,A1387,[1]Sheet1!$O:$O)</f>
        <v>2542.37</v>
      </c>
      <c r="I1387" s="21">
        <f t="shared" si="21"/>
        <v>0</v>
      </c>
    </row>
    <row r="1388" spans="1:9" x14ac:dyDescent="0.25">
      <c r="A1388" s="18" t="s">
        <v>9979</v>
      </c>
      <c r="B1388" s="4" t="s">
        <v>2872</v>
      </c>
      <c r="C1388" s="4" t="s">
        <v>1518</v>
      </c>
      <c r="D1388" s="4" t="s">
        <v>3290</v>
      </c>
      <c r="E1388" s="9">
        <v>127.12</v>
      </c>
      <c r="F1388" s="9">
        <v>381.36</v>
      </c>
      <c r="G1388" s="1" t="s">
        <v>9980</v>
      </c>
      <c r="H1388" s="1">
        <f>SUMIF([1]Sheet1!$G:$G,A1388,[1]Sheet1!$O:$O)</f>
        <v>381.36</v>
      </c>
      <c r="I1388" s="21">
        <f t="shared" si="21"/>
        <v>0</v>
      </c>
    </row>
    <row r="1389" spans="1:9" x14ac:dyDescent="0.25">
      <c r="A1389" s="18" t="s">
        <v>9983</v>
      </c>
      <c r="B1389" s="4" t="s">
        <v>2873</v>
      </c>
      <c r="C1389" s="4" t="s">
        <v>1519</v>
      </c>
      <c r="D1389" s="4" t="s">
        <v>3290</v>
      </c>
      <c r="E1389" s="9">
        <v>67.797499999999999</v>
      </c>
      <c r="F1389" s="9">
        <v>271.19</v>
      </c>
      <c r="G1389" s="1" t="s">
        <v>9984</v>
      </c>
      <c r="H1389" s="1">
        <f>SUMIF([1]Sheet1!$G:$G,A1389,[1]Sheet1!$O:$O)</f>
        <v>271.19</v>
      </c>
      <c r="I1389" s="21">
        <f t="shared" si="21"/>
        <v>0</v>
      </c>
    </row>
    <row r="1390" spans="1:9" x14ac:dyDescent="0.25">
      <c r="A1390" s="18" t="s">
        <v>7671</v>
      </c>
      <c r="B1390" s="4" t="s">
        <v>2874</v>
      </c>
      <c r="C1390" s="4" t="s">
        <v>1520</v>
      </c>
      <c r="D1390" s="4" t="s">
        <v>3290</v>
      </c>
      <c r="E1390" s="9">
        <v>205.15279999999998</v>
      </c>
      <c r="F1390" s="9">
        <v>5128.82</v>
      </c>
      <c r="G1390" s="1" t="s">
        <v>7672</v>
      </c>
      <c r="H1390" s="1">
        <f>SUMIF([1]Sheet1!$G:$G,A1390,[1]Sheet1!$O:$O)</f>
        <v>5128.82</v>
      </c>
      <c r="I1390" s="21">
        <f t="shared" si="21"/>
        <v>0</v>
      </c>
    </row>
    <row r="1391" spans="1:9" x14ac:dyDescent="0.25">
      <c r="A1391" s="18" t="s">
        <v>7564</v>
      </c>
      <c r="B1391" s="4" t="s">
        <v>2875</v>
      </c>
      <c r="C1391" s="4" t="s">
        <v>1521</v>
      </c>
      <c r="D1391" s="4" t="s">
        <v>3289</v>
      </c>
      <c r="E1391" s="9">
        <v>20.228896103896101</v>
      </c>
      <c r="F1391" s="9">
        <v>623.04999999999995</v>
      </c>
      <c r="G1391" s="1" t="s">
        <v>7565</v>
      </c>
      <c r="H1391" s="1">
        <f>SUMIF([1]Sheet1!$G:$G,A1391,[1]Sheet1!$O:$O)</f>
        <v>623.04999999999995</v>
      </c>
      <c r="I1391" s="21">
        <f t="shared" si="21"/>
        <v>0</v>
      </c>
    </row>
    <row r="1392" spans="1:9" x14ac:dyDescent="0.25">
      <c r="A1392" s="18" t="s">
        <v>3885</v>
      </c>
      <c r="B1392" s="4" t="s">
        <v>2876</v>
      </c>
      <c r="C1392" s="4" t="s">
        <v>1522</v>
      </c>
      <c r="D1392" s="4" t="s">
        <v>3290</v>
      </c>
      <c r="E1392" s="9">
        <v>118.64363636363636</v>
      </c>
      <c r="F1392" s="9">
        <v>1305.08</v>
      </c>
      <c r="G1392" s="1" t="s">
        <v>3886</v>
      </c>
      <c r="H1392" s="1">
        <f>SUMIF([1]Sheet1!$G:$G,A1392,[1]Sheet1!$O:$O)</f>
        <v>1305.08</v>
      </c>
      <c r="I1392" s="21">
        <f t="shared" si="21"/>
        <v>0</v>
      </c>
    </row>
    <row r="1393" spans="1:9" x14ac:dyDescent="0.25">
      <c r="A1393" s="18" t="s">
        <v>5470</v>
      </c>
      <c r="B1393" s="4" t="s">
        <v>2877</v>
      </c>
      <c r="C1393" s="4" t="s">
        <v>1523</v>
      </c>
      <c r="D1393" s="4" t="s">
        <v>3290</v>
      </c>
      <c r="E1393" s="9">
        <v>57.626874999999998</v>
      </c>
      <c r="F1393" s="9">
        <v>922.03</v>
      </c>
      <c r="G1393" s="1" t="s">
        <v>5471</v>
      </c>
      <c r="H1393" s="1">
        <f>SUMIF([1]Sheet1!$G:$G,A1393,[1]Sheet1!$O:$O)</f>
        <v>922.03</v>
      </c>
      <c r="I1393" s="21">
        <f t="shared" si="21"/>
        <v>0</v>
      </c>
    </row>
    <row r="1394" spans="1:9" x14ac:dyDescent="0.25">
      <c r="A1394" s="18" t="s">
        <v>6368</v>
      </c>
      <c r="B1394" s="4" t="s">
        <v>2878</v>
      </c>
      <c r="C1394" s="4" t="s">
        <v>1524</v>
      </c>
      <c r="D1394" s="4" t="s">
        <v>3290</v>
      </c>
      <c r="E1394" s="9">
        <v>69.754032258064512</v>
      </c>
      <c r="F1394" s="9">
        <v>4324.75</v>
      </c>
      <c r="G1394" s="1" t="s">
        <v>6369</v>
      </c>
      <c r="H1394" s="1">
        <f>SUMIF([1]Sheet1!$G:$G,A1394,[1]Sheet1!$O:$O)</f>
        <v>4324.75</v>
      </c>
      <c r="I1394" s="21">
        <f t="shared" si="21"/>
        <v>0</v>
      </c>
    </row>
    <row r="1395" spans="1:9" x14ac:dyDescent="0.25">
      <c r="A1395" s="18" t="s">
        <v>5221</v>
      </c>
      <c r="B1395" s="4" t="s">
        <v>2879</v>
      </c>
      <c r="C1395" s="4" t="s">
        <v>1525</v>
      </c>
      <c r="D1395" s="4" t="s">
        <v>3290</v>
      </c>
      <c r="E1395" s="9">
        <v>27.118000000000002</v>
      </c>
      <c r="F1395" s="9">
        <v>135.59</v>
      </c>
      <c r="G1395" s="1" t="s">
        <v>5222</v>
      </c>
      <c r="H1395" s="1">
        <f>SUMIF([1]Sheet1!$G:$G,A1395,[1]Sheet1!$O:$O)</f>
        <v>135.59</v>
      </c>
      <c r="I1395" s="21">
        <f t="shared" si="21"/>
        <v>0</v>
      </c>
    </row>
    <row r="1396" spans="1:9" x14ac:dyDescent="0.25">
      <c r="A1396" s="18" t="s">
        <v>11031</v>
      </c>
      <c r="B1396" s="4" t="s">
        <v>2880</v>
      </c>
      <c r="C1396" s="4" t="s">
        <v>1526</v>
      </c>
      <c r="D1396" s="4" t="s">
        <v>3291</v>
      </c>
      <c r="E1396" s="9">
        <v>3.8135555555555558</v>
      </c>
      <c r="F1396" s="9">
        <v>514.83000000000004</v>
      </c>
      <c r="G1396" s="1" t="s">
        <v>11032</v>
      </c>
      <c r="H1396" s="1">
        <f>SUMIF([1]Sheet1!$G:$G,A1396,[1]Sheet1!$O:$O)</f>
        <v>514.84</v>
      </c>
      <c r="I1396" s="21">
        <f t="shared" si="21"/>
        <v>-9.9999999999909051E-3</v>
      </c>
    </row>
    <row r="1397" spans="1:9" x14ac:dyDescent="0.25">
      <c r="A1397" s="18" t="s">
        <v>9528</v>
      </c>
      <c r="B1397" s="4" t="s">
        <v>2881</v>
      </c>
      <c r="C1397" s="4" t="s">
        <v>1527</v>
      </c>
      <c r="D1397" s="4" t="s">
        <v>3290</v>
      </c>
      <c r="E1397" s="9">
        <v>0.80109375000000005</v>
      </c>
      <c r="F1397" s="9">
        <v>51.27</v>
      </c>
      <c r="G1397" s="1" t="s">
        <v>9529</v>
      </c>
      <c r="H1397" s="1">
        <f>SUMIF([1]Sheet1!$G:$G,A1397,[1]Sheet1!$O:$O)</f>
        <v>51.27</v>
      </c>
      <c r="I1397" s="21">
        <f t="shared" si="21"/>
        <v>0</v>
      </c>
    </row>
    <row r="1398" spans="1:9" x14ac:dyDescent="0.25">
      <c r="A1398" s="18" t="s">
        <v>9470</v>
      </c>
      <c r="B1398" s="4" t="s">
        <v>2882</v>
      </c>
      <c r="C1398" s="4" t="s">
        <v>1528</v>
      </c>
      <c r="D1398" s="4" t="s">
        <v>3290</v>
      </c>
      <c r="E1398" s="9">
        <v>0.80109375000000005</v>
      </c>
      <c r="F1398" s="9">
        <v>51.27</v>
      </c>
      <c r="G1398" s="1" t="s">
        <v>9471</v>
      </c>
      <c r="H1398" s="1">
        <f>SUMIF([1]Sheet1!$G:$G,A1398,[1]Sheet1!$O:$O)</f>
        <v>51.27</v>
      </c>
      <c r="I1398" s="21">
        <f t="shared" si="21"/>
        <v>0</v>
      </c>
    </row>
    <row r="1399" spans="1:9" x14ac:dyDescent="0.25">
      <c r="A1399" s="18" t="s">
        <v>5214</v>
      </c>
      <c r="B1399" s="4" t="s">
        <v>2883</v>
      </c>
      <c r="C1399" s="4" t="s">
        <v>1529</v>
      </c>
      <c r="D1399" s="4" t="s">
        <v>3290</v>
      </c>
      <c r="E1399" s="9">
        <v>5.93</v>
      </c>
      <c r="F1399" s="9">
        <v>17.79</v>
      </c>
      <c r="G1399" s="1" t="s">
        <v>5215</v>
      </c>
      <c r="H1399" s="1">
        <f>SUMIF([1]Sheet1!$G:$G,A1399,[1]Sheet1!$O:$O)</f>
        <v>17.79</v>
      </c>
      <c r="I1399" s="21">
        <f t="shared" si="21"/>
        <v>0</v>
      </c>
    </row>
    <row r="1400" spans="1:9" x14ac:dyDescent="0.25">
      <c r="A1400" s="18" t="s">
        <v>9067</v>
      </c>
      <c r="B1400" s="4" t="s">
        <v>2884</v>
      </c>
      <c r="C1400" s="4" t="s">
        <v>1530</v>
      </c>
      <c r="D1400" s="4" t="s">
        <v>3290</v>
      </c>
      <c r="E1400" s="9">
        <v>13.22</v>
      </c>
      <c r="F1400" s="9">
        <v>26.44</v>
      </c>
      <c r="G1400" s="1" t="s">
        <v>9068</v>
      </c>
      <c r="H1400" s="1">
        <f>SUMIF([1]Sheet1!$G:$G,A1400,[1]Sheet1!$O:$O)</f>
        <v>26.44</v>
      </c>
      <c r="I1400" s="21">
        <f t="shared" si="21"/>
        <v>0</v>
      </c>
    </row>
    <row r="1401" spans="1:9" x14ac:dyDescent="0.25">
      <c r="A1401" s="18" t="s">
        <v>10811</v>
      </c>
      <c r="B1401" s="4" t="s">
        <v>2885</v>
      </c>
      <c r="C1401" s="4" t="s">
        <v>1531</v>
      </c>
      <c r="D1401" s="4" t="s">
        <v>3290</v>
      </c>
      <c r="E1401" s="9">
        <v>16.350000000000001</v>
      </c>
      <c r="F1401" s="9">
        <v>16.350000000000001</v>
      </c>
      <c r="G1401" s="1" t="s">
        <v>10812</v>
      </c>
      <c r="H1401" s="1">
        <f>SUMIF([1]Sheet1!$G:$G,A1401,[1]Sheet1!$O:$O)</f>
        <v>16.350000000000001</v>
      </c>
      <c r="I1401" s="21">
        <f t="shared" si="21"/>
        <v>0</v>
      </c>
    </row>
    <row r="1402" spans="1:9" x14ac:dyDescent="0.25">
      <c r="A1402" s="18" t="s">
        <v>10809</v>
      </c>
      <c r="B1402" s="4" t="s">
        <v>2886</v>
      </c>
      <c r="C1402" s="4" t="s">
        <v>1532</v>
      </c>
      <c r="D1402" s="4" t="s">
        <v>3290</v>
      </c>
      <c r="E1402" s="9">
        <v>16.95</v>
      </c>
      <c r="F1402" s="9">
        <v>33.9</v>
      </c>
      <c r="G1402" s="1" t="s">
        <v>10810</v>
      </c>
      <c r="H1402" s="1">
        <f>SUMIF([1]Sheet1!$G:$G,A1402,[1]Sheet1!$O:$O)</f>
        <v>33.9</v>
      </c>
      <c r="I1402" s="21">
        <f t="shared" si="21"/>
        <v>0</v>
      </c>
    </row>
    <row r="1403" spans="1:9" x14ac:dyDescent="0.25">
      <c r="A1403" s="18" t="s">
        <v>8354</v>
      </c>
      <c r="B1403" s="4" t="s">
        <v>3234</v>
      </c>
      <c r="C1403" s="4" t="s">
        <v>1533</v>
      </c>
      <c r="D1403" s="4" t="s">
        <v>3290</v>
      </c>
      <c r="E1403" s="9">
        <v>7504.7950000000001</v>
      </c>
      <c r="F1403" s="9">
        <v>30019.18</v>
      </c>
      <c r="G1403" s="1" t="s">
        <v>8355</v>
      </c>
      <c r="H1403" s="1">
        <f>SUMIF([1]Sheet1!$G:$G,A1403,[1]Sheet1!$O:$O)</f>
        <v>30019.18</v>
      </c>
      <c r="I1403" s="21">
        <f t="shared" si="21"/>
        <v>0</v>
      </c>
    </row>
    <row r="1404" spans="1:9" x14ac:dyDescent="0.25">
      <c r="A1404" s="18" t="s">
        <v>11489</v>
      </c>
      <c r="B1404" s="4" t="s">
        <v>2887</v>
      </c>
      <c r="C1404" s="4" t="s">
        <v>1534</v>
      </c>
      <c r="D1404" s="4" t="s">
        <v>3290</v>
      </c>
      <c r="E1404" s="9">
        <v>508.47500000000002</v>
      </c>
      <c r="F1404" s="9">
        <v>1016.95</v>
      </c>
      <c r="G1404" s="1" t="s">
        <v>11490</v>
      </c>
      <c r="H1404" s="1">
        <f>SUMIF([1]Sheet1!$G:$G,A1404,[1]Sheet1!$O:$O)</f>
        <v>1016.95</v>
      </c>
      <c r="I1404" s="21">
        <f t="shared" si="21"/>
        <v>0</v>
      </c>
    </row>
    <row r="1405" spans="1:9" x14ac:dyDescent="0.25">
      <c r="A1405" s="18" t="s">
        <v>4868</v>
      </c>
      <c r="B1405" s="4" t="s">
        <v>3235</v>
      </c>
      <c r="C1405" s="4" t="s">
        <v>1535</v>
      </c>
      <c r="D1405" s="4" t="s">
        <v>3290</v>
      </c>
      <c r="E1405" s="9">
        <v>34851.693333333336</v>
      </c>
      <c r="F1405" s="9">
        <v>104555.08000000002</v>
      </c>
      <c r="G1405" s="1" t="s">
        <v>4869</v>
      </c>
      <c r="H1405" s="1">
        <f>SUMIF([1]Sheet1!$G:$G,A1405,[1]Sheet1!$O:$O)</f>
        <v>104555.08</v>
      </c>
      <c r="I1405" s="21">
        <f t="shared" si="21"/>
        <v>0</v>
      </c>
    </row>
    <row r="1406" spans="1:9" x14ac:dyDescent="0.25">
      <c r="A1406" s="18" t="s">
        <v>4032</v>
      </c>
      <c r="B1406" s="4" t="s">
        <v>3236</v>
      </c>
      <c r="C1406" s="4" t="s">
        <v>1536</v>
      </c>
      <c r="D1406" s="4" t="s">
        <v>3290</v>
      </c>
      <c r="E1406" s="9">
        <v>219207.47</v>
      </c>
      <c r="F1406" s="9">
        <v>657622.41</v>
      </c>
      <c r="G1406" s="1" t="s">
        <v>4034</v>
      </c>
      <c r="H1406" s="1">
        <f>SUMIF([1]Sheet1!$G:$G,A1406,[1]Sheet1!$O:$O)</f>
        <v>657622.41</v>
      </c>
      <c r="I1406" s="21">
        <f t="shared" si="21"/>
        <v>0</v>
      </c>
    </row>
    <row r="1407" spans="1:9" x14ac:dyDescent="0.25">
      <c r="A1407" s="18" t="s">
        <v>12010</v>
      </c>
      <c r="B1407" s="4" t="s">
        <v>3237</v>
      </c>
      <c r="C1407" s="4" t="s">
        <v>1537</v>
      </c>
      <c r="D1407" s="4" t="s">
        <v>3290</v>
      </c>
      <c r="E1407" s="9">
        <v>398820.34</v>
      </c>
      <c r="F1407" s="9">
        <v>398820.34</v>
      </c>
      <c r="G1407" s="1" t="s">
        <v>12013</v>
      </c>
      <c r="H1407" s="1">
        <f>SUMIF([1]Sheet1!$G:$G,A1407,[1]Sheet1!$O:$O)</f>
        <v>398820.34</v>
      </c>
      <c r="I1407" s="21">
        <f t="shared" si="21"/>
        <v>0</v>
      </c>
    </row>
    <row r="1408" spans="1:9" x14ac:dyDescent="0.25">
      <c r="A1408" s="18" t="s">
        <v>8352</v>
      </c>
      <c r="B1408" s="4" t="s">
        <v>3238</v>
      </c>
      <c r="C1408" s="4" t="s">
        <v>1538</v>
      </c>
      <c r="D1408" s="4" t="s">
        <v>3290</v>
      </c>
      <c r="E1408" s="9">
        <v>5109.3675000000003</v>
      </c>
      <c r="F1408" s="9">
        <v>20437.47</v>
      </c>
      <c r="G1408" s="1" t="s">
        <v>8353</v>
      </c>
      <c r="H1408" s="1">
        <f>SUMIF([1]Sheet1!$G:$G,A1408,[1]Sheet1!$O:$O)</f>
        <v>20437.47</v>
      </c>
      <c r="I1408" s="21">
        <f t="shared" si="21"/>
        <v>0</v>
      </c>
    </row>
    <row r="1409" spans="1:9" x14ac:dyDescent="0.25">
      <c r="A1409" s="18" t="s">
        <v>8671</v>
      </c>
      <c r="B1409" s="4" t="s">
        <v>3239</v>
      </c>
      <c r="C1409" s="4" t="s">
        <v>1539</v>
      </c>
      <c r="D1409" s="4" t="s">
        <v>3290</v>
      </c>
      <c r="E1409" s="9">
        <v>4500</v>
      </c>
      <c r="F1409" s="9">
        <v>40500</v>
      </c>
      <c r="G1409" s="1" t="s">
        <v>8672</v>
      </c>
      <c r="H1409" s="1">
        <f>SUMIF([1]Sheet1!$G:$G,A1409,[1]Sheet1!$O:$O)</f>
        <v>40500</v>
      </c>
      <c r="I1409" s="21">
        <f t="shared" si="21"/>
        <v>0</v>
      </c>
    </row>
    <row r="1410" spans="1:9" x14ac:dyDescent="0.25">
      <c r="A1410" s="18" t="s">
        <v>4943</v>
      </c>
      <c r="B1410" s="4" t="s">
        <v>3240</v>
      </c>
      <c r="C1410" s="4" t="s">
        <v>1540</v>
      </c>
      <c r="D1410" s="4" t="s">
        <v>3290</v>
      </c>
      <c r="E1410" s="9">
        <v>40677.97</v>
      </c>
      <c r="F1410" s="9">
        <v>40677.97</v>
      </c>
      <c r="G1410" s="1" t="s">
        <v>4944</v>
      </c>
      <c r="H1410" s="1">
        <f>SUMIF([1]Sheet1!$G:$G,A1410,[1]Sheet1!$O:$O)</f>
        <v>40677.97</v>
      </c>
      <c r="I1410" s="21">
        <f t="shared" si="21"/>
        <v>0</v>
      </c>
    </row>
    <row r="1411" spans="1:9" x14ac:dyDescent="0.25">
      <c r="A1411" s="18" t="s">
        <v>4948</v>
      </c>
      <c r="B1411" s="4" t="s">
        <v>3241</v>
      </c>
      <c r="C1411" s="4" t="s">
        <v>1541</v>
      </c>
      <c r="D1411" s="4" t="s">
        <v>3290</v>
      </c>
      <c r="E1411" s="9">
        <v>8474.58</v>
      </c>
      <c r="F1411" s="9">
        <v>8474.58</v>
      </c>
      <c r="G1411" s="1" t="s">
        <v>4949</v>
      </c>
      <c r="H1411" s="1">
        <f>SUMIF([1]Sheet1!$G:$G,A1411,[1]Sheet1!$O:$O)</f>
        <v>8474.58</v>
      </c>
      <c r="I1411" s="21">
        <f t="shared" ref="I1411:I1474" si="22">F1411-H1411</f>
        <v>0</v>
      </c>
    </row>
    <row r="1412" spans="1:9" x14ac:dyDescent="0.25">
      <c r="A1412" s="18" t="s">
        <v>3409</v>
      </c>
      <c r="B1412" s="4" t="s">
        <v>3242</v>
      </c>
      <c r="C1412" s="4" t="s">
        <v>1542</v>
      </c>
      <c r="D1412" s="4" t="s">
        <v>3290</v>
      </c>
      <c r="E1412" s="9">
        <v>330.17399999999998</v>
      </c>
      <c r="F1412" s="9">
        <v>1650.87</v>
      </c>
      <c r="G1412" s="1" t="s">
        <v>3412</v>
      </c>
      <c r="H1412" s="1">
        <f>SUMIF([1]Sheet1!$G:$G,A1412,[1]Sheet1!$O:$O)</f>
        <v>0.01</v>
      </c>
      <c r="I1412" s="21">
        <f t="shared" si="22"/>
        <v>1650.86</v>
      </c>
    </row>
    <row r="1413" spans="1:9" x14ac:dyDescent="0.25">
      <c r="A1413" s="18" t="s">
        <v>10415</v>
      </c>
      <c r="B1413" s="4" t="s">
        <v>3243</v>
      </c>
      <c r="C1413" s="4" t="s">
        <v>1543</v>
      </c>
      <c r="D1413" s="4" t="s">
        <v>3290</v>
      </c>
      <c r="E1413" s="9">
        <v>8537.2849999999999</v>
      </c>
      <c r="F1413" s="9">
        <v>17074.57</v>
      </c>
      <c r="G1413" s="1" t="s">
        <v>10416</v>
      </c>
      <c r="H1413" s="1">
        <f>SUMIF([1]Sheet1!$G:$G,A1413,[1]Sheet1!$O:$O)</f>
        <v>17074.57</v>
      </c>
      <c r="I1413" s="21">
        <f t="shared" si="22"/>
        <v>0</v>
      </c>
    </row>
    <row r="1414" spans="1:9" x14ac:dyDescent="0.25">
      <c r="A1414" s="18" t="s">
        <v>4935</v>
      </c>
      <c r="B1414" s="4" t="s">
        <v>3244</v>
      </c>
      <c r="C1414" s="4" t="s">
        <v>1544</v>
      </c>
      <c r="D1414" s="4" t="s">
        <v>3290</v>
      </c>
      <c r="E1414" s="9">
        <v>7627.12</v>
      </c>
      <c r="F1414" s="9">
        <v>7627.12</v>
      </c>
      <c r="G1414" s="1" t="s">
        <v>4936</v>
      </c>
      <c r="H1414" s="1">
        <f>SUMIF([1]Sheet1!$G:$G,A1414,[1]Sheet1!$O:$O)</f>
        <v>7627.12</v>
      </c>
      <c r="I1414" s="21">
        <f t="shared" si="22"/>
        <v>0</v>
      </c>
    </row>
    <row r="1415" spans="1:9" x14ac:dyDescent="0.25">
      <c r="A1415" s="18" t="s">
        <v>4917</v>
      </c>
      <c r="B1415" s="4" t="s">
        <v>3245</v>
      </c>
      <c r="C1415" s="4" t="s">
        <v>1545</v>
      </c>
      <c r="D1415" s="4" t="s">
        <v>3290</v>
      </c>
      <c r="E1415" s="9">
        <v>16254.24</v>
      </c>
      <c r="F1415" s="9">
        <v>32508.48</v>
      </c>
      <c r="G1415" s="1" t="s">
        <v>4918</v>
      </c>
      <c r="H1415" s="1">
        <f>SUMIF([1]Sheet1!$G:$G,A1415,[1]Sheet1!$O:$O)</f>
        <v>32508.48</v>
      </c>
      <c r="I1415" s="21">
        <f t="shared" si="22"/>
        <v>0</v>
      </c>
    </row>
    <row r="1416" spans="1:9" x14ac:dyDescent="0.25">
      <c r="A1416" s="18" t="s">
        <v>4913</v>
      </c>
      <c r="B1416" s="4" t="s">
        <v>3246</v>
      </c>
      <c r="C1416" s="4" t="s">
        <v>1546</v>
      </c>
      <c r="D1416" s="4" t="s">
        <v>3290</v>
      </c>
      <c r="E1416" s="9">
        <v>22210.805</v>
      </c>
      <c r="F1416" s="9">
        <v>88843.22</v>
      </c>
      <c r="G1416" s="1" t="s">
        <v>4914</v>
      </c>
      <c r="H1416" s="1">
        <f>SUMIF([1]Sheet1!$G:$G,A1416,[1]Sheet1!$O:$O)</f>
        <v>88843.22</v>
      </c>
      <c r="I1416" s="21">
        <f t="shared" si="22"/>
        <v>0</v>
      </c>
    </row>
    <row r="1417" spans="1:9" x14ac:dyDescent="0.25">
      <c r="A1417" s="18" t="s">
        <v>10078</v>
      </c>
      <c r="B1417" s="4" t="s">
        <v>3247</v>
      </c>
      <c r="C1417" s="4" t="s">
        <v>1547</v>
      </c>
      <c r="D1417" s="4" t="s">
        <v>3290</v>
      </c>
      <c r="E1417" s="9">
        <v>45617.16</v>
      </c>
      <c r="F1417" s="9">
        <v>45617.16</v>
      </c>
      <c r="G1417" s="1" t="s">
        <v>10079</v>
      </c>
      <c r="H1417" s="1">
        <f>SUMIF([1]Sheet1!$G:$G,A1417,[1]Sheet1!$O:$O)</f>
        <v>45617.16</v>
      </c>
      <c r="I1417" s="21">
        <f t="shared" si="22"/>
        <v>0</v>
      </c>
    </row>
    <row r="1418" spans="1:9" x14ac:dyDescent="0.25">
      <c r="A1418" s="18" t="s">
        <v>10163</v>
      </c>
      <c r="B1418" s="4" t="s">
        <v>3248</v>
      </c>
      <c r="C1418" s="4" t="s">
        <v>1548</v>
      </c>
      <c r="D1418" s="4" t="s">
        <v>3290</v>
      </c>
      <c r="E1418" s="9">
        <v>133574.90428571429</v>
      </c>
      <c r="F1418" s="9">
        <v>935024.33000000007</v>
      </c>
      <c r="G1418" s="1" t="s">
        <v>10164</v>
      </c>
      <c r="H1418" s="1">
        <f>SUMIF([1]Sheet1!$G:$G,A1418,[1]Sheet1!$O:$O)</f>
        <v>0.03</v>
      </c>
      <c r="I1418" s="21">
        <f t="shared" si="22"/>
        <v>935024.3</v>
      </c>
    </row>
    <row r="1419" spans="1:9" x14ac:dyDescent="0.25">
      <c r="A1419" s="18" t="s">
        <v>5641</v>
      </c>
      <c r="B1419" s="4" t="s">
        <v>3079</v>
      </c>
      <c r="C1419" s="4" t="s">
        <v>1549</v>
      </c>
      <c r="D1419" s="4" t="s">
        <v>3290</v>
      </c>
      <c r="E1419" s="9">
        <v>49.81</v>
      </c>
      <c r="F1419" s="9">
        <v>49.81</v>
      </c>
      <c r="G1419" s="1" t="s">
        <v>5642</v>
      </c>
      <c r="H1419" s="1">
        <f>SUMIF([1]Sheet1!$G:$G,A1419,[1]Sheet1!$O:$O)</f>
        <v>49.81</v>
      </c>
      <c r="I1419" s="21">
        <f t="shared" si="22"/>
        <v>0</v>
      </c>
    </row>
    <row r="1420" spans="1:9" x14ac:dyDescent="0.25">
      <c r="A1420" s="18" t="s">
        <v>10555</v>
      </c>
      <c r="B1420" s="4" t="s">
        <v>3080</v>
      </c>
      <c r="C1420" s="4" t="s">
        <v>1550</v>
      </c>
      <c r="D1420" s="4" t="s">
        <v>3290</v>
      </c>
      <c r="E1420" s="9">
        <v>11.055</v>
      </c>
      <c r="F1420" s="9">
        <v>22.11</v>
      </c>
      <c r="G1420" s="1" t="s">
        <v>10558</v>
      </c>
      <c r="H1420" s="1">
        <f>SUMIF([1]Sheet1!$G:$G,A1420,[1]Sheet1!$O:$O)</f>
        <v>22.11</v>
      </c>
      <c r="I1420" s="21">
        <f t="shared" si="22"/>
        <v>0</v>
      </c>
    </row>
    <row r="1421" spans="1:9" x14ac:dyDescent="0.25">
      <c r="A1421" s="18" t="s">
        <v>5036</v>
      </c>
      <c r="B1421" s="4" t="s">
        <v>3081</v>
      </c>
      <c r="C1421" s="4" t="s">
        <v>1551</v>
      </c>
      <c r="D1421" s="4" t="s">
        <v>3290</v>
      </c>
      <c r="E1421" s="9">
        <v>25149.58</v>
      </c>
      <c r="F1421" s="9">
        <v>25149.58</v>
      </c>
      <c r="G1421" s="1" t="s">
        <v>5037</v>
      </c>
      <c r="H1421" s="1">
        <f>SUMIF([1]Sheet1!$G:$G,A1421,[1]Sheet1!$O:$O)</f>
        <v>25149.58</v>
      </c>
      <c r="I1421" s="21">
        <f t="shared" si="22"/>
        <v>0</v>
      </c>
    </row>
    <row r="1422" spans="1:9" x14ac:dyDescent="0.25">
      <c r="A1422" s="18" t="s">
        <v>5096</v>
      </c>
      <c r="B1422" s="4" t="s">
        <v>3082</v>
      </c>
      <c r="C1422" s="4" t="s">
        <v>1552</v>
      </c>
      <c r="D1422" s="4" t="s">
        <v>3290</v>
      </c>
      <c r="E1422" s="9">
        <v>1323.5233333333333</v>
      </c>
      <c r="F1422" s="9">
        <v>3970.5699999999997</v>
      </c>
      <c r="G1422" s="1" t="s">
        <v>5097</v>
      </c>
      <c r="H1422" s="1">
        <f>SUMIF([1]Sheet1!$G:$G,A1422,[1]Sheet1!$O:$O)</f>
        <v>3970.57</v>
      </c>
      <c r="I1422" s="21">
        <f t="shared" si="22"/>
        <v>0</v>
      </c>
    </row>
    <row r="1423" spans="1:9" x14ac:dyDescent="0.25">
      <c r="A1423" s="18" t="s">
        <v>5077</v>
      </c>
      <c r="B1423" s="4" t="s">
        <v>3083</v>
      </c>
      <c r="C1423" s="4" t="s">
        <v>1553</v>
      </c>
      <c r="D1423" s="4" t="s">
        <v>3290</v>
      </c>
      <c r="E1423" s="9">
        <v>161.51666666666668</v>
      </c>
      <c r="F1423" s="9">
        <v>969.10000000000014</v>
      </c>
      <c r="G1423" s="1" t="s">
        <v>5080</v>
      </c>
      <c r="H1423" s="1">
        <f>SUMIF([1]Sheet1!$G:$G,A1423,[1]Sheet1!$O:$O)</f>
        <v>969.1</v>
      </c>
      <c r="I1423" s="21">
        <f t="shared" si="22"/>
        <v>0</v>
      </c>
    </row>
    <row r="1424" spans="1:9" x14ac:dyDescent="0.25">
      <c r="A1424" s="18" t="s">
        <v>5434</v>
      </c>
      <c r="B1424" s="4" t="s">
        <v>3084</v>
      </c>
      <c r="C1424" s="4" t="s">
        <v>1554</v>
      </c>
      <c r="D1424" s="4" t="s">
        <v>3290</v>
      </c>
      <c r="E1424" s="9">
        <v>582.17333333333329</v>
      </c>
      <c r="F1424" s="9">
        <v>6986.08</v>
      </c>
      <c r="G1424" s="1" t="s">
        <v>5435</v>
      </c>
      <c r="H1424" s="1">
        <f>SUMIF([1]Sheet1!$G:$G,A1424,[1]Sheet1!$O:$O)</f>
        <v>6986.08</v>
      </c>
      <c r="I1424" s="21">
        <f t="shared" si="22"/>
        <v>0</v>
      </c>
    </row>
    <row r="1425" spans="1:9" x14ac:dyDescent="0.25">
      <c r="A1425" s="18" t="s">
        <v>10282</v>
      </c>
      <c r="B1425" s="4" t="s">
        <v>3085</v>
      </c>
      <c r="C1425" s="4" t="s">
        <v>1555</v>
      </c>
      <c r="D1425" s="4" t="s">
        <v>3290</v>
      </c>
      <c r="E1425" s="9">
        <v>7107.59</v>
      </c>
      <c r="F1425" s="9">
        <v>21322.77</v>
      </c>
      <c r="G1425" s="1" t="s">
        <v>10283</v>
      </c>
      <c r="H1425" s="1">
        <f>SUMIF([1]Sheet1!$G:$G,A1425,[1]Sheet1!$O:$O)</f>
        <v>21322.77</v>
      </c>
      <c r="I1425" s="21">
        <f t="shared" si="22"/>
        <v>0</v>
      </c>
    </row>
    <row r="1426" spans="1:9" x14ac:dyDescent="0.25">
      <c r="A1426" s="18" t="s">
        <v>5044</v>
      </c>
      <c r="B1426" s="4" t="s">
        <v>3086</v>
      </c>
      <c r="C1426" s="4" t="s">
        <v>1556</v>
      </c>
      <c r="D1426" s="4" t="s">
        <v>3290</v>
      </c>
      <c r="E1426" s="9">
        <v>20007.830000000002</v>
      </c>
      <c r="F1426" s="9">
        <v>40015.660000000003</v>
      </c>
      <c r="G1426" s="1" t="s">
        <v>5045</v>
      </c>
      <c r="H1426" s="1">
        <f>SUMIF([1]Sheet1!$G:$G,A1426,[1]Sheet1!$O:$O)</f>
        <v>40015.660000000003</v>
      </c>
      <c r="I1426" s="21">
        <f t="shared" si="22"/>
        <v>0</v>
      </c>
    </row>
    <row r="1427" spans="1:9" x14ac:dyDescent="0.25">
      <c r="A1427" s="18" t="s">
        <v>5438</v>
      </c>
      <c r="B1427" s="4" t="s">
        <v>2888</v>
      </c>
      <c r="C1427" s="4" t="s">
        <v>1557</v>
      </c>
      <c r="D1427" s="4" t="s">
        <v>3290</v>
      </c>
      <c r="E1427" s="9">
        <v>329.72</v>
      </c>
      <c r="F1427" s="9">
        <v>329.72</v>
      </c>
      <c r="G1427" s="1" t="s">
        <v>5439</v>
      </c>
      <c r="H1427" s="1">
        <f>SUMIF([1]Sheet1!$G:$G,A1427,[1]Sheet1!$O:$O)</f>
        <v>329.72</v>
      </c>
      <c r="I1427" s="21">
        <f t="shared" si="22"/>
        <v>0</v>
      </c>
    </row>
    <row r="1428" spans="1:9" x14ac:dyDescent="0.25">
      <c r="A1428" s="18" t="s">
        <v>10752</v>
      </c>
      <c r="B1428" s="4" t="s">
        <v>2889</v>
      </c>
      <c r="C1428" s="4" t="s">
        <v>1558</v>
      </c>
      <c r="D1428" s="4" t="s">
        <v>3290</v>
      </c>
      <c r="E1428" s="9">
        <v>0.77595238095238106</v>
      </c>
      <c r="F1428" s="9">
        <v>260.72000000000003</v>
      </c>
      <c r="G1428" s="1" t="s">
        <v>10753</v>
      </c>
      <c r="H1428" s="1">
        <f>SUMIF([1]Sheet1!$G:$G,A1428,[1]Sheet1!$O:$O)</f>
        <v>260.74</v>
      </c>
      <c r="I1428" s="21">
        <f t="shared" si="22"/>
        <v>-1.999999999998181E-2</v>
      </c>
    </row>
    <row r="1429" spans="1:9" x14ac:dyDescent="0.25">
      <c r="A1429" s="18" t="s">
        <v>9522</v>
      </c>
      <c r="B1429" s="4" t="s">
        <v>2890</v>
      </c>
      <c r="C1429" s="4" t="s">
        <v>1559</v>
      </c>
      <c r="D1429" s="4" t="s">
        <v>3290</v>
      </c>
      <c r="E1429" s="9">
        <v>0.49345052083333335</v>
      </c>
      <c r="F1429" s="9">
        <v>378.97</v>
      </c>
      <c r="G1429" s="1" t="s">
        <v>9523</v>
      </c>
      <c r="H1429" s="1">
        <f>SUMIF([1]Sheet1!$G:$G,A1429,[1]Sheet1!$O:$O)</f>
        <v>379.01</v>
      </c>
      <c r="I1429" s="21">
        <f t="shared" si="22"/>
        <v>-3.999999999996362E-2</v>
      </c>
    </row>
    <row r="1430" spans="1:9" x14ac:dyDescent="0.25">
      <c r="A1430" s="18" t="s">
        <v>7998</v>
      </c>
      <c r="B1430" s="4" t="s">
        <v>2891</v>
      </c>
      <c r="C1430" s="4" t="s">
        <v>1560</v>
      </c>
      <c r="D1430" s="4" t="s">
        <v>3290</v>
      </c>
      <c r="E1430" s="9">
        <v>584.51599999999996</v>
      </c>
      <c r="F1430" s="9">
        <v>2922.58</v>
      </c>
      <c r="G1430" s="1" t="s">
        <v>7999</v>
      </c>
      <c r="H1430" s="1">
        <f>SUMIF([1]Sheet1!$G:$G,A1430,[1]Sheet1!$O:$O)</f>
        <v>2922.58</v>
      </c>
      <c r="I1430" s="21">
        <f t="shared" si="22"/>
        <v>0</v>
      </c>
    </row>
    <row r="1431" spans="1:9" x14ac:dyDescent="0.25">
      <c r="A1431" s="18" t="s">
        <v>4707</v>
      </c>
      <c r="B1431" s="4" t="s">
        <v>2892</v>
      </c>
      <c r="C1431" s="4" t="s">
        <v>1561</v>
      </c>
      <c r="D1431" s="4" t="s">
        <v>3290</v>
      </c>
      <c r="E1431" s="9">
        <v>406.36500000000001</v>
      </c>
      <c r="F1431" s="9">
        <v>812.73</v>
      </c>
      <c r="G1431" s="1" t="s">
        <v>4708</v>
      </c>
      <c r="H1431" s="1">
        <f>SUMIF([1]Sheet1!$G:$G,A1431,[1]Sheet1!$O:$O)</f>
        <v>812.73</v>
      </c>
      <c r="I1431" s="21">
        <f t="shared" si="22"/>
        <v>0</v>
      </c>
    </row>
    <row r="1432" spans="1:9" x14ac:dyDescent="0.25">
      <c r="A1432" s="18" t="s">
        <v>8333</v>
      </c>
      <c r="B1432" s="4" t="s">
        <v>2893</v>
      </c>
      <c r="C1432" s="4" t="s">
        <v>1562</v>
      </c>
      <c r="D1432" s="4" t="s">
        <v>3290</v>
      </c>
      <c r="E1432" s="9">
        <v>46.61</v>
      </c>
      <c r="F1432" s="9">
        <v>372.88</v>
      </c>
      <c r="G1432" s="1" t="s">
        <v>8334</v>
      </c>
      <c r="H1432" s="1">
        <f>SUMIF([1]Sheet1!$G:$G,A1432,[1]Sheet1!$O:$O)</f>
        <v>372.88</v>
      </c>
      <c r="I1432" s="21">
        <f t="shared" si="22"/>
        <v>0</v>
      </c>
    </row>
    <row r="1433" spans="1:9" x14ac:dyDescent="0.25">
      <c r="A1433" s="18" t="s">
        <v>7770</v>
      </c>
      <c r="B1433" s="4" t="s">
        <v>2894</v>
      </c>
      <c r="C1433" s="4" t="s">
        <v>1563</v>
      </c>
      <c r="D1433" s="4" t="s">
        <v>3290</v>
      </c>
      <c r="E1433" s="9">
        <v>7.6269999999999998</v>
      </c>
      <c r="F1433" s="9">
        <v>228.81</v>
      </c>
      <c r="G1433" s="1" t="s">
        <v>7771</v>
      </c>
      <c r="H1433" s="1">
        <f>SUMIF([1]Sheet1!$G:$G,A1433,[1]Sheet1!$O:$O)</f>
        <v>228.81</v>
      </c>
      <c r="I1433" s="21">
        <f t="shared" si="22"/>
        <v>0</v>
      </c>
    </row>
    <row r="1434" spans="1:9" x14ac:dyDescent="0.25">
      <c r="A1434" s="18" t="s">
        <v>6882</v>
      </c>
      <c r="B1434" s="4" t="s">
        <v>2895</v>
      </c>
      <c r="C1434" s="4" t="s">
        <v>1564</v>
      </c>
      <c r="D1434" s="4" t="s">
        <v>3290</v>
      </c>
      <c r="E1434" s="9">
        <v>2.0762499999999999</v>
      </c>
      <c r="F1434" s="9">
        <v>166.1</v>
      </c>
      <c r="G1434" s="1" t="s">
        <v>6883</v>
      </c>
      <c r="H1434" s="1">
        <f>SUMIF([1]Sheet1!$G:$G,A1434,[1]Sheet1!$O:$O)</f>
        <v>166.1</v>
      </c>
      <c r="I1434" s="21">
        <f t="shared" si="22"/>
        <v>0</v>
      </c>
    </row>
    <row r="1435" spans="1:9" x14ac:dyDescent="0.25">
      <c r="A1435" s="18" t="s">
        <v>6857</v>
      </c>
      <c r="B1435" s="4" t="s">
        <v>2896</v>
      </c>
      <c r="C1435" s="4" t="s">
        <v>1565</v>
      </c>
      <c r="D1435" s="4" t="s">
        <v>3290</v>
      </c>
      <c r="E1435" s="9">
        <v>2.0760000000000001</v>
      </c>
      <c r="F1435" s="9">
        <v>31.14</v>
      </c>
      <c r="G1435" s="1" t="s">
        <v>6858</v>
      </c>
      <c r="H1435" s="1">
        <f>SUMIF([1]Sheet1!$G:$G,A1435,[1]Sheet1!$O:$O)</f>
        <v>31.14</v>
      </c>
      <c r="I1435" s="21">
        <f t="shared" si="22"/>
        <v>0</v>
      </c>
    </row>
    <row r="1436" spans="1:9" x14ac:dyDescent="0.25">
      <c r="A1436" s="18" t="s">
        <v>6886</v>
      </c>
      <c r="B1436" s="4" t="s">
        <v>2897</v>
      </c>
      <c r="C1436" s="4" t="s">
        <v>1566</v>
      </c>
      <c r="D1436" s="4" t="s">
        <v>3290</v>
      </c>
      <c r="E1436" s="9">
        <v>2.0762499999999999</v>
      </c>
      <c r="F1436" s="9">
        <v>16.61</v>
      </c>
      <c r="G1436" s="1" t="s">
        <v>6887</v>
      </c>
      <c r="H1436" s="1">
        <f>SUMIF([1]Sheet1!$G:$G,A1436,[1]Sheet1!$O:$O)</f>
        <v>16.61</v>
      </c>
      <c r="I1436" s="21">
        <f t="shared" si="22"/>
        <v>0</v>
      </c>
    </row>
    <row r="1437" spans="1:9" x14ac:dyDescent="0.25">
      <c r="A1437" s="18" t="s">
        <v>10486</v>
      </c>
      <c r="B1437" s="4" t="s">
        <v>2898</v>
      </c>
      <c r="C1437" s="4" t="s">
        <v>1567</v>
      </c>
      <c r="D1437" s="4" t="s">
        <v>3290</v>
      </c>
      <c r="E1437" s="9">
        <v>28.771298701298701</v>
      </c>
      <c r="F1437" s="9">
        <v>2215.39</v>
      </c>
      <c r="G1437" s="1" t="s">
        <v>10487</v>
      </c>
      <c r="H1437" s="1">
        <f>SUMIF([1]Sheet1!$G:$G,A1437,[1]Sheet1!$O:$O)</f>
        <v>2215.39</v>
      </c>
      <c r="I1437" s="21">
        <f t="shared" si="22"/>
        <v>0</v>
      </c>
    </row>
    <row r="1438" spans="1:9" x14ac:dyDescent="0.25">
      <c r="A1438" s="18" t="s">
        <v>10484</v>
      </c>
      <c r="B1438" s="4" t="s">
        <v>2899</v>
      </c>
      <c r="C1438" s="4" t="s">
        <v>1568</v>
      </c>
      <c r="D1438" s="4" t="s">
        <v>3290</v>
      </c>
      <c r="E1438" s="9">
        <v>169.24928571428569</v>
      </c>
      <c r="F1438" s="9">
        <v>4738.9799999999996</v>
      </c>
      <c r="G1438" s="1" t="s">
        <v>10485</v>
      </c>
      <c r="H1438" s="1">
        <f>SUMIF([1]Sheet1!$G:$G,A1438,[1]Sheet1!$O:$O)</f>
        <v>4738.9799999999996</v>
      </c>
      <c r="I1438" s="21">
        <f t="shared" si="22"/>
        <v>0</v>
      </c>
    </row>
    <row r="1439" spans="1:9" x14ac:dyDescent="0.25">
      <c r="A1439" s="18" t="s">
        <v>10491</v>
      </c>
      <c r="B1439" s="4" t="s">
        <v>2900</v>
      </c>
      <c r="C1439" s="4" t="s">
        <v>1569</v>
      </c>
      <c r="D1439" s="4" t="s">
        <v>3289</v>
      </c>
      <c r="E1439" s="9">
        <v>0.96750588235294122</v>
      </c>
      <c r="F1439" s="9">
        <v>411.19</v>
      </c>
      <c r="G1439" s="1" t="s">
        <v>10492</v>
      </c>
      <c r="H1439" s="1">
        <f>SUMIF([1]Sheet1!$G:$G,A1439,[1]Sheet1!$O:$O)</f>
        <v>411.19</v>
      </c>
      <c r="I1439" s="21">
        <f t="shared" si="22"/>
        <v>0</v>
      </c>
    </row>
    <row r="1440" spans="1:9" x14ac:dyDescent="0.25">
      <c r="A1440" s="18" t="s">
        <v>5398</v>
      </c>
      <c r="B1440" s="4" t="s">
        <v>2901</v>
      </c>
      <c r="C1440" s="4" t="s">
        <v>1570</v>
      </c>
      <c r="D1440" s="4" t="s">
        <v>3290</v>
      </c>
      <c r="E1440" s="9">
        <v>39.4</v>
      </c>
      <c r="F1440" s="9">
        <v>39.4</v>
      </c>
      <c r="G1440" s="1" t="s">
        <v>5399</v>
      </c>
      <c r="H1440" s="1">
        <f>SUMIF([1]Sheet1!$G:$G,A1440,[1]Sheet1!$O:$O)</f>
        <v>39.4</v>
      </c>
      <c r="I1440" s="21">
        <f t="shared" si="22"/>
        <v>0</v>
      </c>
    </row>
    <row r="1441" spans="1:9" x14ac:dyDescent="0.25">
      <c r="A1441" s="18" t="s">
        <v>7676</v>
      </c>
      <c r="B1441" s="4" t="s">
        <v>2902</v>
      </c>
      <c r="C1441" s="4" t="s">
        <v>1571</v>
      </c>
      <c r="D1441" s="4" t="s">
        <v>3290</v>
      </c>
      <c r="E1441" s="9">
        <v>228.815</v>
      </c>
      <c r="F1441" s="9">
        <v>457.63</v>
      </c>
      <c r="G1441" s="1" t="s">
        <v>7677</v>
      </c>
      <c r="H1441" s="1">
        <f>SUMIF([1]Sheet1!$G:$G,A1441,[1]Sheet1!$O:$O)</f>
        <v>457.63</v>
      </c>
      <c r="I1441" s="21">
        <f t="shared" si="22"/>
        <v>0</v>
      </c>
    </row>
    <row r="1442" spans="1:9" x14ac:dyDescent="0.25">
      <c r="A1442" s="18" t="s">
        <v>5588</v>
      </c>
      <c r="B1442" s="4" t="s">
        <v>2903</v>
      </c>
      <c r="C1442" s="4" t="s">
        <v>1572</v>
      </c>
      <c r="D1442" s="4" t="s">
        <v>3290</v>
      </c>
      <c r="E1442" s="9">
        <v>7.4649999999999999</v>
      </c>
      <c r="F1442" s="9">
        <v>44.79</v>
      </c>
      <c r="G1442" s="1" t="s">
        <v>5589</v>
      </c>
      <c r="H1442" s="1">
        <f>SUMIF([1]Sheet1!$G:$G,A1442,[1]Sheet1!$O:$O)</f>
        <v>44.79</v>
      </c>
      <c r="I1442" s="21">
        <f t="shared" si="22"/>
        <v>0</v>
      </c>
    </row>
    <row r="1443" spans="1:9" x14ac:dyDescent="0.25">
      <c r="A1443" s="18" t="s">
        <v>4348</v>
      </c>
      <c r="B1443" s="4" t="s">
        <v>2904</v>
      </c>
      <c r="C1443" s="4" t="s">
        <v>1573</v>
      </c>
      <c r="D1443" s="4" t="s">
        <v>3290</v>
      </c>
      <c r="E1443" s="9">
        <v>15.25375</v>
      </c>
      <c r="F1443" s="9">
        <v>122.03</v>
      </c>
      <c r="G1443" s="1" t="s">
        <v>4351</v>
      </c>
      <c r="H1443" s="1">
        <f>SUMIF([1]Sheet1!$G:$G,A1443,[1]Sheet1!$O:$O)</f>
        <v>122.03</v>
      </c>
      <c r="I1443" s="21">
        <f t="shared" si="22"/>
        <v>0</v>
      </c>
    </row>
    <row r="1444" spans="1:9" x14ac:dyDescent="0.25">
      <c r="A1444" s="18" t="s">
        <v>6743</v>
      </c>
      <c r="B1444" s="4" t="s">
        <v>2905</v>
      </c>
      <c r="C1444" s="4" t="s">
        <v>1574</v>
      </c>
      <c r="D1444" s="4" t="s">
        <v>3295</v>
      </c>
      <c r="E1444" s="9">
        <v>6.9555499999999997</v>
      </c>
      <c r="F1444" s="9">
        <v>1391.11</v>
      </c>
      <c r="G1444" s="1" t="s">
        <v>6744</v>
      </c>
      <c r="H1444" s="1">
        <f>SUMIF([1]Sheet1!$G:$G,A1444,[1]Sheet1!$O:$O)</f>
        <v>1391.12</v>
      </c>
      <c r="I1444" s="21">
        <f t="shared" si="22"/>
        <v>-9.9999999999909051E-3</v>
      </c>
    </row>
    <row r="1445" spans="1:9" x14ac:dyDescent="0.25">
      <c r="A1445" s="18" t="s">
        <v>6745</v>
      </c>
      <c r="B1445" s="4" t="s">
        <v>2906</v>
      </c>
      <c r="C1445" s="4" t="s">
        <v>1575</v>
      </c>
      <c r="D1445" s="4" t="s">
        <v>3295</v>
      </c>
      <c r="E1445" s="9">
        <v>29.660833333333333</v>
      </c>
      <c r="F1445" s="9">
        <v>355.93</v>
      </c>
      <c r="G1445" s="1" t="s">
        <v>6746</v>
      </c>
      <c r="H1445" s="1">
        <f>SUMIF([1]Sheet1!$G:$G,A1445,[1]Sheet1!$O:$O)</f>
        <v>355.93</v>
      </c>
      <c r="I1445" s="21">
        <f t="shared" si="22"/>
        <v>0</v>
      </c>
    </row>
    <row r="1446" spans="1:9" x14ac:dyDescent="0.25">
      <c r="A1446" s="18" t="s">
        <v>7423</v>
      </c>
      <c r="B1446" s="4" t="s">
        <v>2907</v>
      </c>
      <c r="C1446" s="4" t="s">
        <v>1576</v>
      </c>
      <c r="D1446" s="4" t="s">
        <v>3289</v>
      </c>
      <c r="E1446" s="9">
        <v>1737.6862944162435</v>
      </c>
      <c r="F1446" s="9">
        <v>17116.21</v>
      </c>
      <c r="G1446" s="1" t="s">
        <v>7424</v>
      </c>
      <c r="H1446" s="1">
        <f>SUMIF([1]Sheet1!$G:$G,A1446,[1]Sheet1!$O:$O)</f>
        <v>17116.21</v>
      </c>
      <c r="I1446" s="21">
        <f t="shared" si="22"/>
        <v>0</v>
      </c>
    </row>
    <row r="1447" spans="1:9" x14ac:dyDescent="0.25">
      <c r="A1447" s="18" t="s">
        <v>9420</v>
      </c>
      <c r="B1447" s="4" t="s">
        <v>2908</v>
      </c>
      <c r="C1447" s="4" t="s">
        <v>1577</v>
      </c>
      <c r="D1447" s="4" t="s">
        <v>3291</v>
      </c>
      <c r="E1447" s="9">
        <v>10.12406779661017</v>
      </c>
      <c r="F1447" s="9">
        <v>1194.6400000000001</v>
      </c>
      <c r="G1447" s="1" t="s">
        <v>9421</v>
      </c>
      <c r="H1447" s="1">
        <f>SUMIF([1]Sheet1!$G:$G,A1447,[1]Sheet1!$O:$O)</f>
        <v>1194.6400000000001</v>
      </c>
      <c r="I1447" s="21">
        <f t="shared" si="22"/>
        <v>0</v>
      </c>
    </row>
    <row r="1448" spans="1:9" x14ac:dyDescent="0.25">
      <c r="A1448" s="18" t="s">
        <v>5696</v>
      </c>
      <c r="B1448" s="4" t="s">
        <v>2909</v>
      </c>
      <c r="C1448" s="4" t="s">
        <v>1578</v>
      </c>
      <c r="D1448" s="4" t="s">
        <v>3290</v>
      </c>
      <c r="E1448" s="9">
        <v>2.54</v>
      </c>
      <c r="F1448" s="9">
        <v>2.54</v>
      </c>
      <c r="G1448" s="1" t="s">
        <v>5697</v>
      </c>
      <c r="H1448" s="1">
        <f>SUMIF([1]Sheet1!$G:$G,A1448,[1]Sheet1!$O:$O)</f>
        <v>2.54</v>
      </c>
      <c r="I1448" s="21">
        <f t="shared" si="22"/>
        <v>0</v>
      </c>
    </row>
    <row r="1449" spans="1:9" x14ac:dyDescent="0.25">
      <c r="A1449" s="18" t="s">
        <v>7637</v>
      </c>
      <c r="B1449" s="4" t="s">
        <v>2910</v>
      </c>
      <c r="C1449" s="4" t="s">
        <v>1579</v>
      </c>
      <c r="D1449" s="4" t="s">
        <v>3290</v>
      </c>
      <c r="E1449" s="9">
        <v>336.15818181818179</v>
      </c>
      <c r="F1449" s="9">
        <v>7395.48</v>
      </c>
      <c r="G1449" s="1" t="s">
        <v>7638</v>
      </c>
      <c r="H1449" s="1">
        <f>SUMIF([1]Sheet1!$G:$G,A1449,[1]Sheet1!$O:$O)</f>
        <v>7395.48</v>
      </c>
      <c r="I1449" s="21">
        <f t="shared" si="22"/>
        <v>0</v>
      </c>
    </row>
    <row r="1450" spans="1:9" x14ac:dyDescent="0.25">
      <c r="A1450" s="18" t="s">
        <v>7669</v>
      </c>
      <c r="B1450" s="4" t="s">
        <v>2911</v>
      </c>
      <c r="C1450" s="4" t="s">
        <v>1580</v>
      </c>
      <c r="D1450" s="4" t="s">
        <v>3290</v>
      </c>
      <c r="E1450" s="9">
        <v>211.86500000000001</v>
      </c>
      <c r="F1450" s="9">
        <v>847.46</v>
      </c>
      <c r="G1450" s="1" t="s">
        <v>7670</v>
      </c>
      <c r="H1450" s="1">
        <f>SUMIF([1]Sheet1!$G:$G,A1450,[1]Sheet1!$O:$O)</f>
        <v>847.46</v>
      </c>
      <c r="I1450" s="21">
        <f t="shared" si="22"/>
        <v>0</v>
      </c>
    </row>
    <row r="1451" spans="1:9" x14ac:dyDescent="0.25">
      <c r="A1451" s="18" t="s">
        <v>7696</v>
      </c>
      <c r="B1451" s="4" t="s">
        <v>2912</v>
      </c>
      <c r="C1451" s="4" t="s">
        <v>1581</v>
      </c>
      <c r="D1451" s="4" t="s">
        <v>3290</v>
      </c>
      <c r="E1451" s="9">
        <v>338.98500000000001</v>
      </c>
      <c r="F1451" s="9">
        <v>677.97</v>
      </c>
      <c r="G1451" s="1" t="s">
        <v>7697</v>
      </c>
      <c r="H1451" s="1">
        <f>SUMIF([1]Sheet1!$G:$G,A1451,[1]Sheet1!$O:$O)</f>
        <v>677.97</v>
      </c>
      <c r="I1451" s="21">
        <f t="shared" si="22"/>
        <v>0</v>
      </c>
    </row>
    <row r="1452" spans="1:9" x14ac:dyDescent="0.25">
      <c r="A1452" s="18" t="s">
        <v>7694</v>
      </c>
      <c r="B1452" s="4" t="s">
        <v>2913</v>
      </c>
      <c r="C1452" s="4" t="s">
        <v>1582</v>
      </c>
      <c r="D1452" s="4" t="s">
        <v>3290</v>
      </c>
      <c r="E1452" s="9">
        <v>254.23500000000001</v>
      </c>
      <c r="F1452" s="9">
        <v>508.47</v>
      </c>
      <c r="G1452" s="1" t="s">
        <v>7695</v>
      </c>
      <c r="H1452" s="1">
        <f>SUMIF([1]Sheet1!$G:$G,A1452,[1]Sheet1!$O:$O)</f>
        <v>508.47</v>
      </c>
      <c r="I1452" s="21">
        <f t="shared" si="22"/>
        <v>0</v>
      </c>
    </row>
    <row r="1453" spans="1:9" x14ac:dyDescent="0.25">
      <c r="A1453" s="18" t="s">
        <v>7731</v>
      </c>
      <c r="B1453" s="4" t="s">
        <v>2914</v>
      </c>
      <c r="C1453" s="4" t="s">
        <v>1583</v>
      </c>
      <c r="D1453" s="4" t="s">
        <v>3290</v>
      </c>
      <c r="E1453" s="9">
        <v>256.65857142857141</v>
      </c>
      <c r="F1453" s="9">
        <v>3593.22</v>
      </c>
      <c r="G1453" s="1" t="s">
        <v>7732</v>
      </c>
      <c r="H1453" s="1">
        <f>SUMIF([1]Sheet1!$G:$G,A1453,[1]Sheet1!$O:$O)</f>
        <v>3593.22</v>
      </c>
      <c r="I1453" s="21">
        <f t="shared" si="22"/>
        <v>0</v>
      </c>
    </row>
    <row r="1454" spans="1:9" x14ac:dyDescent="0.25">
      <c r="A1454" s="18" t="s">
        <v>7754</v>
      </c>
      <c r="B1454" s="4" t="s">
        <v>2915</v>
      </c>
      <c r="C1454" s="4" t="s">
        <v>1584</v>
      </c>
      <c r="D1454" s="4" t="s">
        <v>3290</v>
      </c>
      <c r="E1454" s="9">
        <v>306.29500000000002</v>
      </c>
      <c r="F1454" s="9">
        <v>4288.13</v>
      </c>
      <c r="G1454" s="1" t="s">
        <v>7755</v>
      </c>
      <c r="H1454" s="1">
        <f>SUMIF([1]Sheet1!$G:$G,A1454,[1]Sheet1!$O:$O)</f>
        <v>4288.13</v>
      </c>
      <c r="I1454" s="21">
        <f t="shared" si="22"/>
        <v>0</v>
      </c>
    </row>
    <row r="1455" spans="1:9" x14ac:dyDescent="0.25">
      <c r="A1455" s="18" t="s">
        <v>3697</v>
      </c>
      <c r="B1455" s="4" t="s">
        <v>2916</v>
      </c>
      <c r="C1455" s="4" t="s">
        <v>1585</v>
      </c>
      <c r="D1455" s="4" t="s">
        <v>3290</v>
      </c>
      <c r="E1455" s="9">
        <v>156.82583333333335</v>
      </c>
      <c r="F1455" s="9">
        <v>1881.9100000000003</v>
      </c>
      <c r="G1455" s="1" t="s">
        <v>3698</v>
      </c>
      <c r="H1455" s="1">
        <f>SUMIF([1]Sheet1!$G:$G,A1455,[1]Sheet1!$O:$O)</f>
        <v>1881.91</v>
      </c>
      <c r="I1455" s="21">
        <f t="shared" si="22"/>
        <v>0</v>
      </c>
    </row>
    <row r="1456" spans="1:9" x14ac:dyDescent="0.25">
      <c r="A1456" s="18" t="s">
        <v>3684</v>
      </c>
      <c r="B1456" s="4" t="s">
        <v>2917</v>
      </c>
      <c r="C1456" s="4" t="s">
        <v>1586</v>
      </c>
      <c r="D1456" s="4" t="s">
        <v>3290</v>
      </c>
      <c r="E1456" s="9">
        <v>93.596666666666678</v>
      </c>
      <c r="F1456" s="9">
        <v>1123.1600000000001</v>
      </c>
      <c r="G1456" s="1" t="s">
        <v>3685</v>
      </c>
      <c r="H1456" s="1">
        <f>SUMIF([1]Sheet1!$G:$G,A1456,[1]Sheet1!$O:$O)</f>
        <v>1123.1600000000001</v>
      </c>
      <c r="I1456" s="21">
        <f t="shared" si="22"/>
        <v>0</v>
      </c>
    </row>
    <row r="1457" spans="1:9" x14ac:dyDescent="0.25">
      <c r="A1457" s="18" t="s">
        <v>3695</v>
      </c>
      <c r="B1457" s="4" t="s">
        <v>2918</v>
      </c>
      <c r="C1457" s="4" t="s">
        <v>1587</v>
      </c>
      <c r="D1457" s="4" t="s">
        <v>3290</v>
      </c>
      <c r="E1457" s="9">
        <v>170.905</v>
      </c>
      <c r="F1457" s="9">
        <v>341.81</v>
      </c>
      <c r="G1457" s="1" t="s">
        <v>3696</v>
      </c>
      <c r="H1457" s="1">
        <f>SUMIF([1]Sheet1!$G:$G,A1457,[1]Sheet1!$O:$O)</f>
        <v>341.81</v>
      </c>
      <c r="I1457" s="21">
        <f t="shared" si="22"/>
        <v>0</v>
      </c>
    </row>
    <row r="1458" spans="1:9" x14ac:dyDescent="0.25">
      <c r="A1458" s="18" t="s">
        <v>10076</v>
      </c>
      <c r="B1458" s="4" t="s">
        <v>3249</v>
      </c>
      <c r="C1458" s="4" t="s">
        <v>1588</v>
      </c>
      <c r="D1458" s="4" t="s">
        <v>3290</v>
      </c>
      <c r="E1458" s="9">
        <v>2965.7194117647059</v>
      </c>
      <c r="F1458" s="9">
        <v>50417.23</v>
      </c>
      <c r="G1458" s="1" t="s">
        <v>10077</v>
      </c>
      <c r="H1458" s="1">
        <f>SUMIF([1]Sheet1!$G:$G,A1458,[1]Sheet1!$O:$O)</f>
        <v>50417.23</v>
      </c>
      <c r="I1458" s="21">
        <f t="shared" si="22"/>
        <v>0</v>
      </c>
    </row>
    <row r="1459" spans="1:9" x14ac:dyDescent="0.25">
      <c r="A1459" s="18" t="s">
        <v>11243</v>
      </c>
      <c r="B1459" s="4" t="s">
        <v>2919</v>
      </c>
      <c r="C1459" s="4" t="s">
        <v>1589</v>
      </c>
      <c r="D1459" s="4" t="s">
        <v>3290</v>
      </c>
      <c r="E1459" s="9">
        <v>0.11017142857142857</v>
      </c>
      <c r="F1459" s="9">
        <v>154.24</v>
      </c>
      <c r="G1459" s="1" t="s">
        <v>11244</v>
      </c>
      <c r="H1459" s="1">
        <f>SUMIF([1]Sheet1!$G:$G,A1459,[1]Sheet1!$O:$O)</f>
        <v>154.28</v>
      </c>
      <c r="I1459" s="21">
        <f t="shared" si="22"/>
        <v>-3.9999999999992042E-2</v>
      </c>
    </row>
    <row r="1460" spans="1:9" x14ac:dyDescent="0.25">
      <c r="A1460" s="18" t="s">
        <v>11401</v>
      </c>
      <c r="B1460" s="4" t="s">
        <v>2920</v>
      </c>
      <c r="C1460" s="4" t="s">
        <v>1590</v>
      </c>
      <c r="D1460" s="4" t="s">
        <v>3290</v>
      </c>
      <c r="E1460" s="9">
        <v>1.6950000000000001</v>
      </c>
      <c r="F1460" s="9">
        <v>6.78</v>
      </c>
      <c r="G1460" s="1" t="s">
        <v>11402</v>
      </c>
      <c r="H1460" s="1">
        <f>SUMIF([1]Sheet1!$G:$G,A1460,[1]Sheet1!$O:$O)</f>
        <v>6.78</v>
      </c>
      <c r="I1460" s="21">
        <f t="shared" si="22"/>
        <v>0</v>
      </c>
    </row>
    <row r="1461" spans="1:9" x14ac:dyDescent="0.25">
      <c r="A1461" s="18" t="s">
        <v>10131</v>
      </c>
      <c r="B1461" s="4" t="s">
        <v>3250</v>
      </c>
      <c r="C1461" s="4" t="s">
        <v>1591</v>
      </c>
      <c r="D1461" s="4" t="s">
        <v>3290</v>
      </c>
      <c r="E1461" s="9">
        <v>30390.9</v>
      </c>
      <c r="F1461" s="9">
        <v>30390.9</v>
      </c>
      <c r="G1461" s="1" t="s">
        <v>10132</v>
      </c>
      <c r="H1461" s="1">
        <f>SUMIF([1]Sheet1!$G:$G,A1461,[1]Sheet1!$O:$O)</f>
        <v>30390.9</v>
      </c>
      <c r="I1461" s="21">
        <f t="shared" si="22"/>
        <v>0</v>
      </c>
    </row>
    <row r="1462" spans="1:9" x14ac:dyDescent="0.25">
      <c r="A1462" s="18" t="s">
        <v>10185</v>
      </c>
      <c r="B1462" s="4" t="s">
        <v>3251</v>
      </c>
      <c r="C1462" s="4" t="s">
        <v>1592</v>
      </c>
      <c r="D1462" s="4" t="s">
        <v>3290</v>
      </c>
      <c r="E1462" s="9">
        <v>130811.06</v>
      </c>
      <c r="F1462" s="9">
        <v>130811.06</v>
      </c>
      <c r="G1462" s="1" t="s">
        <v>10188</v>
      </c>
      <c r="H1462" s="1">
        <f>SUMIF([1]Sheet1!$G:$G,A1462,[1]Sheet1!$O:$O)</f>
        <v>130811.06</v>
      </c>
      <c r="I1462" s="21">
        <f t="shared" si="22"/>
        <v>0</v>
      </c>
    </row>
    <row r="1463" spans="1:9" x14ac:dyDescent="0.25">
      <c r="A1463" s="18" t="s">
        <v>10051</v>
      </c>
      <c r="B1463" s="4" t="s">
        <v>3252</v>
      </c>
      <c r="C1463" s="4" t="s">
        <v>1593</v>
      </c>
      <c r="D1463" s="4" t="s">
        <v>3290</v>
      </c>
      <c r="E1463" s="9">
        <v>15524.748571428572</v>
      </c>
      <c r="F1463" s="9">
        <v>217346.48</v>
      </c>
      <c r="G1463" s="1" t="s">
        <v>10052</v>
      </c>
      <c r="H1463" s="1">
        <f>SUMIF([1]Sheet1!$G:$G,A1463,[1]Sheet1!$O:$O)</f>
        <v>217346.48</v>
      </c>
      <c r="I1463" s="21">
        <f t="shared" si="22"/>
        <v>0</v>
      </c>
    </row>
    <row r="1464" spans="1:9" x14ac:dyDescent="0.25">
      <c r="A1464" s="18" t="s">
        <v>10070</v>
      </c>
      <c r="B1464" s="4" t="s">
        <v>2921</v>
      </c>
      <c r="C1464" s="4" t="s">
        <v>1594</v>
      </c>
      <c r="D1464" s="4" t="s">
        <v>3290</v>
      </c>
      <c r="E1464" s="9">
        <v>1296.1479999999999</v>
      </c>
      <c r="F1464" s="9">
        <v>71288.14</v>
      </c>
      <c r="G1464" s="1" t="s">
        <v>10071</v>
      </c>
      <c r="H1464" s="1">
        <f>SUMIF([1]Sheet1!$G:$G,A1464,[1]Sheet1!$O:$O)</f>
        <v>71288.14</v>
      </c>
      <c r="I1464" s="21">
        <f t="shared" si="22"/>
        <v>0</v>
      </c>
    </row>
    <row r="1465" spans="1:9" x14ac:dyDescent="0.25">
      <c r="A1465" s="18" t="s">
        <v>11751</v>
      </c>
      <c r="B1465" s="4" t="s">
        <v>2922</v>
      </c>
      <c r="C1465" s="4" t="s">
        <v>1595</v>
      </c>
      <c r="D1465" s="4" t="s">
        <v>3296</v>
      </c>
      <c r="E1465" s="9">
        <v>822.03846153846155</v>
      </c>
      <c r="F1465" s="9">
        <v>641.19000000000005</v>
      </c>
      <c r="G1465" s="1" t="s">
        <v>11752</v>
      </c>
      <c r="H1465" s="1">
        <f>SUMIF([1]Sheet1!$G:$G,A1465,[1]Sheet1!$O:$O)</f>
        <v>641.19000000000005</v>
      </c>
      <c r="I1465" s="21">
        <f t="shared" si="22"/>
        <v>0</v>
      </c>
    </row>
    <row r="1466" spans="1:9" x14ac:dyDescent="0.25">
      <c r="A1466" s="18" t="s">
        <v>4921</v>
      </c>
      <c r="B1466" s="4" t="s">
        <v>3253</v>
      </c>
      <c r="C1466" s="4" t="s">
        <v>1596</v>
      </c>
      <c r="D1466" s="4" t="s">
        <v>3290</v>
      </c>
      <c r="E1466" s="9">
        <v>34808.43</v>
      </c>
      <c r="F1466" s="9">
        <v>69616.86</v>
      </c>
      <c r="G1466" s="1" t="s">
        <v>4922</v>
      </c>
      <c r="H1466" s="1">
        <f>SUMIF([1]Sheet1!$G:$G,A1466,[1]Sheet1!$O:$O)</f>
        <v>69616.86</v>
      </c>
      <c r="I1466" s="21">
        <f t="shared" si="22"/>
        <v>0</v>
      </c>
    </row>
    <row r="1467" spans="1:9" x14ac:dyDescent="0.25">
      <c r="A1467" s="18" t="s">
        <v>6616</v>
      </c>
      <c r="B1467" s="4" t="s">
        <v>2923</v>
      </c>
      <c r="C1467" s="4" t="s">
        <v>1597</v>
      </c>
      <c r="D1467" s="4" t="s">
        <v>3290</v>
      </c>
      <c r="E1467" s="9">
        <v>1.5115151515151517</v>
      </c>
      <c r="F1467" s="9">
        <v>49.88000000000001</v>
      </c>
      <c r="G1467" s="1" t="s">
        <v>6617</v>
      </c>
      <c r="H1467" s="1">
        <f>SUMIF([1]Sheet1!$G:$G,A1467,[1]Sheet1!$O:$O)</f>
        <v>49.88</v>
      </c>
      <c r="I1467" s="21">
        <f t="shared" si="22"/>
        <v>0</v>
      </c>
    </row>
    <row r="1468" spans="1:9" x14ac:dyDescent="0.25">
      <c r="A1468" s="18" t="s">
        <v>10090</v>
      </c>
      <c r="B1468" s="4" t="s">
        <v>3254</v>
      </c>
      <c r="C1468" s="4" t="s">
        <v>1598</v>
      </c>
      <c r="D1468" s="4" t="s">
        <v>3290</v>
      </c>
      <c r="E1468" s="9">
        <v>51590.794999999998</v>
      </c>
      <c r="F1468" s="9">
        <v>412726.36</v>
      </c>
      <c r="G1468" s="1" t="s">
        <v>10091</v>
      </c>
      <c r="H1468" s="1">
        <f>SUMIF([1]Sheet1!$G:$G,A1468,[1]Sheet1!$O:$O)</f>
        <v>412726.36</v>
      </c>
      <c r="I1468" s="21">
        <f t="shared" si="22"/>
        <v>0</v>
      </c>
    </row>
    <row r="1469" spans="1:9" x14ac:dyDescent="0.25">
      <c r="A1469" s="18" t="s">
        <v>10123</v>
      </c>
      <c r="B1469" s="4" t="s">
        <v>3255</v>
      </c>
      <c r="C1469" s="4" t="s">
        <v>1599</v>
      </c>
      <c r="D1469" s="4" t="s">
        <v>3290</v>
      </c>
      <c r="E1469" s="9">
        <v>7533.7150000000001</v>
      </c>
      <c r="F1469" s="9">
        <v>15067.43</v>
      </c>
      <c r="G1469" s="1" t="s">
        <v>10124</v>
      </c>
      <c r="H1469" s="1">
        <f>SUMIF([1]Sheet1!$G:$G,A1469,[1]Sheet1!$O:$O)</f>
        <v>15067.43</v>
      </c>
      <c r="I1469" s="21">
        <f t="shared" si="22"/>
        <v>0</v>
      </c>
    </row>
    <row r="1470" spans="1:9" x14ac:dyDescent="0.25">
      <c r="A1470" s="18" t="s">
        <v>4696</v>
      </c>
      <c r="B1470" s="4" t="s">
        <v>2924</v>
      </c>
      <c r="C1470" s="4" t="s">
        <v>1600</v>
      </c>
      <c r="D1470" s="4" t="s">
        <v>3290</v>
      </c>
      <c r="E1470" s="9">
        <v>228.82</v>
      </c>
      <c r="F1470" s="9">
        <v>228.82</v>
      </c>
      <c r="G1470" s="1" t="s">
        <v>4697</v>
      </c>
      <c r="H1470" s="1">
        <f>SUMIF([1]Sheet1!$G:$G,A1470,[1]Sheet1!$O:$O)</f>
        <v>228.82</v>
      </c>
      <c r="I1470" s="21">
        <f t="shared" si="22"/>
        <v>0</v>
      </c>
    </row>
    <row r="1471" spans="1:9" x14ac:dyDescent="0.25">
      <c r="A1471" s="18" t="s">
        <v>8356</v>
      </c>
      <c r="B1471" s="4" t="s">
        <v>3256</v>
      </c>
      <c r="C1471" s="4" t="s">
        <v>1601</v>
      </c>
      <c r="D1471" s="4" t="s">
        <v>3290</v>
      </c>
      <c r="E1471" s="9">
        <v>567.82000000000005</v>
      </c>
      <c r="F1471" s="9">
        <v>567.82000000000005</v>
      </c>
      <c r="G1471" s="1" t="s">
        <v>8359</v>
      </c>
      <c r="H1471" s="1">
        <f>SUMIF([1]Sheet1!$G:$G,A1471,[1]Sheet1!$O:$O)</f>
        <v>567.82000000000005</v>
      </c>
      <c r="I1471" s="21">
        <f t="shared" si="22"/>
        <v>0</v>
      </c>
    </row>
    <row r="1472" spans="1:9" x14ac:dyDescent="0.25">
      <c r="A1472" s="18" t="s">
        <v>8360</v>
      </c>
      <c r="B1472" s="4" t="s">
        <v>3257</v>
      </c>
      <c r="C1472" s="4" t="s">
        <v>1602</v>
      </c>
      <c r="D1472" s="4" t="s">
        <v>3290</v>
      </c>
      <c r="E1472" s="9">
        <v>1378.9949999999999</v>
      </c>
      <c r="F1472" s="9">
        <v>5515.98</v>
      </c>
      <c r="G1472" s="1" t="s">
        <v>8361</v>
      </c>
      <c r="H1472" s="1">
        <f>SUMIF([1]Sheet1!$G:$G,A1472,[1]Sheet1!$O:$O)</f>
        <v>5515.98</v>
      </c>
      <c r="I1472" s="21">
        <f t="shared" si="22"/>
        <v>0</v>
      </c>
    </row>
    <row r="1473" spans="1:9" x14ac:dyDescent="0.25">
      <c r="A1473" s="18" t="s">
        <v>5623</v>
      </c>
      <c r="B1473" s="4" t="s">
        <v>2925</v>
      </c>
      <c r="C1473" s="4" t="s">
        <v>1603</v>
      </c>
      <c r="D1473" s="4" t="s">
        <v>3290</v>
      </c>
      <c r="E1473" s="9">
        <v>23.446666666666669</v>
      </c>
      <c r="F1473" s="9">
        <v>70.34</v>
      </c>
      <c r="G1473" s="1" t="s">
        <v>5624</v>
      </c>
      <c r="H1473" s="1">
        <f>SUMIF([1]Sheet1!$G:$G,A1473,[1]Sheet1!$O:$O)</f>
        <v>70.34</v>
      </c>
      <c r="I1473" s="21">
        <f t="shared" si="22"/>
        <v>0</v>
      </c>
    </row>
    <row r="1474" spans="1:9" x14ac:dyDescent="0.25">
      <c r="A1474" s="18" t="s">
        <v>7758</v>
      </c>
      <c r="B1474" s="4" t="s">
        <v>2926</v>
      </c>
      <c r="C1474" s="4" t="s">
        <v>1604</v>
      </c>
      <c r="D1474" s="4" t="s">
        <v>3290</v>
      </c>
      <c r="E1474" s="9">
        <v>355.93200000000002</v>
      </c>
      <c r="F1474" s="9">
        <v>7118.64</v>
      </c>
      <c r="G1474" s="1" t="s">
        <v>7759</v>
      </c>
      <c r="H1474" s="1">
        <f>SUMIF([1]Sheet1!$G:$G,A1474,[1]Sheet1!$O:$O)</f>
        <v>7118.64</v>
      </c>
      <c r="I1474" s="21">
        <f t="shared" si="22"/>
        <v>0</v>
      </c>
    </row>
    <row r="1475" spans="1:9" x14ac:dyDescent="0.25">
      <c r="A1475" s="18" t="s">
        <v>7649</v>
      </c>
      <c r="B1475" s="4" t="s">
        <v>2927</v>
      </c>
      <c r="C1475" s="4" t="s">
        <v>1605</v>
      </c>
      <c r="D1475" s="4" t="s">
        <v>3290</v>
      </c>
      <c r="E1475" s="9">
        <v>958.05</v>
      </c>
      <c r="F1475" s="9">
        <v>1916.1</v>
      </c>
      <c r="G1475" s="1" t="s">
        <v>7650</v>
      </c>
      <c r="H1475" s="1">
        <f>SUMIF([1]Sheet1!$G:$G,A1475,[1]Sheet1!$O:$O)</f>
        <v>1916.1</v>
      </c>
      <c r="I1475" s="21">
        <f t="shared" ref="I1475:I1538" si="23">F1475-H1475</f>
        <v>0</v>
      </c>
    </row>
    <row r="1476" spans="1:9" x14ac:dyDescent="0.25">
      <c r="A1476" s="18" t="s">
        <v>10628</v>
      </c>
      <c r="B1476" s="4" t="s">
        <v>2928</v>
      </c>
      <c r="C1476" s="4" t="s">
        <v>1606</v>
      </c>
      <c r="D1476" s="4" t="s">
        <v>3295</v>
      </c>
      <c r="E1476" s="9">
        <v>12.711785714285714</v>
      </c>
      <c r="F1476" s="9">
        <v>355.93</v>
      </c>
      <c r="G1476" s="1" t="s">
        <v>10629</v>
      </c>
      <c r="H1476" s="1">
        <f>SUMIF([1]Sheet1!$G:$G,A1476,[1]Sheet1!$O:$O)</f>
        <v>355.93</v>
      </c>
      <c r="I1476" s="21">
        <f t="shared" si="23"/>
        <v>0</v>
      </c>
    </row>
    <row r="1477" spans="1:9" x14ac:dyDescent="0.25">
      <c r="A1477" s="18" t="s">
        <v>11561</v>
      </c>
      <c r="B1477" s="4" t="s">
        <v>2929</v>
      </c>
      <c r="C1477" s="4" t="s">
        <v>1607</v>
      </c>
      <c r="D1477" s="4" t="s">
        <v>3290</v>
      </c>
      <c r="E1477" s="9">
        <v>2.3269841269841267</v>
      </c>
      <c r="F1477" s="9">
        <v>146.6</v>
      </c>
      <c r="G1477" s="1" t="s">
        <v>11562</v>
      </c>
      <c r="H1477" s="1">
        <f>SUMIF([1]Sheet1!$G:$G,A1477,[1]Sheet1!$O:$O)</f>
        <v>90.75</v>
      </c>
      <c r="I1477" s="21">
        <f t="shared" si="23"/>
        <v>55.849999999999994</v>
      </c>
    </row>
    <row r="1478" spans="1:9" x14ac:dyDescent="0.25">
      <c r="A1478" s="18" t="s">
        <v>5670</v>
      </c>
      <c r="B1478" s="4" t="s">
        <v>3258</v>
      </c>
      <c r="C1478" s="4" t="s">
        <v>1608</v>
      </c>
      <c r="D1478" s="4" t="s">
        <v>3290</v>
      </c>
      <c r="E1478" s="9">
        <v>3779.0616981132075</v>
      </c>
      <c r="F1478" s="9">
        <v>400580.54</v>
      </c>
      <c r="G1478" s="1" t="s">
        <v>5673</v>
      </c>
      <c r="H1478" s="1">
        <f>SUMIF([1]Sheet1!$G:$G,A1478,[1]Sheet1!$O:$O)</f>
        <v>0</v>
      </c>
      <c r="I1478" s="21">
        <f t="shared" si="23"/>
        <v>400580.54</v>
      </c>
    </row>
    <row r="1479" spans="1:9" x14ac:dyDescent="0.25">
      <c r="A1479" s="18" t="s">
        <v>10253</v>
      </c>
      <c r="B1479" s="4" t="s">
        <v>3087</v>
      </c>
      <c r="C1479" s="4" t="s">
        <v>1609</v>
      </c>
      <c r="D1479" s="4" t="s">
        <v>3290</v>
      </c>
      <c r="E1479" s="9">
        <v>424.73</v>
      </c>
      <c r="F1479" s="9">
        <v>1274.19</v>
      </c>
      <c r="G1479" s="1" t="s">
        <v>10254</v>
      </c>
      <c r="H1479" s="1">
        <f>SUMIF([1]Sheet1!$G:$G,A1479,[1]Sheet1!$O:$O)</f>
        <v>849.46</v>
      </c>
      <c r="I1479" s="21">
        <f t="shared" si="23"/>
        <v>424.73</v>
      </c>
    </row>
    <row r="1480" spans="1:9" x14ac:dyDescent="0.25">
      <c r="A1480" s="18" t="s">
        <v>10259</v>
      </c>
      <c r="B1480" s="4" t="s">
        <v>3088</v>
      </c>
      <c r="C1480" s="4" t="s">
        <v>1610</v>
      </c>
      <c r="D1480" s="4" t="s">
        <v>3290</v>
      </c>
      <c r="E1480" s="9">
        <v>590.78</v>
      </c>
      <c r="F1480" s="9">
        <v>590.78</v>
      </c>
      <c r="G1480" s="1" t="s">
        <v>10260</v>
      </c>
      <c r="H1480" s="1">
        <f>SUMIF([1]Sheet1!$G:$G,A1480,[1]Sheet1!$O:$O)</f>
        <v>590.78</v>
      </c>
      <c r="I1480" s="21">
        <f t="shared" si="23"/>
        <v>0</v>
      </c>
    </row>
    <row r="1481" spans="1:9" x14ac:dyDescent="0.25">
      <c r="A1481" s="18" t="s">
        <v>10302</v>
      </c>
      <c r="B1481" s="4" t="s">
        <v>3089</v>
      </c>
      <c r="C1481" s="4" t="s">
        <v>1611</v>
      </c>
      <c r="D1481" s="4" t="s">
        <v>3290</v>
      </c>
      <c r="E1481" s="9">
        <v>215.65</v>
      </c>
      <c r="F1481" s="9">
        <v>215.65</v>
      </c>
      <c r="G1481" s="1" t="s">
        <v>10303</v>
      </c>
      <c r="H1481" s="1">
        <f>SUMIF([1]Sheet1!$G:$G,A1481,[1]Sheet1!$O:$O)</f>
        <v>215.65</v>
      </c>
      <c r="I1481" s="21">
        <f t="shared" si="23"/>
        <v>0</v>
      </c>
    </row>
    <row r="1482" spans="1:9" x14ac:dyDescent="0.25">
      <c r="A1482" s="18" t="s">
        <v>10300</v>
      </c>
      <c r="B1482" s="4" t="s">
        <v>3090</v>
      </c>
      <c r="C1482" s="4" t="s">
        <v>1612</v>
      </c>
      <c r="D1482" s="4" t="s">
        <v>3290</v>
      </c>
      <c r="E1482" s="9">
        <v>185.14</v>
      </c>
      <c r="F1482" s="9">
        <v>185.14</v>
      </c>
      <c r="G1482" s="1" t="s">
        <v>10301</v>
      </c>
      <c r="H1482" s="1">
        <f>SUMIF([1]Sheet1!$G:$G,A1482,[1]Sheet1!$O:$O)</f>
        <v>185.14</v>
      </c>
      <c r="I1482" s="21">
        <f t="shared" si="23"/>
        <v>0</v>
      </c>
    </row>
    <row r="1483" spans="1:9" x14ac:dyDescent="0.25">
      <c r="A1483" s="18" t="s">
        <v>5574</v>
      </c>
      <c r="B1483" s="4" t="s">
        <v>2930</v>
      </c>
      <c r="C1483" s="4" t="s">
        <v>1613</v>
      </c>
      <c r="D1483" s="4" t="s">
        <v>3290</v>
      </c>
      <c r="E1483" s="9">
        <v>14135.279</v>
      </c>
      <c r="F1483" s="9">
        <v>141352.79</v>
      </c>
      <c r="G1483" s="1" t="s">
        <v>5575</v>
      </c>
      <c r="H1483" s="1">
        <f>SUMIF([1]Sheet1!$G:$G,A1483,[1]Sheet1!$O:$O)</f>
        <v>141352.79</v>
      </c>
      <c r="I1483" s="21">
        <f t="shared" si="23"/>
        <v>0</v>
      </c>
    </row>
    <row r="1484" spans="1:9" x14ac:dyDescent="0.25">
      <c r="A1484" s="18" t="s">
        <v>5854</v>
      </c>
      <c r="B1484" s="4" t="s">
        <v>2931</v>
      </c>
      <c r="C1484" s="4" t="s">
        <v>1614</v>
      </c>
      <c r="D1484" s="4" t="s">
        <v>3290</v>
      </c>
      <c r="E1484" s="9">
        <v>125.42363636363638</v>
      </c>
      <c r="F1484" s="9">
        <v>1379.66</v>
      </c>
      <c r="G1484" s="1" t="s">
        <v>5855</v>
      </c>
      <c r="H1484" s="1">
        <f>SUMIF([1]Sheet1!$G:$G,A1484,[1]Sheet1!$O:$O)</f>
        <v>1379.66</v>
      </c>
      <c r="I1484" s="21">
        <f t="shared" si="23"/>
        <v>0</v>
      </c>
    </row>
    <row r="1485" spans="1:9" x14ac:dyDescent="0.25">
      <c r="A1485" s="18" t="s">
        <v>3893</v>
      </c>
      <c r="B1485" s="4" t="s">
        <v>2932</v>
      </c>
      <c r="C1485" s="4" t="s">
        <v>1615</v>
      </c>
      <c r="D1485" s="4" t="s">
        <v>3290</v>
      </c>
      <c r="E1485" s="9">
        <v>25.423333333333332</v>
      </c>
      <c r="F1485" s="9">
        <v>305.08</v>
      </c>
      <c r="G1485" s="1" t="s">
        <v>3894</v>
      </c>
      <c r="H1485" s="1">
        <f>SUMIF([1]Sheet1!$G:$G,A1485,[1]Sheet1!$O:$O)</f>
        <v>305.08</v>
      </c>
      <c r="I1485" s="21">
        <f t="shared" si="23"/>
        <v>0</v>
      </c>
    </row>
    <row r="1486" spans="1:9" x14ac:dyDescent="0.25">
      <c r="A1486" s="18" t="s">
        <v>3899</v>
      </c>
      <c r="B1486" s="4" t="s">
        <v>2933</v>
      </c>
      <c r="C1486" s="4" t="s">
        <v>1616</v>
      </c>
      <c r="D1486" s="4" t="s">
        <v>3290</v>
      </c>
      <c r="E1486" s="9">
        <v>33.897333333333329</v>
      </c>
      <c r="F1486" s="9">
        <v>508.45999999999992</v>
      </c>
      <c r="G1486" s="1" t="s">
        <v>3900</v>
      </c>
      <c r="H1486" s="1">
        <f>SUMIF([1]Sheet1!$G:$G,A1486,[1]Sheet1!$O:$O)</f>
        <v>508.46</v>
      </c>
      <c r="I1486" s="21">
        <f t="shared" si="23"/>
        <v>0</v>
      </c>
    </row>
    <row r="1487" spans="1:9" x14ac:dyDescent="0.25">
      <c r="A1487" s="18" t="s">
        <v>11245</v>
      </c>
      <c r="B1487" s="4" t="s">
        <v>2934</v>
      </c>
      <c r="C1487" s="4" t="s">
        <v>1617</v>
      </c>
      <c r="D1487" s="4" t="s">
        <v>3290</v>
      </c>
      <c r="E1487" s="9">
        <v>0.25420000000000004</v>
      </c>
      <c r="F1487" s="9">
        <v>25.420000000000005</v>
      </c>
      <c r="G1487" s="1" t="s">
        <v>11246</v>
      </c>
      <c r="H1487" s="1">
        <f>SUMIF([1]Sheet1!$G:$G,A1487,[1]Sheet1!$O:$O)</f>
        <v>25.42</v>
      </c>
      <c r="I1487" s="21">
        <f t="shared" si="23"/>
        <v>0</v>
      </c>
    </row>
    <row r="1488" spans="1:9" x14ac:dyDescent="0.25">
      <c r="A1488" s="18" t="s">
        <v>10928</v>
      </c>
      <c r="B1488" s="4" t="s">
        <v>3259</v>
      </c>
      <c r="C1488" s="4" t="s">
        <v>1618</v>
      </c>
      <c r="D1488" s="4" t="s">
        <v>3290</v>
      </c>
      <c r="E1488" s="9">
        <v>3725.42</v>
      </c>
      <c r="F1488" s="9">
        <v>3725.42</v>
      </c>
      <c r="G1488" s="1" t="s">
        <v>10929</v>
      </c>
      <c r="H1488" s="1">
        <f>SUMIF([1]Sheet1!$G:$G,A1488,[1]Sheet1!$O:$O)</f>
        <v>3725.42</v>
      </c>
      <c r="I1488" s="21">
        <f t="shared" si="23"/>
        <v>0</v>
      </c>
    </row>
    <row r="1489" spans="1:9" x14ac:dyDescent="0.25">
      <c r="A1489" s="18" t="s">
        <v>4013</v>
      </c>
      <c r="B1489" s="4" t="s">
        <v>2935</v>
      </c>
      <c r="C1489" s="4" t="s">
        <v>1619</v>
      </c>
      <c r="D1489" s="4" t="s">
        <v>3290</v>
      </c>
      <c r="E1489" s="9">
        <v>263.84333333333331</v>
      </c>
      <c r="F1489" s="9">
        <v>791.53</v>
      </c>
      <c r="G1489" s="1" t="s">
        <v>4014</v>
      </c>
      <c r="H1489" s="1">
        <f>SUMIF([1]Sheet1!$G:$G,A1489,[1]Sheet1!$O:$O)</f>
        <v>791.53</v>
      </c>
      <c r="I1489" s="21">
        <f t="shared" si="23"/>
        <v>0</v>
      </c>
    </row>
    <row r="1490" spans="1:9" x14ac:dyDescent="0.25">
      <c r="A1490" s="18" t="s">
        <v>10514</v>
      </c>
      <c r="B1490" s="4" t="s">
        <v>2936</v>
      </c>
      <c r="C1490" s="4" t="s">
        <v>1620</v>
      </c>
      <c r="D1490" s="4" t="s">
        <v>3290</v>
      </c>
      <c r="E1490" s="9">
        <v>21.68470588235294</v>
      </c>
      <c r="F1490" s="9">
        <v>368.64</v>
      </c>
      <c r="G1490" s="1" t="s">
        <v>10515</v>
      </c>
      <c r="H1490" s="1">
        <f>SUMIF([1]Sheet1!$G:$G,A1490,[1]Sheet1!$O:$O)</f>
        <v>368.64</v>
      </c>
      <c r="I1490" s="21">
        <f t="shared" si="23"/>
        <v>0</v>
      </c>
    </row>
    <row r="1491" spans="1:9" x14ac:dyDescent="0.25">
      <c r="A1491" s="18" t="s">
        <v>10479</v>
      </c>
      <c r="B1491" s="4" t="s">
        <v>2937</v>
      </c>
      <c r="C1491" s="4" t="s">
        <v>1621</v>
      </c>
      <c r="D1491" s="4" t="s">
        <v>3290</v>
      </c>
      <c r="E1491" s="9">
        <v>622.88250000000005</v>
      </c>
      <c r="F1491" s="9">
        <v>2491.5300000000002</v>
      </c>
      <c r="G1491" s="1" t="s">
        <v>10480</v>
      </c>
      <c r="H1491" s="1">
        <f>SUMIF([1]Sheet1!$G:$G,A1491,[1]Sheet1!$O:$O)</f>
        <v>2491.5300000000002</v>
      </c>
      <c r="I1491" s="21">
        <f t="shared" si="23"/>
        <v>0</v>
      </c>
    </row>
    <row r="1492" spans="1:9" x14ac:dyDescent="0.25">
      <c r="A1492" s="18" t="s">
        <v>11290</v>
      </c>
      <c r="B1492" s="4" t="s">
        <v>2938</v>
      </c>
      <c r="C1492" s="4" t="s">
        <v>1622</v>
      </c>
      <c r="D1492" s="4" t="s">
        <v>3290</v>
      </c>
      <c r="E1492" s="9">
        <v>453.39</v>
      </c>
      <c r="F1492" s="9">
        <v>3627.12</v>
      </c>
      <c r="G1492" s="1" t="s">
        <v>11291</v>
      </c>
      <c r="H1492" s="1">
        <f>SUMIF([1]Sheet1!$G:$G,A1492,[1]Sheet1!$O:$O)</f>
        <v>3627.12</v>
      </c>
      <c r="I1492" s="21">
        <f t="shared" si="23"/>
        <v>0</v>
      </c>
    </row>
    <row r="1493" spans="1:9" x14ac:dyDescent="0.25">
      <c r="A1493" s="18" t="s">
        <v>4408</v>
      </c>
      <c r="B1493" s="4" t="s">
        <v>2939</v>
      </c>
      <c r="C1493" s="4" t="s">
        <v>1623</v>
      </c>
      <c r="D1493" s="4" t="s">
        <v>3290</v>
      </c>
      <c r="E1493" s="9">
        <v>326.74142857142857</v>
      </c>
      <c r="F1493" s="9">
        <v>2287.19</v>
      </c>
      <c r="G1493" s="1" t="s">
        <v>4409</v>
      </c>
      <c r="H1493" s="1">
        <f>SUMIF([1]Sheet1!$G:$G,A1493,[1]Sheet1!$O:$O)</f>
        <v>2287.19</v>
      </c>
      <c r="I1493" s="21">
        <f t="shared" si="23"/>
        <v>0</v>
      </c>
    </row>
    <row r="1494" spans="1:9" x14ac:dyDescent="0.25">
      <c r="A1494" s="18" t="s">
        <v>11127</v>
      </c>
      <c r="B1494" s="4" t="s">
        <v>2940</v>
      </c>
      <c r="C1494" s="4" t="s">
        <v>12</v>
      </c>
      <c r="D1494" s="4" t="s">
        <v>3290</v>
      </c>
      <c r="E1494" s="9">
        <v>1559.32</v>
      </c>
      <c r="F1494" s="9">
        <v>3118.64</v>
      </c>
      <c r="G1494" s="1" t="s">
        <v>11128</v>
      </c>
      <c r="H1494" s="1">
        <f>SUMIF([1]Sheet1!$G:$G,A1494,[1]Sheet1!$O:$O)</f>
        <v>3118.64</v>
      </c>
      <c r="I1494" s="21">
        <f t="shared" si="23"/>
        <v>0</v>
      </c>
    </row>
    <row r="1495" spans="1:9" x14ac:dyDescent="0.25">
      <c r="A1495" s="18" t="s">
        <v>12019</v>
      </c>
      <c r="B1495" s="4" t="s">
        <v>2941</v>
      </c>
      <c r="C1495" s="4" t="s">
        <v>13</v>
      </c>
      <c r="D1495" s="4" t="s">
        <v>3290</v>
      </c>
      <c r="E1495" s="9">
        <v>3388.1358333333333</v>
      </c>
      <c r="F1495" s="9">
        <v>40657.629999999997</v>
      </c>
      <c r="G1495" s="1" t="s">
        <v>12022</v>
      </c>
      <c r="H1495" s="1">
        <f>SUMIF([1]Sheet1!$G:$G,A1495,[1]Sheet1!$O:$O)</f>
        <v>40657.629999999997</v>
      </c>
      <c r="I1495" s="21">
        <f t="shared" si="23"/>
        <v>0</v>
      </c>
    </row>
    <row r="1496" spans="1:9" x14ac:dyDescent="0.25">
      <c r="A1496" s="18" t="s">
        <v>5742</v>
      </c>
      <c r="B1496" s="4" t="s">
        <v>2942</v>
      </c>
      <c r="C1496" s="4" t="s">
        <v>14</v>
      </c>
      <c r="D1496" s="4" t="s">
        <v>3289</v>
      </c>
      <c r="E1496" s="9">
        <v>4.1194525547445258</v>
      </c>
      <c r="F1496" s="9">
        <v>2257.46</v>
      </c>
      <c r="G1496" s="1" t="s">
        <v>5743</v>
      </c>
      <c r="H1496" s="1">
        <f>SUMIF([1]Sheet1!$G:$G,A1496,[1]Sheet1!$O:$O)</f>
        <v>2257.4899999999998</v>
      </c>
      <c r="I1496" s="21">
        <f t="shared" si="23"/>
        <v>-2.9999999999745341E-2</v>
      </c>
    </row>
    <row r="1497" spans="1:9" x14ac:dyDescent="0.25">
      <c r="A1497" s="18" t="s">
        <v>5727</v>
      </c>
      <c r="B1497" s="4" t="s">
        <v>2943</v>
      </c>
      <c r="C1497" s="4" t="s">
        <v>15</v>
      </c>
      <c r="D1497" s="4" t="s">
        <v>3289</v>
      </c>
      <c r="E1497" s="9">
        <v>1.6806439393939394</v>
      </c>
      <c r="F1497" s="9">
        <v>443.69</v>
      </c>
      <c r="G1497" s="1" t="s">
        <v>5728</v>
      </c>
      <c r="H1497" s="1">
        <f>SUMIF([1]Sheet1!$G:$G,A1497,[1]Sheet1!$O:$O)</f>
        <v>443.68</v>
      </c>
      <c r="I1497" s="21">
        <f t="shared" si="23"/>
        <v>9.9999999999909051E-3</v>
      </c>
    </row>
    <row r="1498" spans="1:9" x14ac:dyDescent="0.25">
      <c r="A1498" s="18" t="s">
        <v>5580</v>
      </c>
      <c r="B1498" s="4" t="s">
        <v>2944</v>
      </c>
      <c r="C1498" s="4" t="s">
        <v>16</v>
      </c>
      <c r="D1498" s="4" t="s">
        <v>3290</v>
      </c>
      <c r="E1498" s="9">
        <v>6.1626666666666665</v>
      </c>
      <c r="F1498" s="9">
        <v>92.44</v>
      </c>
      <c r="G1498" s="1" t="s">
        <v>5581</v>
      </c>
      <c r="H1498" s="1">
        <f>SUMIF([1]Sheet1!$G:$G,A1498,[1]Sheet1!$O:$O)</f>
        <v>92.44</v>
      </c>
      <c r="I1498" s="21">
        <f t="shared" si="23"/>
        <v>0</v>
      </c>
    </row>
    <row r="1499" spans="1:9" x14ac:dyDescent="0.25">
      <c r="A1499" s="18" t="s">
        <v>3897</v>
      </c>
      <c r="B1499" s="4" t="s">
        <v>2945</v>
      </c>
      <c r="C1499" s="4" t="s">
        <v>17</v>
      </c>
      <c r="D1499" s="4" t="s">
        <v>3290</v>
      </c>
      <c r="E1499" s="9">
        <v>26.33969696969697</v>
      </c>
      <c r="F1499" s="9">
        <v>869.21</v>
      </c>
      <c r="G1499" s="1" t="s">
        <v>3898</v>
      </c>
      <c r="H1499" s="1">
        <f>SUMIF([1]Sheet1!$G:$G,A1499,[1]Sheet1!$O:$O)</f>
        <v>869.21</v>
      </c>
      <c r="I1499" s="21">
        <f t="shared" si="23"/>
        <v>0</v>
      </c>
    </row>
    <row r="1500" spans="1:9" x14ac:dyDescent="0.25">
      <c r="A1500" s="18" t="s">
        <v>11612</v>
      </c>
      <c r="B1500" s="4" t="s">
        <v>2946</v>
      </c>
      <c r="C1500" s="4" t="s">
        <v>18</v>
      </c>
      <c r="D1500" s="4" t="s">
        <v>3290</v>
      </c>
      <c r="E1500" s="9">
        <v>0.16949999999999998</v>
      </c>
      <c r="F1500" s="9">
        <v>16.95</v>
      </c>
      <c r="G1500" s="1" t="s">
        <v>11613</v>
      </c>
      <c r="H1500" s="1">
        <f>SUMIF([1]Sheet1!$G:$G,A1500,[1]Sheet1!$O:$O)</f>
        <v>16.95</v>
      </c>
      <c r="I1500" s="21">
        <f t="shared" si="23"/>
        <v>0</v>
      </c>
    </row>
    <row r="1501" spans="1:9" x14ac:dyDescent="0.25">
      <c r="A1501" s="18" t="s">
        <v>11507</v>
      </c>
      <c r="B1501" s="4" t="s">
        <v>2947</v>
      </c>
      <c r="C1501" s="4" t="s">
        <v>19</v>
      </c>
      <c r="D1501" s="4" t="s">
        <v>3290</v>
      </c>
      <c r="E1501" s="9">
        <v>1.0576315789473683</v>
      </c>
      <c r="F1501" s="9">
        <v>40.189999999999991</v>
      </c>
      <c r="G1501" s="1" t="s">
        <v>11508</v>
      </c>
      <c r="H1501" s="1">
        <f>SUMIF([1]Sheet1!$G:$G,A1501,[1]Sheet1!$O:$O)</f>
        <v>40.19</v>
      </c>
      <c r="I1501" s="21">
        <f t="shared" si="23"/>
        <v>0</v>
      </c>
    </row>
    <row r="1502" spans="1:9" x14ac:dyDescent="0.25">
      <c r="A1502" s="18" t="s">
        <v>11524</v>
      </c>
      <c r="B1502" s="4" t="s">
        <v>2948</v>
      </c>
      <c r="C1502" s="4" t="s">
        <v>20</v>
      </c>
      <c r="D1502" s="4" t="s">
        <v>3290</v>
      </c>
      <c r="E1502" s="9">
        <v>1.5183333333333333</v>
      </c>
      <c r="F1502" s="9">
        <v>27.33</v>
      </c>
      <c r="G1502" s="1" t="s">
        <v>11525</v>
      </c>
      <c r="H1502" s="1">
        <f>SUMIF([1]Sheet1!$G:$G,A1502,[1]Sheet1!$O:$O)</f>
        <v>27.33</v>
      </c>
      <c r="I1502" s="21">
        <f t="shared" si="23"/>
        <v>0</v>
      </c>
    </row>
    <row r="1503" spans="1:9" x14ac:dyDescent="0.25">
      <c r="A1503" s="18" t="s">
        <v>11549</v>
      </c>
      <c r="B1503" s="4" t="s">
        <v>2949</v>
      </c>
      <c r="C1503" s="4" t="s">
        <v>21</v>
      </c>
      <c r="D1503" s="4" t="s">
        <v>3290</v>
      </c>
      <c r="E1503" s="9">
        <v>1.444</v>
      </c>
      <c r="F1503" s="9">
        <v>72.2</v>
      </c>
      <c r="G1503" s="1" t="s">
        <v>11550</v>
      </c>
      <c r="H1503" s="1">
        <f>SUMIF([1]Sheet1!$G:$G,A1503,[1]Sheet1!$O:$O)</f>
        <v>72.2</v>
      </c>
      <c r="I1503" s="21">
        <f t="shared" si="23"/>
        <v>0</v>
      </c>
    </row>
    <row r="1504" spans="1:9" x14ac:dyDescent="0.25">
      <c r="A1504" s="18" t="s">
        <v>11545</v>
      </c>
      <c r="B1504" s="4" t="s">
        <v>2950</v>
      </c>
      <c r="C1504" s="4" t="s">
        <v>22</v>
      </c>
      <c r="D1504" s="4" t="s">
        <v>3290</v>
      </c>
      <c r="E1504" s="9">
        <v>1.9728000000000001</v>
      </c>
      <c r="F1504" s="9">
        <v>98.64</v>
      </c>
      <c r="G1504" s="1" t="s">
        <v>11546</v>
      </c>
      <c r="H1504" s="1">
        <f>SUMIF([1]Sheet1!$G:$G,A1504,[1]Sheet1!$O:$O)</f>
        <v>98.64</v>
      </c>
      <c r="I1504" s="21">
        <f t="shared" si="23"/>
        <v>0</v>
      </c>
    </row>
    <row r="1505" spans="1:9" x14ac:dyDescent="0.25">
      <c r="A1505" s="18" t="s">
        <v>11547</v>
      </c>
      <c r="B1505" s="4" t="s">
        <v>2951</v>
      </c>
      <c r="C1505" s="4" t="s">
        <v>23</v>
      </c>
      <c r="D1505" s="4" t="s">
        <v>3290</v>
      </c>
      <c r="E1505" s="9">
        <v>2.3931999999999998</v>
      </c>
      <c r="F1505" s="9">
        <v>119.65999999999998</v>
      </c>
      <c r="G1505" s="1" t="s">
        <v>11548</v>
      </c>
      <c r="H1505" s="1">
        <f>SUMIF([1]Sheet1!$G:$G,A1505,[1]Sheet1!$O:$O)</f>
        <v>119.66</v>
      </c>
      <c r="I1505" s="21">
        <f t="shared" si="23"/>
        <v>0</v>
      </c>
    </row>
    <row r="1506" spans="1:9" x14ac:dyDescent="0.25">
      <c r="A1506" s="18" t="s">
        <v>11584</v>
      </c>
      <c r="B1506" s="4" t="s">
        <v>2952</v>
      </c>
      <c r="C1506" s="4" t="s">
        <v>24</v>
      </c>
      <c r="D1506" s="4" t="s">
        <v>3290</v>
      </c>
      <c r="E1506" s="9">
        <v>2.7971212121212123</v>
      </c>
      <c r="F1506" s="9">
        <v>184.61</v>
      </c>
      <c r="G1506" s="1" t="s">
        <v>11585</v>
      </c>
      <c r="H1506" s="1">
        <f>SUMIF([1]Sheet1!$G:$G,A1506,[1]Sheet1!$O:$O)</f>
        <v>184.61</v>
      </c>
      <c r="I1506" s="21">
        <f t="shared" si="23"/>
        <v>0</v>
      </c>
    </row>
    <row r="1507" spans="1:9" x14ac:dyDescent="0.25">
      <c r="A1507" s="18" t="s">
        <v>11603</v>
      </c>
      <c r="B1507" s="4" t="s">
        <v>2953</v>
      </c>
      <c r="C1507" s="4" t="s">
        <v>25</v>
      </c>
      <c r="D1507" s="4" t="s">
        <v>3290</v>
      </c>
      <c r="E1507" s="9">
        <v>7.3898000000000001</v>
      </c>
      <c r="F1507" s="9">
        <v>369.49</v>
      </c>
      <c r="G1507" s="1" t="s">
        <v>11604</v>
      </c>
      <c r="H1507" s="1">
        <f>SUMIF([1]Sheet1!$G:$G,A1507,[1]Sheet1!$O:$O)</f>
        <v>369.49</v>
      </c>
      <c r="I1507" s="21">
        <f t="shared" si="23"/>
        <v>0</v>
      </c>
    </row>
    <row r="1508" spans="1:9" x14ac:dyDescent="0.25">
      <c r="A1508" s="18" t="s">
        <v>11608</v>
      </c>
      <c r="B1508" s="4" t="s">
        <v>2954</v>
      </c>
      <c r="C1508" s="4" t="s">
        <v>26</v>
      </c>
      <c r="D1508" s="4" t="s">
        <v>3290</v>
      </c>
      <c r="E1508" s="9">
        <v>13.908285714285714</v>
      </c>
      <c r="F1508" s="9">
        <v>486.79</v>
      </c>
      <c r="G1508" s="1" t="s">
        <v>11609</v>
      </c>
      <c r="H1508" s="1">
        <f>SUMIF([1]Sheet1!$G:$G,A1508,[1]Sheet1!$O:$O)</f>
        <v>486.79</v>
      </c>
      <c r="I1508" s="21">
        <f t="shared" si="23"/>
        <v>0</v>
      </c>
    </row>
    <row r="1509" spans="1:9" x14ac:dyDescent="0.25">
      <c r="A1509" s="18" t="s">
        <v>11671</v>
      </c>
      <c r="B1509" s="4" t="s">
        <v>3091</v>
      </c>
      <c r="C1509" s="4" t="s">
        <v>28</v>
      </c>
      <c r="D1509" s="4" t="s">
        <v>3290</v>
      </c>
      <c r="E1509" s="9">
        <v>96.894999999999996</v>
      </c>
      <c r="F1509" s="9">
        <v>193.79</v>
      </c>
      <c r="G1509" s="1" t="s">
        <v>11674</v>
      </c>
      <c r="H1509" s="1">
        <f>SUMIF([1]Sheet1!$G:$G,A1509,[1]Sheet1!$O:$O)</f>
        <v>193.79</v>
      </c>
      <c r="I1509" s="21">
        <f t="shared" si="23"/>
        <v>0</v>
      </c>
    </row>
    <row r="1510" spans="1:9" x14ac:dyDescent="0.25">
      <c r="A1510" s="18" t="s">
        <v>11409</v>
      </c>
      <c r="B1510" s="4" t="s">
        <v>3092</v>
      </c>
      <c r="C1510" s="4" t="s">
        <v>29</v>
      </c>
      <c r="D1510" s="4" t="s">
        <v>3290</v>
      </c>
      <c r="E1510" s="9">
        <v>8.9133333333333322</v>
      </c>
      <c r="F1510" s="9">
        <v>26.739999999999995</v>
      </c>
      <c r="G1510" s="1" t="s">
        <v>11412</v>
      </c>
      <c r="H1510" s="1">
        <f>SUMIF([1]Sheet1!$G:$G,A1510,[1]Sheet1!$O:$O)</f>
        <v>26.74</v>
      </c>
      <c r="I1510" s="21">
        <f t="shared" si="23"/>
        <v>0</v>
      </c>
    </row>
    <row r="1511" spans="1:9" x14ac:dyDescent="0.25">
      <c r="A1511" s="18" t="s">
        <v>4096</v>
      </c>
      <c r="B1511" s="4" t="s">
        <v>2955</v>
      </c>
      <c r="C1511" s="4" t="s">
        <v>30</v>
      </c>
      <c r="D1511" s="4" t="s">
        <v>3290</v>
      </c>
      <c r="E1511" s="9">
        <v>588.98500000000001</v>
      </c>
      <c r="F1511" s="9">
        <v>3533.91</v>
      </c>
      <c r="G1511" s="1" t="s">
        <v>4099</v>
      </c>
      <c r="H1511" s="1">
        <f>SUMIF([1]Sheet1!$G:$G,A1511,[1]Sheet1!$O:$O)</f>
        <v>3533.91</v>
      </c>
      <c r="I1511" s="21">
        <f t="shared" si="23"/>
        <v>0</v>
      </c>
    </row>
    <row r="1512" spans="1:9" x14ac:dyDescent="0.25">
      <c r="A1512" s="18" t="s">
        <v>6119</v>
      </c>
      <c r="B1512" s="4" t="s">
        <v>2956</v>
      </c>
      <c r="C1512" s="4" t="s">
        <v>31</v>
      </c>
      <c r="D1512" s="4" t="s">
        <v>3289</v>
      </c>
      <c r="E1512" s="9">
        <v>0.97450000000000003</v>
      </c>
      <c r="F1512" s="9">
        <v>58.47</v>
      </c>
      <c r="G1512" s="1" t="s">
        <v>6120</v>
      </c>
      <c r="H1512" s="1">
        <f>SUMIF([1]Sheet1!$G:$G,A1512,[1]Sheet1!$O:$O)</f>
        <v>58.47</v>
      </c>
      <c r="I1512" s="21">
        <f t="shared" si="23"/>
        <v>0</v>
      </c>
    </row>
    <row r="1513" spans="1:9" x14ac:dyDescent="0.25">
      <c r="A1513" s="18" t="s">
        <v>5777</v>
      </c>
      <c r="B1513" s="4" t="s">
        <v>2957</v>
      </c>
      <c r="C1513" s="4" t="s">
        <v>32</v>
      </c>
      <c r="D1513" s="4" t="s">
        <v>3289</v>
      </c>
      <c r="E1513" s="9">
        <v>3.8134999999999999</v>
      </c>
      <c r="F1513" s="9">
        <v>76.27</v>
      </c>
      <c r="G1513" s="1" t="s">
        <v>5778</v>
      </c>
      <c r="H1513" s="1">
        <f>SUMIF([1]Sheet1!$G:$G,A1513,[1]Sheet1!$O:$O)</f>
        <v>76.27</v>
      </c>
      <c r="I1513" s="21">
        <f t="shared" si="23"/>
        <v>0</v>
      </c>
    </row>
    <row r="1514" spans="1:9" x14ac:dyDescent="0.25">
      <c r="A1514" s="18" t="s">
        <v>5808</v>
      </c>
      <c r="B1514" s="4" t="s">
        <v>2958</v>
      </c>
      <c r="C1514" s="4" t="s">
        <v>33</v>
      </c>
      <c r="D1514" s="4" t="s">
        <v>3290</v>
      </c>
      <c r="E1514" s="9">
        <v>1.6950000000000001</v>
      </c>
      <c r="F1514" s="9">
        <v>13.56</v>
      </c>
      <c r="G1514" s="1" t="s">
        <v>5809</v>
      </c>
      <c r="H1514" s="1">
        <f>SUMIF([1]Sheet1!$G:$G,A1514,[1]Sheet1!$O:$O)</f>
        <v>13.56</v>
      </c>
      <c r="I1514" s="21">
        <f t="shared" si="23"/>
        <v>0</v>
      </c>
    </row>
    <row r="1515" spans="1:9" x14ac:dyDescent="0.25">
      <c r="A1515" s="18" t="s">
        <v>5806</v>
      </c>
      <c r="B1515" s="4" t="s">
        <v>2959</v>
      </c>
      <c r="C1515" s="4" t="s">
        <v>35</v>
      </c>
      <c r="D1515" s="4" t="s">
        <v>3290</v>
      </c>
      <c r="E1515" s="9">
        <v>1.2713333333333334</v>
      </c>
      <c r="F1515" s="9">
        <v>19.07</v>
      </c>
      <c r="G1515" s="1" t="s">
        <v>5807</v>
      </c>
      <c r="H1515" s="1">
        <f>SUMIF([1]Sheet1!$G:$G,A1515,[1]Sheet1!$O:$O)</f>
        <v>19.07</v>
      </c>
      <c r="I1515" s="21">
        <f t="shared" si="23"/>
        <v>0</v>
      </c>
    </row>
    <row r="1516" spans="1:9" x14ac:dyDescent="0.25">
      <c r="A1516" s="18" t="s">
        <v>5716</v>
      </c>
      <c r="B1516" s="4" t="s">
        <v>2960</v>
      </c>
      <c r="C1516" s="4" t="s">
        <v>36</v>
      </c>
      <c r="D1516" s="4" t="s">
        <v>3289</v>
      </c>
      <c r="E1516" s="9">
        <v>1.016875</v>
      </c>
      <c r="F1516" s="9">
        <v>81.349999999999994</v>
      </c>
      <c r="G1516" s="1" t="s">
        <v>5717</v>
      </c>
      <c r="H1516" s="1">
        <f>SUMIF([1]Sheet1!$G:$G,A1516,[1]Sheet1!$O:$O)</f>
        <v>81.349999999999994</v>
      </c>
      <c r="I1516" s="21">
        <f t="shared" si="23"/>
        <v>0</v>
      </c>
    </row>
    <row r="1517" spans="1:9" x14ac:dyDescent="0.25">
      <c r="A1517" s="18" t="s">
        <v>9017</v>
      </c>
      <c r="B1517" s="4" t="s">
        <v>2961</v>
      </c>
      <c r="C1517" s="4" t="s">
        <v>37</v>
      </c>
      <c r="D1517" s="4" t="s">
        <v>3290</v>
      </c>
      <c r="E1517" s="9">
        <v>26.708648648648648</v>
      </c>
      <c r="F1517" s="9">
        <v>988.22</v>
      </c>
      <c r="G1517" s="1" t="s">
        <v>9018</v>
      </c>
      <c r="H1517" s="1">
        <f>SUMIF([1]Sheet1!$G:$G,A1517,[1]Sheet1!$O:$O)</f>
        <v>988.22</v>
      </c>
      <c r="I1517" s="21">
        <f t="shared" si="23"/>
        <v>0</v>
      </c>
    </row>
    <row r="1518" spans="1:9" x14ac:dyDescent="0.25">
      <c r="A1518" s="18" t="s">
        <v>9584</v>
      </c>
      <c r="B1518" s="4" t="s">
        <v>2962</v>
      </c>
      <c r="C1518" s="4" t="s">
        <v>38</v>
      </c>
      <c r="D1518" s="4" t="s">
        <v>3290</v>
      </c>
      <c r="E1518" s="9">
        <v>77.69736842105263</v>
      </c>
      <c r="F1518" s="9">
        <v>1476.25</v>
      </c>
      <c r="G1518" s="1" t="s">
        <v>9585</v>
      </c>
      <c r="H1518" s="1">
        <f>SUMIF([1]Sheet1!$G:$G,A1518,[1]Sheet1!$O:$O)</f>
        <v>1476.25</v>
      </c>
      <c r="I1518" s="21">
        <f t="shared" si="23"/>
        <v>0</v>
      </c>
    </row>
    <row r="1519" spans="1:9" x14ac:dyDescent="0.25">
      <c r="A1519" s="18" t="s">
        <v>4077</v>
      </c>
      <c r="B1519" s="4" t="s">
        <v>3093</v>
      </c>
      <c r="C1519" s="4" t="s">
        <v>39</v>
      </c>
      <c r="D1519" s="4" t="s">
        <v>3290</v>
      </c>
      <c r="E1519" s="9">
        <v>251.04166666666666</v>
      </c>
      <c r="F1519" s="9">
        <v>1506.25</v>
      </c>
      <c r="G1519" s="1" t="s">
        <v>4080</v>
      </c>
      <c r="H1519" s="1">
        <f>SUMIF([1]Sheet1!$G:$G,A1519,[1]Sheet1!$O:$O)</f>
        <v>1506.25</v>
      </c>
      <c r="I1519" s="21">
        <f t="shared" si="23"/>
        <v>0</v>
      </c>
    </row>
    <row r="1520" spans="1:9" x14ac:dyDescent="0.25">
      <c r="A1520" s="18" t="s">
        <v>5272</v>
      </c>
      <c r="B1520" s="4" t="s">
        <v>2963</v>
      </c>
      <c r="C1520" s="4" t="s">
        <v>40</v>
      </c>
      <c r="D1520" s="4" t="s">
        <v>3290</v>
      </c>
      <c r="E1520" s="9">
        <v>364.40625</v>
      </c>
      <c r="F1520" s="9">
        <v>2915.25</v>
      </c>
      <c r="G1520" s="1" t="s">
        <v>5273</v>
      </c>
      <c r="H1520" s="1">
        <f>SUMIF([1]Sheet1!$G:$G,A1520,[1]Sheet1!$O:$O)</f>
        <v>2915.25</v>
      </c>
      <c r="I1520" s="21">
        <f t="shared" si="23"/>
        <v>0</v>
      </c>
    </row>
    <row r="1521" spans="1:9" x14ac:dyDescent="0.25">
      <c r="A1521" s="18" t="s">
        <v>4329</v>
      </c>
      <c r="B1521" s="4" t="s">
        <v>2964</v>
      </c>
      <c r="C1521" s="4" t="s">
        <v>41</v>
      </c>
      <c r="D1521" s="4" t="s">
        <v>3290</v>
      </c>
      <c r="E1521" s="9">
        <v>16.95</v>
      </c>
      <c r="F1521" s="9">
        <v>33.9</v>
      </c>
      <c r="G1521" s="1" t="s">
        <v>4330</v>
      </c>
      <c r="H1521" s="1">
        <f>SUMIF([1]Sheet1!$G:$G,A1521,[1]Sheet1!$O:$O)</f>
        <v>33.9</v>
      </c>
      <c r="I1521" s="21">
        <f t="shared" si="23"/>
        <v>0</v>
      </c>
    </row>
    <row r="1522" spans="1:9" x14ac:dyDescent="0.25">
      <c r="A1522" s="18" t="s">
        <v>6101</v>
      </c>
      <c r="B1522" s="4" t="s">
        <v>3094</v>
      </c>
      <c r="C1522" s="4" t="s">
        <v>42</v>
      </c>
      <c r="D1522" s="4" t="s">
        <v>3290</v>
      </c>
      <c r="E1522" s="9">
        <v>67.153333333333336</v>
      </c>
      <c r="F1522" s="9">
        <v>201.46</v>
      </c>
      <c r="G1522" s="1" t="s">
        <v>6102</v>
      </c>
      <c r="H1522" s="1">
        <f>SUMIF([1]Sheet1!$G:$G,A1522,[1]Sheet1!$O:$O)</f>
        <v>201.46</v>
      </c>
      <c r="I1522" s="21">
        <f t="shared" si="23"/>
        <v>0</v>
      </c>
    </row>
    <row r="1523" spans="1:9" x14ac:dyDescent="0.25">
      <c r="A1523" s="18" t="s">
        <v>8690</v>
      </c>
      <c r="B1523" s="4" t="s">
        <v>3260</v>
      </c>
      <c r="C1523" s="4" t="s">
        <v>43</v>
      </c>
      <c r="D1523" s="4" t="s">
        <v>3290</v>
      </c>
      <c r="E1523" s="9">
        <v>974.57500000000005</v>
      </c>
      <c r="F1523" s="9">
        <v>3898.3</v>
      </c>
      <c r="G1523" s="1" t="s">
        <v>8691</v>
      </c>
      <c r="H1523" s="1">
        <f>SUMIF([1]Sheet1!$G:$G,A1523,[1]Sheet1!$O:$O)</f>
        <v>3898.3</v>
      </c>
      <c r="I1523" s="21">
        <f t="shared" si="23"/>
        <v>0</v>
      </c>
    </row>
    <row r="1524" spans="1:9" x14ac:dyDescent="0.25">
      <c r="A1524" s="18" t="s">
        <v>6353</v>
      </c>
      <c r="B1524" s="4" t="s">
        <v>3261</v>
      </c>
      <c r="C1524" s="4" t="s">
        <v>44</v>
      </c>
      <c r="D1524" s="4" t="s">
        <v>3290</v>
      </c>
      <c r="E1524" s="9">
        <v>767.42</v>
      </c>
      <c r="F1524" s="9">
        <v>767.42</v>
      </c>
      <c r="G1524" s="1" t="s">
        <v>6356</v>
      </c>
      <c r="H1524" s="1">
        <f>SUMIF([1]Sheet1!$G:$G,A1524,[1]Sheet1!$O:$O)</f>
        <v>767.42</v>
      </c>
      <c r="I1524" s="21">
        <f t="shared" si="23"/>
        <v>0</v>
      </c>
    </row>
    <row r="1525" spans="1:9" x14ac:dyDescent="0.25">
      <c r="A1525" s="18" t="s">
        <v>7571</v>
      </c>
      <c r="B1525" s="4" t="s">
        <v>2965</v>
      </c>
      <c r="C1525" s="4" t="s">
        <v>45</v>
      </c>
      <c r="D1525" s="4" t="s">
        <v>3289</v>
      </c>
      <c r="E1525" s="9">
        <v>43.644166666666671</v>
      </c>
      <c r="F1525" s="9">
        <v>523.73</v>
      </c>
      <c r="G1525" s="1" t="s">
        <v>7572</v>
      </c>
      <c r="H1525" s="1">
        <f>SUMIF([1]Sheet1!$G:$G,A1525,[1]Sheet1!$O:$O)</f>
        <v>523.73</v>
      </c>
      <c r="I1525" s="21">
        <f t="shared" si="23"/>
        <v>0</v>
      </c>
    </row>
    <row r="1526" spans="1:9" x14ac:dyDescent="0.25">
      <c r="A1526" s="18" t="s">
        <v>9240</v>
      </c>
      <c r="B1526" s="4" t="s">
        <v>2966</v>
      </c>
      <c r="C1526" s="4" t="s">
        <v>46</v>
      </c>
      <c r="D1526" s="4" t="s">
        <v>3290</v>
      </c>
      <c r="E1526" s="9">
        <v>4.2350000000000003</v>
      </c>
      <c r="F1526" s="9">
        <v>8.4700000000000006</v>
      </c>
      <c r="G1526" s="1" t="s">
        <v>9241</v>
      </c>
      <c r="H1526" s="1">
        <f>SUMIF([1]Sheet1!$G:$G,A1526,[1]Sheet1!$O:$O)</f>
        <v>8.4700000000000006</v>
      </c>
      <c r="I1526" s="21">
        <f t="shared" si="23"/>
        <v>0</v>
      </c>
    </row>
    <row r="1527" spans="1:9" x14ac:dyDescent="0.25">
      <c r="A1527" s="18" t="s">
        <v>9024</v>
      </c>
      <c r="B1527" s="4" t="s">
        <v>2967</v>
      </c>
      <c r="C1527" s="4" t="s">
        <v>47</v>
      </c>
      <c r="D1527" s="4" t="s">
        <v>3290</v>
      </c>
      <c r="E1527" s="9">
        <v>5.085</v>
      </c>
      <c r="F1527" s="9">
        <v>20.34</v>
      </c>
      <c r="G1527" s="1" t="s">
        <v>9025</v>
      </c>
      <c r="H1527" s="1">
        <f>SUMIF([1]Sheet1!$G:$G,A1527,[1]Sheet1!$O:$O)</f>
        <v>20.34</v>
      </c>
      <c r="I1527" s="21">
        <f t="shared" si="23"/>
        <v>0</v>
      </c>
    </row>
    <row r="1528" spans="1:9" x14ac:dyDescent="0.25">
      <c r="A1528" s="18" t="s">
        <v>5687</v>
      </c>
      <c r="B1528" s="4" t="s">
        <v>2968</v>
      </c>
      <c r="C1528" s="4" t="s">
        <v>48</v>
      </c>
      <c r="D1528" s="4" t="s">
        <v>3290</v>
      </c>
      <c r="E1528" s="9">
        <v>4.1533333333333333</v>
      </c>
      <c r="F1528" s="9">
        <v>12.46</v>
      </c>
      <c r="G1528" s="1" t="s">
        <v>5688</v>
      </c>
      <c r="H1528" s="1">
        <f>SUMIF([1]Sheet1!$G:$G,A1528,[1]Sheet1!$O:$O)</f>
        <v>12.46</v>
      </c>
      <c r="I1528" s="21">
        <f t="shared" si="23"/>
        <v>0</v>
      </c>
    </row>
    <row r="1529" spans="1:9" x14ac:dyDescent="0.25">
      <c r="A1529" s="18" t="s">
        <v>5821</v>
      </c>
      <c r="B1529" s="4" t="s">
        <v>2969</v>
      </c>
      <c r="C1529" s="4" t="s">
        <v>49</v>
      </c>
      <c r="D1529" s="4" t="s">
        <v>3290</v>
      </c>
      <c r="E1529" s="9">
        <v>3.3899999999999997</v>
      </c>
      <c r="F1529" s="9">
        <v>33.9</v>
      </c>
      <c r="G1529" s="1" t="s">
        <v>5822</v>
      </c>
      <c r="H1529" s="1">
        <f>SUMIF([1]Sheet1!$G:$G,A1529,[1]Sheet1!$O:$O)</f>
        <v>33.9</v>
      </c>
      <c r="I1529" s="21">
        <f t="shared" si="23"/>
        <v>0</v>
      </c>
    </row>
    <row r="1530" spans="1:9" x14ac:dyDescent="0.25">
      <c r="A1530" s="18" t="s">
        <v>5683</v>
      </c>
      <c r="B1530" s="4" t="s">
        <v>2970</v>
      </c>
      <c r="C1530" s="4" t="s">
        <v>50</v>
      </c>
      <c r="D1530" s="4" t="s">
        <v>3290</v>
      </c>
      <c r="E1530" s="9">
        <v>6.1276923076923078</v>
      </c>
      <c r="F1530" s="9">
        <v>79.66</v>
      </c>
      <c r="G1530" s="1" t="s">
        <v>5684</v>
      </c>
      <c r="H1530" s="1">
        <f>SUMIF([1]Sheet1!$G:$G,A1530,[1]Sheet1!$O:$O)</f>
        <v>79.66</v>
      </c>
      <c r="I1530" s="21">
        <f t="shared" si="23"/>
        <v>0</v>
      </c>
    </row>
    <row r="1531" spans="1:9" x14ac:dyDescent="0.25">
      <c r="A1531" s="18" t="s">
        <v>4047</v>
      </c>
      <c r="B1531" s="4" t="s">
        <v>2971</v>
      </c>
      <c r="C1531" s="4" t="s">
        <v>51</v>
      </c>
      <c r="D1531" s="4" t="s">
        <v>3290</v>
      </c>
      <c r="E1531" s="9">
        <v>110.37142857142858</v>
      </c>
      <c r="F1531" s="9">
        <v>2317.8000000000002</v>
      </c>
      <c r="G1531" s="1" t="s">
        <v>4048</v>
      </c>
      <c r="H1531" s="1">
        <f>SUMIF([1]Sheet1!$G:$G,A1531,[1]Sheet1!$O:$O)</f>
        <v>2317.8000000000002</v>
      </c>
      <c r="I1531" s="21">
        <f t="shared" si="23"/>
        <v>0</v>
      </c>
    </row>
    <row r="1532" spans="1:9" x14ac:dyDescent="0.25">
      <c r="A1532" s="18" t="s">
        <v>3725</v>
      </c>
      <c r="B1532" s="4" t="s">
        <v>2972</v>
      </c>
      <c r="C1532" s="4" t="s">
        <v>52</v>
      </c>
      <c r="D1532" s="4" t="s">
        <v>3290</v>
      </c>
      <c r="E1532" s="9">
        <v>245.76300000000001</v>
      </c>
      <c r="F1532" s="9">
        <v>2457.63</v>
      </c>
      <c r="G1532" s="1" t="s">
        <v>3726</v>
      </c>
      <c r="H1532" s="1">
        <f>SUMIF([1]Sheet1!$G:$G,A1532,[1]Sheet1!$O:$O)</f>
        <v>2457.63</v>
      </c>
      <c r="I1532" s="21">
        <f t="shared" si="23"/>
        <v>0</v>
      </c>
    </row>
    <row r="1533" spans="1:9" x14ac:dyDescent="0.25">
      <c r="A1533" s="18" t="s">
        <v>5432</v>
      </c>
      <c r="B1533" s="4" t="s">
        <v>3095</v>
      </c>
      <c r="C1533" s="4" t="s">
        <v>53</v>
      </c>
      <c r="D1533" s="4" t="s">
        <v>3290</v>
      </c>
      <c r="E1533" s="9">
        <v>498.83499999999998</v>
      </c>
      <c r="F1533" s="9">
        <v>997.67</v>
      </c>
      <c r="G1533" s="1" t="s">
        <v>5433</v>
      </c>
      <c r="H1533" s="1">
        <f>SUMIF([1]Sheet1!$G:$G,A1533,[1]Sheet1!$O:$O)</f>
        <v>997.67</v>
      </c>
      <c r="I1533" s="21">
        <f t="shared" si="23"/>
        <v>0</v>
      </c>
    </row>
    <row r="1534" spans="1:9" x14ac:dyDescent="0.25">
      <c r="A1534" s="18" t="s">
        <v>8346</v>
      </c>
      <c r="B1534" s="4" t="s">
        <v>2973</v>
      </c>
      <c r="C1534" s="4" t="s">
        <v>54</v>
      </c>
      <c r="D1534" s="4" t="s">
        <v>3290</v>
      </c>
      <c r="E1534" s="9">
        <v>121.675</v>
      </c>
      <c r="F1534" s="9">
        <v>730.05</v>
      </c>
      <c r="G1534" s="1" t="s">
        <v>8347</v>
      </c>
      <c r="H1534" s="1">
        <f>SUMIF([1]Sheet1!$G:$G,A1534,[1]Sheet1!$O:$O)</f>
        <v>730.05</v>
      </c>
      <c r="I1534" s="21">
        <f t="shared" si="23"/>
        <v>0</v>
      </c>
    </row>
    <row r="1535" spans="1:9" x14ac:dyDescent="0.25">
      <c r="A1535" s="18" t="s">
        <v>8348</v>
      </c>
      <c r="B1535" s="4" t="s">
        <v>2974</v>
      </c>
      <c r="C1535" s="4" t="s">
        <v>55</v>
      </c>
      <c r="D1535" s="4" t="s">
        <v>3290</v>
      </c>
      <c r="E1535" s="9">
        <v>113.56800000000001</v>
      </c>
      <c r="F1535" s="9">
        <v>567.84</v>
      </c>
      <c r="G1535" s="1" t="s">
        <v>8349</v>
      </c>
      <c r="H1535" s="1">
        <f>SUMIF([1]Sheet1!$G:$G,A1535,[1]Sheet1!$O:$O)</f>
        <v>567.84</v>
      </c>
      <c r="I1535" s="21">
        <f t="shared" si="23"/>
        <v>0</v>
      </c>
    </row>
    <row r="1536" spans="1:9" x14ac:dyDescent="0.25">
      <c r="A1536" s="18" t="s">
        <v>5999</v>
      </c>
      <c r="B1536" s="4" t="s">
        <v>2975</v>
      </c>
      <c r="C1536" s="4" t="s">
        <v>56</v>
      </c>
      <c r="D1536" s="4" t="s">
        <v>3289</v>
      </c>
      <c r="E1536" s="9">
        <v>15.678571428571429</v>
      </c>
      <c r="F1536" s="9">
        <v>43.9</v>
      </c>
      <c r="G1536" s="1" t="s">
        <v>6000</v>
      </c>
      <c r="H1536" s="1">
        <f>SUMIF([1]Sheet1!$G:$G,A1536,[1]Sheet1!$O:$O)</f>
        <v>43.9</v>
      </c>
      <c r="I1536" s="21">
        <f t="shared" si="23"/>
        <v>0</v>
      </c>
    </row>
    <row r="1537" spans="1:9" x14ac:dyDescent="0.25">
      <c r="A1537" s="18" t="s">
        <v>3756</v>
      </c>
      <c r="B1537" s="4" t="s">
        <v>2976</v>
      </c>
      <c r="C1537" s="4" t="s">
        <v>57</v>
      </c>
      <c r="D1537" s="4" t="s">
        <v>3290</v>
      </c>
      <c r="E1537" s="9">
        <v>1137.29</v>
      </c>
      <c r="F1537" s="9">
        <v>2274.58</v>
      </c>
      <c r="G1537" s="1" t="s">
        <v>3757</v>
      </c>
      <c r="H1537" s="1">
        <f>SUMIF([1]Sheet1!$G:$G,A1537,[1]Sheet1!$O:$O)</f>
        <v>2274.58</v>
      </c>
      <c r="I1537" s="21">
        <f t="shared" si="23"/>
        <v>0</v>
      </c>
    </row>
    <row r="1538" spans="1:9" x14ac:dyDescent="0.25">
      <c r="A1538" s="18" t="s">
        <v>11074</v>
      </c>
      <c r="B1538" s="4" t="s">
        <v>2977</v>
      </c>
      <c r="C1538" s="4" t="s">
        <v>58</v>
      </c>
      <c r="D1538" s="4" t="s">
        <v>3290</v>
      </c>
      <c r="E1538" s="9">
        <v>5.9325000000000001</v>
      </c>
      <c r="F1538" s="9">
        <v>23.73</v>
      </c>
      <c r="G1538" s="1" t="s">
        <v>11075</v>
      </c>
      <c r="H1538" s="1">
        <f>SUMIF([1]Sheet1!$G:$G,A1538,[1]Sheet1!$O:$O)</f>
        <v>23.73</v>
      </c>
      <c r="I1538" s="21">
        <f t="shared" si="23"/>
        <v>0</v>
      </c>
    </row>
    <row r="1539" spans="1:9" x14ac:dyDescent="0.25">
      <c r="A1539" s="18" t="s">
        <v>5174</v>
      </c>
      <c r="B1539" s="4" t="s">
        <v>3262</v>
      </c>
      <c r="C1539" s="4" t="s">
        <v>59</v>
      </c>
      <c r="D1539" s="4" t="s">
        <v>3290</v>
      </c>
      <c r="E1539" s="9">
        <v>4043.0533333333333</v>
      </c>
      <c r="F1539" s="9">
        <v>12129.16</v>
      </c>
      <c r="G1539" s="1" t="s">
        <v>5175</v>
      </c>
      <c r="H1539" s="1">
        <f>SUMIF([1]Sheet1!$G:$G,A1539,[1]Sheet1!$O:$O)</f>
        <v>12129.16</v>
      </c>
      <c r="I1539" s="21">
        <f t="shared" ref="I1539:I1602" si="24">F1539-H1539</f>
        <v>0</v>
      </c>
    </row>
    <row r="1540" spans="1:9" x14ac:dyDescent="0.25">
      <c r="A1540" s="18" t="s">
        <v>5170</v>
      </c>
      <c r="B1540" s="4" t="s">
        <v>3263</v>
      </c>
      <c r="C1540" s="4" t="s">
        <v>60</v>
      </c>
      <c r="D1540" s="4" t="s">
        <v>3290</v>
      </c>
      <c r="E1540" s="9">
        <v>2679.9250000000002</v>
      </c>
      <c r="F1540" s="9">
        <v>5359.85</v>
      </c>
      <c r="G1540" s="1" t="s">
        <v>5173</v>
      </c>
      <c r="H1540" s="1">
        <f>SUMIF([1]Sheet1!$G:$G,A1540,[1]Sheet1!$O:$O)</f>
        <v>5359.85</v>
      </c>
      <c r="I1540" s="21">
        <f t="shared" si="24"/>
        <v>0</v>
      </c>
    </row>
    <row r="1541" spans="1:9" x14ac:dyDescent="0.25">
      <c r="A1541" s="18" t="s">
        <v>3743</v>
      </c>
      <c r="B1541" s="4" t="s">
        <v>2978</v>
      </c>
      <c r="C1541" s="4" t="s">
        <v>61</v>
      </c>
      <c r="D1541" s="4" t="s">
        <v>3290</v>
      </c>
      <c r="E1541" s="9">
        <v>411.01666666666665</v>
      </c>
      <c r="F1541" s="9">
        <v>2466.1</v>
      </c>
      <c r="G1541" s="1" t="s">
        <v>3744</v>
      </c>
      <c r="H1541" s="1">
        <f>SUMIF([1]Sheet1!$G:$G,A1541,[1]Sheet1!$O:$O)</f>
        <v>2466.1</v>
      </c>
      <c r="I1541" s="21">
        <f t="shared" si="24"/>
        <v>0</v>
      </c>
    </row>
    <row r="1542" spans="1:9" x14ac:dyDescent="0.25">
      <c r="A1542" s="18" t="s">
        <v>3761</v>
      </c>
      <c r="B1542" s="4" t="s">
        <v>2979</v>
      </c>
      <c r="C1542" s="4" t="s">
        <v>62</v>
      </c>
      <c r="D1542" s="4" t="s">
        <v>3290</v>
      </c>
      <c r="E1542" s="9">
        <v>413.56</v>
      </c>
      <c r="F1542" s="9">
        <v>827.12</v>
      </c>
      <c r="G1542" s="1" t="s">
        <v>3762</v>
      </c>
      <c r="H1542" s="1">
        <f>SUMIF([1]Sheet1!$G:$G,A1542,[1]Sheet1!$O:$O)</f>
        <v>827.12</v>
      </c>
      <c r="I1542" s="21">
        <f t="shared" si="24"/>
        <v>0</v>
      </c>
    </row>
    <row r="1543" spans="1:9" x14ac:dyDescent="0.25">
      <c r="A1543" s="18" t="s">
        <v>3827</v>
      </c>
      <c r="B1543" s="4" t="s">
        <v>2980</v>
      </c>
      <c r="C1543" s="4" t="s">
        <v>63</v>
      </c>
      <c r="D1543" s="4" t="s">
        <v>3290</v>
      </c>
      <c r="E1543" s="9">
        <v>298.31</v>
      </c>
      <c r="F1543" s="9">
        <v>298.31</v>
      </c>
      <c r="G1543" s="1" t="s">
        <v>3828</v>
      </c>
      <c r="H1543" s="1">
        <f>SUMIF([1]Sheet1!$G:$G,A1543,[1]Sheet1!$O:$O)</f>
        <v>298.31</v>
      </c>
      <c r="I1543" s="21">
        <f t="shared" si="24"/>
        <v>0</v>
      </c>
    </row>
    <row r="1544" spans="1:9" x14ac:dyDescent="0.25">
      <c r="A1544" s="18" t="s">
        <v>5103</v>
      </c>
      <c r="B1544" s="4" t="s">
        <v>3096</v>
      </c>
      <c r="C1544" s="4" t="s">
        <v>64</v>
      </c>
      <c r="D1544" s="4" t="s">
        <v>3290</v>
      </c>
      <c r="E1544" s="9">
        <v>131.55000000000001</v>
      </c>
      <c r="F1544" s="9">
        <v>131.55000000000001</v>
      </c>
      <c r="G1544" s="1" t="s">
        <v>5104</v>
      </c>
      <c r="H1544" s="1">
        <f>SUMIF([1]Sheet1!$G:$G,A1544,[1]Sheet1!$O:$O)</f>
        <v>131.55000000000001</v>
      </c>
      <c r="I1544" s="21">
        <f t="shared" si="24"/>
        <v>0</v>
      </c>
    </row>
    <row r="1545" spans="1:9" x14ac:dyDescent="0.25">
      <c r="A1545" s="18" t="s">
        <v>3582</v>
      </c>
      <c r="B1545" s="4" t="s">
        <v>2981</v>
      </c>
      <c r="C1545" s="4" t="s">
        <v>65</v>
      </c>
      <c r="D1545" s="4" t="s">
        <v>3290</v>
      </c>
      <c r="E1545" s="9">
        <v>1250</v>
      </c>
      <c r="F1545" s="9">
        <v>2500</v>
      </c>
      <c r="G1545" s="1" t="s">
        <v>3585</v>
      </c>
      <c r="H1545" s="1">
        <f>SUMIF([1]Sheet1!$G:$G,A1545,[1]Sheet1!$O:$O)</f>
        <v>2500</v>
      </c>
      <c r="I1545" s="21">
        <f t="shared" si="24"/>
        <v>0</v>
      </c>
    </row>
    <row r="1546" spans="1:9" x14ac:dyDescent="0.25">
      <c r="A1546" s="18" t="s">
        <v>3586</v>
      </c>
      <c r="B1546" s="4" t="s">
        <v>2982</v>
      </c>
      <c r="C1546" s="4" t="s">
        <v>66</v>
      </c>
      <c r="D1546" s="4" t="s">
        <v>3290</v>
      </c>
      <c r="E1546" s="9">
        <v>1563.56</v>
      </c>
      <c r="F1546" s="9">
        <v>3127.12</v>
      </c>
      <c r="G1546" s="1" t="s">
        <v>3587</v>
      </c>
      <c r="H1546" s="1">
        <f>SUMIF([1]Sheet1!$G:$G,A1546,[1]Sheet1!$O:$O)</f>
        <v>3127.12</v>
      </c>
      <c r="I1546" s="21">
        <f t="shared" si="24"/>
        <v>0</v>
      </c>
    </row>
    <row r="1547" spans="1:9" x14ac:dyDescent="0.25">
      <c r="A1547" s="18" t="s">
        <v>3616</v>
      </c>
      <c r="B1547" s="4" t="s">
        <v>2983</v>
      </c>
      <c r="C1547" s="4" t="s">
        <v>67</v>
      </c>
      <c r="D1547" s="4" t="s">
        <v>3290</v>
      </c>
      <c r="E1547" s="9">
        <v>1949.1524999999999</v>
      </c>
      <c r="F1547" s="9">
        <v>7796.61</v>
      </c>
      <c r="G1547" s="1" t="s">
        <v>3617</v>
      </c>
      <c r="H1547" s="1">
        <f>SUMIF([1]Sheet1!$G:$G,A1547,[1]Sheet1!$O:$O)</f>
        <v>7796.61</v>
      </c>
      <c r="I1547" s="21">
        <f t="shared" si="24"/>
        <v>0</v>
      </c>
    </row>
    <row r="1548" spans="1:9" x14ac:dyDescent="0.25">
      <c r="A1548" s="18" t="s">
        <v>3588</v>
      </c>
      <c r="B1548" s="4" t="s">
        <v>2984</v>
      </c>
      <c r="C1548" s="4" t="s">
        <v>68</v>
      </c>
      <c r="D1548" s="4" t="s">
        <v>3290</v>
      </c>
      <c r="E1548" s="9">
        <v>2093.2199999999998</v>
      </c>
      <c r="F1548" s="9">
        <v>8372.8799999999992</v>
      </c>
      <c r="G1548" s="1" t="s">
        <v>3589</v>
      </c>
      <c r="H1548" s="1">
        <f>SUMIF([1]Sheet1!$G:$G,A1548,[1]Sheet1!$O:$O)</f>
        <v>8372.8799999999992</v>
      </c>
      <c r="I1548" s="21">
        <f t="shared" si="24"/>
        <v>0</v>
      </c>
    </row>
    <row r="1549" spans="1:9" x14ac:dyDescent="0.25">
      <c r="A1549" s="18" t="s">
        <v>5823</v>
      </c>
      <c r="B1549" s="4" t="s">
        <v>2985</v>
      </c>
      <c r="C1549" s="4" t="s">
        <v>69</v>
      </c>
      <c r="D1549" s="4" t="s">
        <v>3290</v>
      </c>
      <c r="E1549" s="9">
        <v>4.7409999999999997</v>
      </c>
      <c r="F1549" s="9">
        <v>47.41</v>
      </c>
      <c r="G1549" s="1" t="s">
        <v>5824</v>
      </c>
      <c r="H1549" s="1">
        <f>SUMIF([1]Sheet1!$G:$G,A1549,[1]Sheet1!$O:$O)</f>
        <v>47.41</v>
      </c>
      <c r="I1549" s="21">
        <f t="shared" si="24"/>
        <v>0</v>
      </c>
    </row>
    <row r="1550" spans="1:9" x14ac:dyDescent="0.25">
      <c r="A1550" s="18" t="s">
        <v>11114</v>
      </c>
      <c r="B1550" s="4" t="s">
        <v>2986</v>
      </c>
      <c r="C1550" s="4" t="s">
        <v>70</v>
      </c>
      <c r="D1550" s="4" t="s">
        <v>3290</v>
      </c>
      <c r="E1550" s="9">
        <v>6.1864705882352942</v>
      </c>
      <c r="F1550" s="9">
        <v>210.34</v>
      </c>
      <c r="G1550" s="1" t="s">
        <v>11116</v>
      </c>
      <c r="H1550" s="1">
        <f>SUMIF([1]Sheet1!$G:$G,A1550,[1]Sheet1!$O:$O)</f>
        <v>210.34</v>
      </c>
      <c r="I1550" s="21">
        <f t="shared" si="24"/>
        <v>0</v>
      </c>
    </row>
    <row r="1551" spans="1:9" x14ac:dyDescent="0.25">
      <c r="A1551" s="18" t="s">
        <v>6213</v>
      </c>
      <c r="B1551" s="4" t="s">
        <v>2987</v>
      </c>
      <c r="C1551" s="4" t="s">
        <v>71</v>
      </c>
      <c r="D1551" s="4" t="s">
        <v>3290</v>
      </c>
      <c r="E1551" s="9">
        <v>16.100000000000001</v>
      </c>
      <c r="F1551" s="9">
        <v>32.200000000000003</v>
      </c>
      <c r="G1551" s="1" t="s">
        <v>6216</v>
      </c>
      <c r="H1551" s="1">
        <f>SUMIF([1]Sheet1!$G:$G,A1551,[1]Sheet1!$O:$O)</f>
        <v>32.200000000000003</v>
      </c>
      <c r="I1551" s="21">
        <f t="shared" si="24"/>
        <v>0</v>
      </c>
    </row>
    <row r="1552" spans="1:9" x14ac:dyDescent="0.25">
      <c r="A1552" s="18" t="s">
        <v>5067</v>
      </c>
      <c r="B1552" s="4" t="s">
        <v>3097</v>
      </c>
      <c r="C1552" s="4" t="s">
        <v>72</v>
      </c>
      <c r="D1552" s="4" t="s">
        <v>3290</v>
      </c>
      <c r="E1552" s="9">
        <v>2139.6799999999998</v>
      </c>
      <c r="F1552" s="9">
        <v>2139.6799999999998</v>
      </c>
      <c r="G1552" s="1" t="s">
        <v>5068</v>
      </c>
      <c r="H1552" s="1">
        <f>SUMIF([1]Sheet1!$G:$G,A1552,[1]Sheet1!$O:$O)</f>
        <v>2139.6799999999998</v>
      </c>
      <c r="I1552" s="21">
        <f t="shared" si="24"/>
        <v>0</v>
      </c>
    </row>
    <row r="1553" spans="1:9" x14ac:dyDescent="0.25">
      <c r="A1553" s="18" t="s">
        <v>5355</v>
      </c>
      <c r="B1553" s="4" t="s">
        <v>2988</v>
      </c>
      <c r="C1553" s="4" t="s">
        <v>73</v>
      </c>
      <c r="D1553" s="4" t="s">
        <v>3290</v>
      </c>
      <c r="E1553" s="9">
        <v>27.118571428571432</v>
      </c>
      <c r="F1553" s="9">
        <v>189.83</v>
      </c>
      <c r="G1553" s="1" t="s">
        <v>5356</v>
      </c>
      <c r="H1553" s="1">
        <f>SUMIF([1]Sheet1!$G:$G,A1553,[1]Sheet1!$O:$O)</f>
        <v>189.83</v>
      </c>
      <c r="I1553" s="21">
        <f t="shared" si="24"/>
        <v>0</v>
      </c>
    </row>
    <row r="1554" spans="1:9" x14ac:dyDescent="0.25">
      <c r="A1554" s="18" t="s">
        <v>5351</v>
      </c>
      <c r="B1554" s="4" t="s">
        <v>2989</v>
      </c>
      <c r="C1554" s="4" t="s">
        <v>74</v>
      </c>
      <c r="D1554" s="4" t="s">
        <v>3290</v>
      </c>
      <c r="E1554" s="9">
        <v>27.118749999999999</v>
      </c>
      <c r="F1554" s="9">
        <v>433.9</v>
      </c>
      <c r="G1554" s="1" t="s">
        <v>5354</v>
      </c>
      <c r="H1554" s="1">
        <f>SUMIF([1]Sheet1!$G:$G,A1554,[1]Sheet1!$O:$O)</f>
        <v>433.9</v>
      </c>
      <c r="I1554" s="21">
        <f t="shared" si="24"/>
        <v>0</v>
      </c>
    </row>
    <row r="1555" spans="1:9" x14ac:dyDescent="0.25">
      <c r="A1555" s="18" t="s">
        <v>8768</v>
      </c>
      <c r="B1555" s="4" t="s">
        <v>3264</v>
      </c>
      <c r="C1555" s="4" t="s">
        <v>75</v>
      </c>
      <c r="D1555" s="4" t="s">
        <v>3290</v>
      </c>
      <c r="E1555" s="9">
        <v>326443.39</v>
      </c>
      <c r="F1555" s="9">
        <v>1958660.34</v>
      </c>
      <c r="G1555" s="1" t="s">
        <v>8769</v>
      </c>
      <c r="H1555" s="1">
        <f>SUMIF([1]Sheet1!$G:$G,A1555,[1]Sheet1!$O:$O)</f>
        <v>1904180.92</v>
      </c>
      <c r="I1555" s="21">
        <f t="shared" si="24"/>
        <v>54479.420000000158</v>
      </c>
    </row>
    <row r="1556" spans="1:9" x14ac:dyDescent="0.25">
      <c r="A1556" s="18" t="s">
        <v>5317</v>
      </c>
      <c r="B1556" s="4" t="s">
        <v>3265</v>
      </c>
      <c r="C1556" s="4" t="s">
        <v>76</v>
      </c>
      <c r="D1556" s="4" t="s">
        <v>3290</v>
      </c>
      <c r="E1556" s="9">
        <v>932.2</v>
      </c>
      <c r="F1556" s="9">
        <v>932.2</v>
      </c>
      <c r="G1556" s="1" t="s">
        <v>5318</v>
      </c>
      <c r="H1556" s="1">
        <f>SUMIF([1]Sheet1!$G:$G,A1556,[1]Sheet1!$O:$O)</f>
        <v>932.2</v>
      </c>
      <c r="I1556" s="21">
        <f t="shared" si="24"/>
        <v>0</v>
      </c>
    </row>
    <row r="1557" spans="1:9" x14ac:dyDescent="0.25">
      <c r="A1557" s="18" t="s">
        <v>5328</v>
      </c>
      <c r="B1557" s="4" t="s">
        <v>3266</v>
      </c>
      <c r="C1557" s="4" t="s">
        <v>77</v>
      </c>
      <c r="D1557" s="4" t="s">
        <v>3290</v>
      </c>
      <c r="E1557" s="9">
        <v>1016.95</v>
      </c>
      <c r="F1557" s="9">
        <v>2033.9</v>
      </c>
      <c r="G1557" s="1" t="s">
        <v>5329</v>
      </c>
      <c r="H1557" s="1">
        <f>SUMIF([1]Sheet1!$G:$G,A1557,[1]Sheet1!$O:$O)</f>
        <v>2033.9</v>
      </c>
      <c r="I1557" s="21">
        <f t="shared" si="24"/>
        <v>0</v>
      </c>
    </row>
    <row r="1558" spans="1:9" x14ac:dyDescent="0.25">
      <c r="A1558" s="18" t="s">
        <v>5330</v>
      </c>
      <c r="B1558" s="4" t="s">
        <v>3267</v>
      </c>
      <c r="C1558" s="4" t="s">
        <v>78</v>
      </c>
      <c r="D1558" s="4" t="s">
        <v>3290</v>
      </c>
      <c r="E1558" s="9">
        <v>1101.694375</v>
      </c>
      <c r="F1558" s="9">
        <v>17627.11</v>
      </c>
      <c r="G1558" s="1" t="s">
        <v>5331</v>
      </c>
      <c r="H1558" s="1">
        <f>SUMIF([1]Sheet1!$G:$G,A1558,[1]Sheet1!$O:$O)</f>
        <v>17627.11</v>
      </c>
      <c r="I1558" s="21">
        <f t="shared" si="24"/>
        <v>0</v>
      </c>
    </row>
    <row r="1559" spans="1:9" x14ac:dyDescent="0.25">
      <c r="A1559" s="18" t="s">
        <v>5332</v>
      </c>
      <c r="B1559" s="4" t="s">
        <v>3268</v>
      </c>
      <c r="C1559" s="4" t="s">
        <v>79</v>
      </c>
      <c r="D1559" s="4" t="s">
        <v>3290</v>
      </c>
      <c r="E1559" s="9">
        <v>1355.9316666666666</v>
      </c>
      <c r="F1559" s="9">
        <v>8135.59</v>
      </c>
      <c r="G1559" s="1" t="s">
        <v>5333</v>
      </c>
      <c r="H1559" s="1">
        <f>SUMIF([1]Sheet1!$G:$G,A1559,[1]Sheet1!$O:$O)</f>
        <v>8135.59</v>
      </c>
      <c r="I1559" s="21">
        <f t="shared" si="24"/>
        <v>0</v>
      </c>
    </row>
    <row r="1560" spans="1:9" x14ac:dyDescent="0.25">
      <c r="A1560" s="18" t="s">
        <v>5347</v>
      </c>
      <c r="B1560" s="4" t="s">
        <v>3269</v>
      </c>
      <c r="C1560" s="4" t="s">
        <v>80</v>
      </c>
      <c r="D1560" s="4" t="s">
        <v>3290</v>
      </c>
      <c r="E1560" s="9">
        <v>1694.9180000000001</v>
      </c>
      <c r="F1560" s="9">
        <v>16949.18</v>
      </c>
      <c r="G1560" s="1" t="s">
        <v>5348</v>
      </c>
      <c r="H1560" s="1">
        <f>SUMIF([1]Sheet1!$G:$G,A1560,[1]Sheet1!$O:$O)</f>
        <v>16949.18</v>
      </c>
      <c r="I1560" s="21">
        <f t="shared" si="24"/>
        <v>0</v>
      </c>
    </row>
    <row r="1561" spans="1:9" x14ac:dyDescent="0.25">
      <c r="A1561" s="18" t="s">
        <v>5307</v>
      </c>
      <c r="B1561" s="4" t="s">
        <v>3270</v>
      </c>
      <c r="C1561" s="4" t="s">
        <v>81</v>
      </c>
      <c r="D1561" s="4" t="s">
        <v>3290</v>
      </c>
      <c r="E1561" s="9">
        <v>2118.6424999999999</v>
      </c>
      <c r="F1561" s="9">
        <v>8474.57</v>
      </c>
      <c r="G1561" s="1" t="s">
        <v>5310</v>
      </c>
      <c r="H1561" s="1">
        <f>SUMIF([1]Sheet1!$G:$G,A1561,[1]Sheet1!$O:$O)</f>
        <v>8474.57</v>
      </c>
      <c r="I1561" s="21">
        <f t="shared" si="24"/>
        <v>0</v>
      </c>
    </row>
    <row r="1562" spans="1:9" x14ac:dyDescent="0.25">
      <c r="A1562" s="18" t="s">
        <v>4856</v>
      </c>
      <c r="B1562" s="4" t="s">
        <v>3271</v>
      </c>
      <c r="C1562" s="4" t="s">
        <v>82</v>
      </c>
      <c r="D1562" s="4" t="s">
        <v>3290</v>
      </c>
      <c r="E1562" s="9">
        <v>507.625</v>
      </c>
      <c r="F1562" s="9">
        <v>1015.25</v>
      </c>
      <c r="G1562" s="1" t="s">
        <v>4859</v>
      </c>
      <c r="H1562" s="1">
        <f>SUMIF([1]Sheet1!$G:$G,A1562,[1]Sheet1!$O:$O)</f>
        <v>1015.25</v>
      </c>
      <c r="I1562" s="21">
        <f t="shared" si="24"/>
        <v>0</v>
      </c>
    </row>
    <row r="1563" spans="1:9" x14ac:dyDescent="0.25">
      <c r="A1563" s="18" t="s">
        <v>5722</v>
      </c>
      <c r="B1563" s="4" t="s">
        <v>2990</v>
      </c>
      <c r="C1563" s="4" t="s">
        <v>83</v>
      </c>
      <c r="D1563" s="4" t="s">
        <v>3289</v>
      </c>
      <c r="E1563" s="9">
        <v>1.7656501182033097</v>
      </c>
      <c r="F1563" s="9">
        <v>746.87</v>
      </c>
      <c r="G1563" s="1" t="s">
        <v>5723</v>
      </c>
      <c r="H1563" s="1">
        <f>SUMIF([1]Sheet1!$G:$G,A1563,[1]Sheet1!$O:$O)</f>
        <v>570.32000000000005</v>
      </c>
      <c r="I1563" s="21">
        <f t="shared" si="24"/>
        <v>176.54999999999995</v>
      </c>
    </row>
    <row r="1564" spans="1:9" x14ac:dyDescent="0.25">
      <c r="A1564" s="18" t="s">
        <v>8810</v>
      </c>
      <c r="B1564" s="4" t="s">
        <v>2991</v>
      </c>
      <c r="C1564" s="4" t="s">
        <v>84</v>
      </c>
      <c r="D1564" s="4" t="s">
        <v>3290</v>
      </c>
      <c r="E1564" s="9">
        <v>211.86399999999998</v>
      </c>
      <c r="F1564" s="9">
        <v>1059.32</v>
      </c>
      <c r="G1564" s="1" t="s">
        <v>8811</v>
      </c>
      <c r="H1564" s="1">
        <f>SUMIF([1]Sheet1!$G:$G,A1564,[1]Sheet1!$O:$O)</f>
        <v>1059.32</v>
      </c>
      <c r="I1564" s="21">
        <f t="shared" si="24"/>
        <v>0</v>
      </c>
    </row>
    <row r="1565" spans="1:9" x14ac:dyDescent="0.25">
      <c r="A1565" s="18" t="s">
        <v>11278</v>
      </c>
      <c r="B1565" s="4" t="s">
        <v>2992</v>
      </c>
      <c r="C1565" s="4" t="s">
        <v>85</v>
      </c>
      <c r="D1565" s="4" t="s">
        <v>3290</v>
      </c>
      <c r="E1565" s="9">
        <v>25.42</v>
      </c>
      <c r="F1565" s="9">
        <v>25.42</v>
      </c>
      <c r="G1565" s="1" t="s">
        <v>11279</v>
      </c>
      <c r="H1565" s="1">
        <f>SUMIF([1]Sheet1!$G:$G,A1565,[1]Sheet1!$O:$O)</f>
        <v>25.42</v>
      </c>
      <c r="I1565" s="21">
        <f t="shared" si="24"/>
        <v>0</v>
      </c>
    </row>
    <row r="1566" spans="1:9" x14ac:dyDescent="0.25">
      <c r="A1566" s="18" t="s">
        <v>4371</v>
      </c>
      <c r="B1566" s="4" t="s">
        <v>2993</v>
      </c>
      <c r="C1566" s="4" t="s">
        <v>86</v>
      </c>
      <c r="D1566" s="4" t="s">
        <v>3290</v>
      </c>
      <c r="E1566" s="9">
        <v>10.17</v>
      </c>
      <c r="F1566" s="9">
        <v>20.34</v>
      </c>
      <c r="G1566" s="1" t="s">
        <v>4372</v>
      </c>
      <c r="H1566" s="1">
        <f>SUMIF([1]Sheet1!$G:$G,A1566,[1]Sheet1!$O:$O)</f>
        <v>20.34</v>
      </c>
      <c r="I1566" s="21">
        <f t="shared" si="24"/>
        <v>0</v>
      </c>
    </row>
    <row r="1567" spans="1:9" x14ac:dyDescent="0.25">
      <c r="A1567" s="18" t="s">
        <v>7733</v>
      </c>
      <c r="B1567" s="4" t="s">
        <v>2994</v>
      </c>
      <c r="C1567" s="4" t="s">
        <v>87</v>
      </c>
      <c r="D1567" s="4" t="s">
        <v>3290</v>
      </c>
      <c r="E1567" s="9">
        <v>447.33583333333331</v>
      </c>
      <c r="F1567" s="9">
        <v>5368.03</v>
      </c>
      <c r="G1567" s="1" t="s">
        <v>7734</v>
      </c>
      <c r="H1567" s="1">
        <f>SUMIF([1]Sheet1!$G:$G,A1567,[1]Sheet1!$O:$O)</f>
        <v>5368.03</v>
      </c>
      <c r="I1567" s="21">
        <f t="shared" si="24"/>
        <v>0</v>
      </c>
    </row>
    <row r="1568" spans="1:9" x14ac:dyDescent="0.25">
      <c r="A1568" s="18" t="s">
        <v>5810</v>
      </c>
      <c r="B1568" s="4" t="s">
        <v>2995</v>
      </c>
      <c r="C1568" s="4" t="s">
        <v>88</v>
      </c>
      <c r="D1568" s="4" t="s">
        <v>3290</v>
      </c>
      <c r="E1568" s="9">
        <v>2.9649999999999999</v>
      </c>
      <c r="F1568" s="9">
        <v>11.86</v>
      </c>
      <c r="G1568" s="1" t="s">
        <v>5811</v>
      </c>
      <c r="H1568" s="1">
        <f>SUMIF([1]Sheet1!$G:$G,A1568,[1]Sheet1!$O:$O)</f>
        <v>11.86</v>
      </c>
      <c r="I1568" s="21">
        <f t="shared" si="24"/>
        <v>0</v>
      </c>
    </row>
    <row r="1569" spans="1:9" x14ac:dyDescent="0.25">
      <c r="A1569" s="18" t="s">
        <v>5705</v>
      </c>
      <c r="B1569" s="4" t="s">
        <v>2996</v>
      </c>
      <c r="C1569" s="4" t="s">
        <v>89</v>
      </c>
      <c r="D1569" s="4" t="s">
        <v>3289</v>
      </c>
      <c r="E1569" s="9">
        <v>1.3559000000000001</v>
      </c>
      <c r="F1569" s="9">
        <v>135.59</v>
      </c>
      <c r="G1569" s="1" t="s">
        <v>5706</v>
      </c>
      <c r="H1569" s="1">
        <f>SUMIF([1]Sheet1!$G:$G,A1569,[1]Sheet1!$O:$O)</f>
        <v>135.59</v>
      </c>
      <c r="I1569" s="21">
        <f t="shared" si="24"/>
        <v>0</v>
      </c>
    </row>
    <row r="1570" spans="1:9" x14ac:dyDescent="0.25">
      <c r="A1570" s="18" t="s">
        <v>9493</v>
      </c>
      <c r="B1570" s="4" t="s">
        <v>2997</v>
      </c>
      <c r="C1570" s="4" t="s">
        <v>90</v>
      </c>
      <c r="D1570" s="4" t="s">
        <v>3290</v>
      </c>
      <c r="E1570" s="9">
        <v>5.1000000000000004E-2</v>
      </c>
      <c r="F1570" s="9">
        <v>1.02</v>
      </c>
      <c r="G1570" s="1" t="s">
        <v>9494</v>
      </c>
      <c r="H1570" s="1">
        <f>SUMIF([1]Sheet1!$G:$G,A1570,[1]Sheet1!$O:$O)</f>
        <v>1.02</v>
      </c>
      <c r="I1570" s="21">
        <f t="shared" si="24"/>
        <v>0</v>
      </c>
    </row>
    <row r="1571" spans="1:9" x14ac:dyDescent="0.25">
      <c r="A1571" s="18" t="s">
        <v>5662</v>
      </c>
      <c r="B1571" s="4" t="s">
        <v>3272</v>
      </c>
      <c r="C1571" s="4" t="s">
        <v>91</v>
      </c>
      <c r="D1571" s="4" t="s">
        <v>3290</v>
      </c>
      <c r="E1571" s="9">
        <v>6347.4549999999999</v>
      </c>
      <c r="F1571" s="9">
        <v>25389.82</v>
      </c>
      <c r="G1571" s="1" t="s">
        <v>5663</v>
      </c>
      <c r="H1571" s="1">
        <f>SUMIF([1]Sheet1!$G:$G,A1571,[1]Sheet1!$O:$O)</f>
        <v>0</v>
      </c>
      <c r="I1571" s="21">
        <f t="shared" si="24"/>
        <v>25389.82</v>
      </c>
    </row>
    <row r="1572" spans="1:9" x14ac:dyDescent="0.25">
      <c r="A1572" s="18" t="s">
        <v>9404</v>
      </c>
      <c r="B1572" s="4" t="s">
        <v>2998</v>
      </c>
      <c r="C1572" s="4" t="s">
        <v>92</v>
      </c>
      <c r="D1572" s="4" t="s">
        <v>3290</v>
      </c>
      <c r="E1572" s="9">
        <v>9.1524999999999999</v>
      </c>
      <c r="F1572" s="9">
        <v>585.76</v>
      </c>
      <c r="G1572" s="1" t="s">
        <v>9405</v>
      </c>
      <c r="H1572" s="1">
        <f>SUMIF([1]Sheet1!$G:$G,A1572,[1]Sheet1!$O:$O)</f>
        <v>585.76</v>
      </c>
      <c r="I1572" s="21">
        <f t="shared" si="24"/>
        <v>0</v>
      </c>
    </row>
    <row r="1573" spans="1:9" x14ac:dyDescent="0.25">
      <c r="A1573" s="18" t="s">
        <v>9402</v>
      </c>
      <c r="B1573" s="4" t="s">
        <v>2999</v>
      </c>
      <c r="C1573" s="4" t="s">
        <v>93</v>
      </c>
      <c r="D1573" s="4" t="s">
        <v>3290</v>
      </c>
      <c r="E1573" s="9">
        <v>8.9880701754385974</v>
      </c>
      <c r="F1573" s="9">
        <v>512.32000000000005</v>
      </c>
      <c r="G1573" s="1" t="s">
        <v>9403</v>
      </c>
      <c r="H1573" s="1">
        <f>SUMIF([1]Sheet1!$G:$G,A1573,[1]Sheet1!$O:$O)</f>
        <v>512.32000000000005</v>
      </c>
      <c r="I1573" s="21">
        <f t="shared" si="24"/>
        <v>0</v>
      </c>
    </row>
    <row r="1574" spans="1:9" x14ac:dyDescent="0.25">
      <c r="A1574" s="18" t="s">
        <v>4926</v>
      </c>
      <c r="B1574" s="4" t="s">
        <v>3273</v>
      </c>
      <c r="C1574" s="4" t="s">
        <v>94</v>
      </c>
      <c r="D1574" s="4" t="s">
        <v>3290</v>
      </c>
      <c r="E1574" s="9">
        <v>58474.58</v>
      </c>
      <c r="F1574" s="9">
        <v>116949.16</v>
      </c>
      <c r="G1574" s="1" t="s">
        <v>4927</v>
      </c>
      <c r="H1574" s="1">
        <f>SUMIF([1]Sheet1!$G:$G,A1574,[1]Sheet1!$O:$O)</f>
        <v>116949.16</v>
      </c>
      <c r="I1574" s="21">
        <f t="shared" si="24"/>
        <v>0</v>
      </c>
    </row>
    <row r="1575" spans="1:9" x14ac:dyDescent="0.25">
      <c r="A1575" s="18" t="s">
        <v>5909</v>
      </c>
      <c r="B1575" s="4" t="s">
        <v>3000</v>
      </c>
      <c r="C1575" s="4" t="s">
        <v>95</v>
      </c>
      <c r="D1575" s="4" t="s">
        <v>3290</v>
      </c>
      <c r="E1575" s="9">
        <v>2796.63</v>
      </c>
      <c r="F1575" s="9">
        <v>5593.26</v>
      </c>
      <c r="G1575" s="1" t="s">
        <v>5910</v>
      </c>
      <c r="H1575" s="1">
        <f>SUMIF([1]Sheet1!$G:$G,A1575,[1]Sheet1!$O:$O)</f>
        <v>5593.26</v>
      </c>
      <c r="I1575" s="21">
        <f t="shared" si="24"/>
        <v>0</v>
      </c>
    </row>
    <row r="1576" spans="1:9" x14ac:dyDescent="0.25">
      <c r="A1576" s="18" t="s">
        <v>7545</v>
      </c>
      <c r="B1576" s="4" t="s">
        <v>3001</v>
      </c>
      <c r="C1576" s="4" t="s">
        <v>96</v>
      </c>
      <c r="D1576" s="4" t="s">
        <v>3289</v>
      </c>
      <c r="E1576" s="9">
        <v>63.559325044404979</v>
      </c>
      <c r="F1576" s="9">
        <v>71567.8</v>
      </c>
      <c r="G1576" s="1" t="s">
        <v>7546</v>
      </c>
      <c r="H1576" s="1">
        <f>SUMIF([1]Sheet1!$G:$G,A1576,[1]Sheet1!$O:$O)</f>
        <v>71567.77</v>
      </c>
      <c r="I1576" s="21">
        <f t="shared" si="24"/>
        <v>2.9999999998835847E-2</v>
      </c>
    </row>
    <row r="1577" spans="1:9" x14ac:dyDescent="0.25">
      <c r="A1577" s="18" t="s">
        <v>3691</v>
      </c>
      <c r="B1577" s="4" t="s">
        <v>3002</v>
      </c>
      <c r="C1577" s="4" t="s">
        <v>97</v>
      </c>
      <c r="D1577" s="4" t="s">
        <v>3290</v>
      </c>
      <c r="E1577" s="9">
        <v>120.49600000000001</v>
      </c>
      <c r="F1577" s="9">
        <v>1204.96</v>
      </c>
      <c r="G1577" s="1" t="s">
        <v>3692</v>
      </c>
      <c r="H1577" s="1">
        <f>SUMIF([1]Sheet1!$G:$G,A1577,[1]Sheet1!$O:$O)</f>
        <v>1204.96</v>
      </c>
      <c r="I1577" s="21">
        <f t="shared" si="24"/>
        <v>0</v>
      </c>
    </row>
    <row r="1578" spans="1:9" x14ac:dyDescent="0.25">
      <c r="A1578" s="18" t="s">
        <v>3701</v>
      </c>
      <c r="B1578" s="4" t="s">
        <v>3003</v>
      </c>
      <c r="C1578" s="4" t="s">
        <v>98</v>
      </c>
      <c r="D1578" s="4" t="s">
        <v>3290</v>
      </c>
      <c r="E1578" s="9">
        <v>226.27</v>
      </c>
      <c r="F1578" s="9">
        <v>452.54</v>
      </c>
      <c r="G1578" s="1" t="s">
        <v>3702</v>
      </c>
      <c r="H1578" s="1">
        <f>SUMIF([1]Sheet1!$G:$G,A1578,[1]Sheet1!$O:$O)</f>
        <v>452.54</v>
      </c>
      <c r="I1578" s="21">
        <f t="shared" si="24"/>
        <v>0</v>
      </c>
    </row>
    <row r="1579" spans="1:9" x14ac:dyDescent="0.25">
      <c r="A1579" s="18" t="s">
        <v>3699</v>
      </c>
      <c r="B1579" s="4" t="s">
        <v>3004</v>
      </c>
      <c r="C1579" s="4" t="s">
        <v>99</v>
      </c>
      <c r="D1579" s="4" t="s">
        <v>3290</v>
      </c>
      <c r="E1579" s="9">
        <v>151.64916666666667</v>
      </c>
      <c r="F1579" s="9">
        <v>1819.79</v>
      </c>
      <c r="G1579" s="1" t="s">
        <v>3700</v>
      </c>
      <c r="H1579" s="1">
        <f>SUMIF([1]Sheet1!$G:$G,A1579,[1]Sheet1!$O:$O)</f>
        <v>1819.79</v>
      </c>
      <c r="I1579" s="21">
        <f t="shared" si="24"/>
        <v>0</v>
      </c>
    </row>
    <row r="1580" spans="1:9" x14ac:dyDescent="0.25">
      <c r="A1580" s="18" t="s">
        <v>3729</v>
      </c>
      <c r="B1580" s="4" t="s">
        <v>3005</v>
      </c>
      <c r="C1580" s="4" t="s">
        <v>100</v>
      </c>
      <c r="D1580" s="4" t="s">
        <v>3290</v>
      </c>
      <c r="E1580" s="9">
        <v>337.29</v>
      </c>
      <c r="F1580" s="9">
        <v>674.58</v>
      </c>
      <c r="G1580" s="1" t="s">
        <v>3730</v>
      </c>
      <c r="H1580" s="1">
        <f>SUMIF([1]Sheet1!$G:$G,A1580,[1]Sheet1!$O:$O)</f>
        <v>674.58</v>
      </c>
      <c r="I1580" s="21">
        <f t="shared" si="24"/>
        <v>0</v>
      </c>
    </row>
    <row r="1581" spans="1:9" x14ac:dyDescent="0.25">
      <c r="A1581" s="18" t="s">
        <v>3693</v>
      </c>
      <c r="B1581" s="4" t="s">
        <v>3006</v>
      </c>
      <c r="C1581" s="4" t="s">
        <v>101</v>
      </c>
      <c r="D1581" s="4" t="s">
        <v>3290</v>
      </c>
      <c r="E1581" s="9">
        <v>182.20249999999999</v>
      </c>
      <c r="F1581" s="9">
        <v>728.81</v>
      </c>
      <c r="G1581" s="1" t="s">
        <v>3694</v>
      </c>
      <c r="H1581" s="1">
        <f>SUMIF([1]Sheet1!$G:$G,A1581,[1]Sheet1!$O:$O)</f>
        <v>728.81</v>
      </c>
      <c r="I1581" s="21">
        <f t="shared" si="24"/>
        <v>0</v>
      </c>
    </row>
    <row r="1582" spans="1:9" x14ac:dyDescent="0.25">
      <c r="A1582" s="18" t="s">
        <v>3689</v>
      </c>
      <c r="B1582" s="4" t="s">
        <v>3007</v>
      </c>
      <c r="C1582" s="4" t="s">
        <v>102</v>
      </c>
      <c r="D1582" s="4" t="s">
        <v>3290</v>
      </c>
      <c r="E1582" s="9">
        <v>761.86500000000001</v>
      </c>
      <c r="F1582" s="9">
        <v>1523.73</v>
      </c>
      <c r="G1582" s="1" t="s">
        <v>3690</v>
      </c>
      <c r="H1582" s="1">
        <f>SUMIF([1]Sheet1!$G:$G,A1582,[1]Sheet1!$O:$O)</f>
        <v>1523.73</v>
      </c>
      <c r="I1582" s="21">
        <f t="shared" si="24"/>
        <v>0</v>
      </c>
    </row>
    <row r="1583" spans="1:9" x14ac:dyDescent="0.25">
      <c r="A1583" s="18" t="s">
        <v>3653</v>
      </c>
      <c r="B1583" s="4" t="s">
        <v>3008</v>
      </c>
      <c r="C1583" s="4" t="s">
        <v>103</v>
      </c>
      <c r="D1583" s="4" t="s">
        <v>3290</v>
      </c>
      <c r="E1583" s="9">
        <v>215.255</v>
      </c>
      <c r="F1583" s="9">
        <v>430.51</v>
      </c>
      <c r="G1583" s="1" t="s">
        <v>3656</v>
      </c>
      <c r="H1583" s="1">
        <f>SUMIF([1]Sheet1!$G:$G,A1583,[1]Sheet1!$O:$O)</f>
        <v>430.51</v>
      </c>
      <c r="I1583" s="21">
        <f t="shared" si="24"/>
        <v>0</v>
      </c>
    </row>
    <row r="1584" spans="1:9" x14ac:dyDescent="0.25">
      <c r="A1584" s="18" t="s">
        <v>3657</v>
      </c>
      <c r="B1584" s="4" t="s">
        <v>3009</v>
      </c>
      <c r="C1584" s="4" t="s">
        <v>104</v>
      </c>
      <c r="D1584" s="4" t="s">
        <v>3290</v>
      </c>
      <c r="E1584" s="9">
        <v>423.73</v>
      </c>
      <c r="F1584" s="9">
        <v>1694.92</v>
      </c>
      <c r="G1584" s="1" t="s">
        <v>3658</v>
      </c>
      <c r="H1584" s="1">
        <f>SUMIF([1]Sheet1!$G:$G,A1584,[1]Sheet1!$O:$O)</f>
        <v>1694.92</v>
      </c>
      <c r="I1584" s="21">
        <f t="shared" si="24"/>
        <v>0</v>
      </c>
    </row>
    <row r="1585" spans="1:9" x14ac:dyDescent="0.25">
      <c r="A1585" s="18" t="s">
        <v>3469</v>
      </c>
      <c r="B1585" s="4" t="s">
        <v>3010</v>
      </c>
      <c r="C1585" s="4" t="s">
        <v>105</v>
      </c>
      <c r="D1585" s="4" t="s">
        <v>3290</v>
      </c>
      <c r="E1585" s="9">
        <v>126.27</v>
      </c>
      <c r="F1585" s="9">
        <v>126.27</v>
      </c>
      <c r="G1585" s="1" t="s">
        <v>3470</v>
      </c>
      <c r="H1585" s="1">
        <f>SUMIF([1]Sheet1!$G:$G,A1585,[1]Sheet1!$O:$O)</f>
        <v>126.27</v>
      </c>
      <c r="I1585" s="21">
        <f t="shared" si="24"/>
        <v>0</v>
      </c>
    </row>
    <row r="1586" spans="1:9" x14ac:dyDescent="0.25">
      <c r="A1586" s="18" t="s">
        <v>3450</v>
      </c>
      <c r="B1586" s="4" t="s">
        <v>3011</v>
      </c>
      <c r="C1586" s="4" t="s">
        <v>106</v>
      </c>
      <c r="D1586" s="4" t="s">
        <v>3290</v>
      </c>
      <c r="E1586" s="9">
        <v>381.35500000000002</v>
      </c>
      <c r="F1586" s="9">
        <v>1525.42</v>
      </c>
      <c r="G1586" s="1" t="s">
        <v>3451</v>
      </c>
      <c r="H1586" s="1">
        <f>SUMIF([1]Sheet1!$G:$G,A1586,[1]Sheet1!$O:$O)</f>
        <v>1525.42</v>
      </c>
      <c r="I1586" s="21">
        <f t="shared" si="24"/>
        <v>0</v>
      </c>
    </row>
    <row r="1587" spans="1:9" x14ac:dyDescent="0.25">
      <c r="A1587" s="18" t="s">
        <v>11302</v>
      </c>
      <c r="B1587" s="4" t="s">
        <v>3012</v>
      </c>
      <c r="C1587" s="4" t="s">
        <v>107</v>
      </c>
      <c r="D1587" s="4" t="s">
        <v>3290</v>
      </c>
      <c r="E1587" s="9">
        <v>118.64500000000001</v>
      </c>
      <c r="F1587" s="9">
        <v>1186.45</v>
      </c>
      <c r="G1587" s="1" t="s">
        <v>11303</v>
      </c>
      <c r="H1587" s="1">
        <f>SUMIF([1]Sheet1!$G:$G,A1587,[1]Sheet1!$O:$O)</f>
        <v>1186.45</v>
      </c>
      <c r="I1587" s="21">
        <f t="shared" si="24"/>
        <v>0</v>
      </c>
    </row>
    <row r="1588" spans="1:9" x14ac:dyDescent="0.25">
      <c r="A1588" s="18" t="s">
        <v>8243</v>
      </c>
      <c r="B1588" s="4" t="s">
        <v>3098</v>
      </c>
      <c r="C1588" s="4" t="s">
        <v>108</v>
      </c>
      <c r="D1588" s="4" t="s">
        <v>3290</v>
      </c>
      <c r="E1588" s="9">
        <v>8801.3940000000002</v>
      </c>
      <c r="F1588" s="9">
        <v>44006.97</v>
      </c>
      <c r="G1588" s="1" t="s">
        <v>8246</v>
      </c>
      <c r="H1588" s="1">
        <f>SUMIF([1]Sheet1!$G:$G,A1588,[1]Sheet1!$O:$O)</f>
        <v>44006.97</v>
      </c>
      <c r="I1588" s="21">
        <f t="shared" si="24"/>
        <v>0</v>
      </c>
    </row>
    <row r="1589" spans="1:9" x14ac:dyDescent="0.25">
      <c r="A1589" s="18" t="s">
        <v>10973</v>
      </c>
      <c r="B1589" s="4" t="s">
        <v>3013</v>
      </c>
      <c r="C1589" s="4" t="s">
        <v>109</v>
      </c>
      <c r="D1589" s="4" t="s">
        <v>3296</v>
      </c>
      <c r="E1589" s="9">
        <v>27.27</v>
      </c>
      <c r="F1589" s="9">
        <v>27.27</v>
      </c>
      <c r="G1589" s="1" t="s">
        <v>10974</v>
      </c>
      <c r="H1589" s="1">
        <f>SUMIF([1]Sheet1!$G:$G,A1589,[1]Sheet1!$O:$O)</f>
        <v>27.27</v>
      </c>
      <c r="I1589" s="21">
        <f t="shared" si="24"/>
        <v>0</v>
      </c>
    </row>
    <row r="1590" spans="1:9" x14ac:dyDescent="0.25">
      <c r="A1590" s="18" t="s">
        <v>6258</v>
      </c>
      <c r="B1590" s="4" t="s">
        <v>3274</v>
      </c>
      <c r="C1590" s="4" t="s">
        <v>110</v>
      </c>
      <c r="D1590" s="4" t="s">
        <v>3290</v>
      </c>
      <c r="E1590" s="9">
        <v>169.49250000000001</v>
      </c>
      <c r="F1590" s="9">
        <v>677.97</v>
      </c>
      <c r="G1590" s="1" t="s">
        <v>6259</v>
      </c>
      <c r="H1590" s="1">
        <f>SUMIF([1]Sheet1!$G:$G,A1590,[1]Sheet1!$O:$O)</f>
        <v>677.97</v>
      </c>
      <c r="I1590" s="21">
        <f t="shared" si="24"/>
        <v>0</v>
      </c>
    </row>
    <row r="1591" spans="1:9" x14ac:dyDescent="0.25">
      <c r="A1591" s="18" t="s">
        <v>9355</v>
      </c>
      <c r="B1591" s="4" t="s">
        <v>3014</v>
      </c>
      <c r="C1591" s="4" t="s">
        <v>111</v>
      </c>
      <c r="D1591" s="4" t="s">
        <v>3290</v>
      </c>
      <c r="E1591" s="9">
        <v>300.84750000000003</v>
      </c>
      <c r="F1591" s="9">
        <v>14440.68</v>
      </c>
      <c r="G1591" s="1" t="s">
        <v>9356</v>
      </c>
      <c r="H1591" s="1">
        <f>SUMIF([1]Sheet1!$G:$G,A1591,[1]Sheet1!$O:$O)</f>
        <v>14440.68</v>
      </c>
      <c r="I1591" s="21">
        <f t="shared" si="24"/>
        <v>0</v>
      </c>
    </row>
    <row r="1592" spans="1:9" x14ac:dyDescent="0.25">
      <c r="A1592" s="18" t="s">
        <v>10772</v>
      </c>
      <c r="B1592" s="4" t="s">
        <v>3015</v>
      </c>
      <c r="C1592" s="4" t="s">
        <v>112</v>
      </c>
      <c r="D1592" s="4" t="s">
        <v>3290</v>
      </c>
      <c r="E1592" s="9">
        <v>80.084791666666675</v>
      </c>
      <c r="F1592" s="9">
        <v>7688.1400000000012</v>
      </c>
      <c r="G1592" s="1" t="s">
        <v>10773</v>
      </c>
      <c r="H1592" s="1">
        <f>SUMIF([1]Sheet1!$G:$G,A1592,[1]Sheet1!$O:$O)</f>
        <v>7688.14</v>
      </c>
      <c r="I1592" s="21">
        <f t="shared" si="24"/>
        <v>0</v>
      </c>
    </row>
    <row r="1593" spans="1:9" x14ac:dyDescent="0.25">
      <c r="A1593" s="18" t="s">
        <v>9479</v>
      </c>
      <c r="B1593" s="4" t="s">
        <v>3016</v>
      </c>
      <c r="C1593" s="4" t="s">
        <v>113</v>
      </c>
      <c r="D1593" s="4" t="s">
        <v>3290</v>
      </c>
      <c r="E1593" s="9">
        <v>5.5084374999999994</v>
      </c>
      <c r="F1593" s="9">
        <v>528.80999999999995</v>
      </c>
      <c r="G1593" s="1" t="s">
        <v>9480</v>
      </c>
      <c r="H1593" s="1">
        <f>SUMIF([1]Sheet1!$G:$G,A1593,[1]Sheet1!$O:$O)</f>
        <v>528.80999999999995</v>
      </c>
      <c r="I1593" s="21">
        <f t="shared" si="24"/>
        <v>0</v>
      </c>
    </row>
    <row r="1594" spans="1:9" x14ac:dyDescent="0.25">
      <c r="A1594" s="18" t="s">
        <v>9539</v>
      </c>
      <c r="B1594" s="4" t="s">
        <v>3017</v>
      </c>
      <c r="C1594" s="4" t="s">
        <v>114</v>
      </c>
      <c r="D1594" s="4" t="s">
        <v>3290</v>
      </c>
      <c r="E1594" s="9">
        <v>36.864375000000003</v>
      </c>
      <c r="F1594" s="9">
        <v>3538.9800000000005</v>
      </c>
      <c r="G1594" s="1" t="s">
        <v>9540</v>
      </c>
      <c r="H1594" s="1">
        <f>SUMIF([1]Sheet1!$G:$G,A1594,[1]Sheet1!$O:$O)</f>
        <v>3538.98</v>
      </c>
      <c r="I1594" s="21">
        <f t="shared" si="24"/>
        <v>0</v>
      </c>
    </row>
    <row r="1595" spans="1:9" x14ac:dyDescent="0.25">
      <c r="A1595" s="18" t="s">
        <v>4063</v>
      </c>
      <c r="B1595" s="4" t="s">
        <v>3018</v>
      </c>
      <c r="C1595" s="4" t="s">
        <v>115</v>
      </c>
      <c r="D1595" s="4" t="s">
        <v>3290</v>
      </c>
      <c r="E1595" s="9">
        <v>623.72857142857151</v>
      </c>
      <c r="F1595" s="9">
        <v>4366.1000000000004</v>
      </c>
      <c r="G1595" s="1" t="s">
        <v>4064</v>
      </c>
      <c r="H1595" s="1">
        <f>SUMIF([1]Sheet1!$G:$G,A1595,[1]Sheet1!$O:$O)</f>
        <v>4366.1000000000004</v>
      </c>
      <c r="I1595" s="21">
        <f t="shared" si="24"/>
        <v>0</v>
      </c>
    </row>
    <row r="1596" spans="1:9" x14ac:dyDescent="0.25">
      <c r="A1596" s="18" t="s">
        <v>8846</v>
      </c>
      <c r="B1596" s="4" t="s">
        <v>3019</v>
      </c>
      <c r="C1596" s="4" t="s">
        <v>116</v>
      </c>
      <c r="D1596" s="4" t="s">
        <v>3290</v>
      </c>
      <c r="E1596" s="9">
        <v>51.542499999999997</v>
      </c>
      <c r="F1596" s="9">
        <v>206.17</v>
      </c>
      <c r="G1596" s="1" t="s">
        <v>8847</v>
      </c>
      <c r="H1596" s="1">
        <f>SUMIF([1]Sheet1!$G:$G,A1596,[1]Sheet1!$O:$O)</f>
        <v>206.17</v>
      </c>
      <c r="I1596" s="21">
        <f t="shared" si="24"/>
        <v>0</v>
      </c>
    </row>
    <row r="1597" spans="1:9" x14ac:dyDescent="0.25">
      <c r="A1597" s="18" t="s">
        <v>10193</v>
      </c>
      <c r="B1597" s="4" t="s">
        <v>3275</v>
      </c>
      <c r="C1597" s="4" t="s">
        <v>117</v>
      </c>
      <c r="D1597" s="4" t="s">
        <v>3290</v>
      </c>
      <c r="E1597" s="9">
        <v>410.57349999999997</v>
      </c>
      <c r="F1597" s="9">
        <v>8211.4699999999993</v>
      </c>
      <c r="G1597" s="1" t="s">
        <v>10194</v>
      </c>
      <c r="H1597" s="1">
        <f>SUMIF([1]Sheet1!$G:$G,A1597,[1]Sheet1!$O:$O)</f>
        <v>8211.4699999999993</v>
      </c>
      <c r="I1597" s="21">
        <f t="shared" si="24"/>
        <v>0</v>
      </c>
    </row>
    <row r="1598" spans="1:9" x14ac:dyDescent="0.25">
      <c r="A1598" s="18" t="s">
        <v>10833</v>
      </c>
      <c r="B1598" s="4" t="s">
        <v>3020</v>
      </c>
      <c r="C1598" s="4" t="s">
        <v>118</v>
      </c>
      <c r="D1598" s="4" t="s">
        <v>3290</v>
      </c>
      <c r="E1598" s="9">
        <v>199.15</v>
      </c>
      <c r="F1598" s="9">
        <v>199.15</v>
      </c>
      <c r="G1598" s="1" t="s">
        <v>10834</v>
      </c>
      <c r="H1598" s="1">
        <f>SUMIF([1]Sheet1!$G:$G,A1598,[1]Sheet1!$O:$O)</f>
        <v>199.15</v>
      </c>
      <c r="I1598" s="21">
        <f t="shared" si="24"/>
        <v>0</v>
      </c>
    </row>
    <row r="1599" spans="1:9" x14ac:dyDescent="0.25">
      <c r="A1599" s="18" t="s">
        <v>11152</v>
      </c>
      <c r="B1599" s="4" t="s">
        <v>3021</v>
      </c>
      <c r="C1599" s="4" t="s">
        <v>119</v>
      </c>
      <c r="D1599" s="4" t="s">
        <v>3289</v>
      </c>
      <c r="E1599" s="9">
        <v>13.771333333333333</v>
      </c>
      <c r="F1599" s="9">
        <v>206.57</v>
      </c>
      <c r="G1599" s="1" t="s">
        <v>11153</v>
      </c>
      <c r="H1599" s="1">
        <f>SUMIF([1]Sheet1!$G:$G,A1599,[1]Sheet1!$O:$O)</f>
        <v>206.57</v>
      </c>
      <c r="I1599" s="21">
        <f t="shared" si="24"/>
        <v>0</v>
      </c>
    </row>
    <row r="1600" spans="1:9" x14ac:dyDescent="0.25">
      <c r="A1600" s="18" t="s">
        <v>8262</v>
      </c>
      <c r="B1600" s="4" t="s">
        <v>3022</v>
      </c>
      <c r="C1600" s="4" t="s">
        <v>120</v>
      </c>
      <c r="D1600" s="4" t="s">
        <v>3291</v>
      </c>
      <c r="E1600" s="9">
        <v>16.949166666666667</v>
      </c>
      <c r="F1600" s="9">
        <v>1016.95</v>
      </c>
      <c r="G1600" s="1" t="s">
        <v>8263</v>
      </c>
      <c r="H1600" s="1">
        <f>SUMIF([1]Sheet1!$G:$G,A1600,[1]Sheet1!$O:$O)</f>
        <v>949.16</v>
      </c>
      <c r="I1600" s="21">
        <f t="shared" si="24"/>
        <v>67.790000000000077</v>
      </c>
    </row>
    <row r="1601" spans="1:9" x14ac:dyDescent="0.25">
      <c r="A1601" s="18" t="s">
        <v>7747</v>
      </c>
      <c r="B1601" s="4" t="s">
        <v>3023</v>
      </c>
      <c r="C1601" s="4" t="s">
        <v>121</v>
      </c>
      <c r="D1601" s="4" t="s">
        <v>3290</v>
      </c>
      <c r="E1601" s="9">
        <v>635.59333333333336</v>
      </c>
      <c r="F1601" s="9">
        <v>3813.5600000000004</v>
      </c>
      <c r="G1601" s="1" t="s">
        <v>7748</v>
      </c>
      <c r="H1601" s="1">
        <f>SUMIF([1]Sheet1!$G:$G,A1601,[1]Sheet1!$O:$O)</f>
        <v>3813.56</v>
      </c>
      <c r="I1601" s="21">
        <f t="shared" si="24"/>
        <v>0</v>
      </c>
    </row>
    <row r="1602" spans="1:9" x14ac:dyDescent="0.25">
      <c r="A1602" s="18" t="s">
        <v>10019</v>
      </c>
      <c r="B1602" s="4" t="s">
        <v>3024</v>
      </c>
      <c r="C1602" s="4" t="s">
        <v>122</v>
      </c>
      <c r="D1602" s="4" t="s">
        <v>3290</v>
      </c>
      <c r="E1602" s="9">
        <v>2542.3733333333334</v>
      </c>
      <c r="F1602" s="9">
        <v>7627.1200000000008</v>
      </c>
      <c r="G1602" s="1" t="s">
        <v>10020</v>
      </c>
      <c r="H1602" s="1">
        <f>SUMIF([1]Sheet1!$G:$G,A1602,[1]Sheet1!$O:$O)</f>
        <v>7627.12</v>
      </c>
      <c r="I1602" s="21">
        <f t="shared" si="24"/>
        <v>0</v>
      </c>
    </row>
    <row r="1603" spans="1:9" x14ac:dyDescent="0.25">
      <c r="A1603" s="18" t="s">
        <v>5389</v>
      </c>
      <c r="B1603" s="4" t="s">
        <v>3025</v>
      </c>
      <c r="C1603" s="4" t="s">
        <v>123</v>
      </c>
      <c r="D1603" s="4" t="s">
        <v>3290</v>
      </c>
      <c r="E1603" s="9">
        <v>1694.9166666666667</v>
      </c>
      <c r="F1603" s="9">
        <v>5084.75</v>
      </c>
      <c r="G1603" s="1" t="s">
        <v>5392</v>
      </c>
      <c r="H1603" s="1">
        <f>SUMIF([1]Sheet1!$G:$G,A1603,[1]Sheet1!$O:$O)</f>
        <v>5084.75</v>
      </c>
      <c r="I1603" s="21">
        <f t="shared" ref="I1603:I1652" si="25">F1603-H1603</f>
        <v>0</v>
      </c>
    </row>
    <row r="1604" spans="1:9" x14ac:dyDescent="0.25">
      <c r="A1604" s="18" t="s">
        <v>11187</v>
      </c>
      <c r="B1604" s="4" t="s">
        <v>3026</v>
      </c>
      <c r="C1604" s="4" t="s">
        <v>124</v>
      </c>
      <c r="D1604" s="4" t="s">
        <v>3290</v>
      </c>
      <c r="E1604" s="9">
        <v>80.510000000000005</v>
      </c>
      <c r="F1604" s="9">
        <v>80.510000000000005</v>
      </c>
      <c r="G1604" s="1" t="s">
        <v>11189</v>
      </c>
      <c r="H1604" s="1">
        <f>SUMIF([1]Sheet1!$G:$G,A1604,[1]Sheet1!$O:$O)</f>
        <v>80.510000000000005</v>
      </c>
      <c r="I1604" s="21">
        <f t="shared" si="25"/>
        <v>0</v>
      </c>
    </row>
    <row r="1605" spans="1:9" x14ac:dyDescent="0.25">
      <c r="A1605" s="18" t="s">
        <v>11288</v>
      </c>
      <c r="B1605" s="4" t="s">
        <v>3027</v>
      </c>
      <c r="C1605" s="4" t="s">
        <v>125</v>
      </c>
      <c r="D1605" s="4" t="s">
        <v>3290</v>
      </c>
      <c r="E1605" s="9">
        <v>14.4</v>
      </c>
      <c r="F1605" s="9">
        <v>14.4</v>
      </c>
      <c r="G1605" s="1" t="s">
        <v>11289</v>
      </c>
      <c r="H1605" s="1">
        <f>SUMIF([1]Sheet1!$G:$G,A1605,[1]Sheet1!$O:$O)</f>
        <v>14.4</v>
      </c>
      <c r="I1605" s="21">
        <f t="shared" si="25"/>
        <v>0</v>
      </c>
    </row>
    <row r="1606" spans="1:9" x14ac:dyDescent="0.25">
      <c r="A1606" s="18" t="s">
        <v>10981</v>
      </c>
      <c r="B1606" s="4" t="s">
        <v>3028</v>
      </c>
      <c r="C1606" s="4" t="s">
        <v>126</v>
      </c>
      <c r="D1606" s="4" t="s">
        <v>3290</v>
      </c>
      <c r="E1606" s="9">
        <v>3.9</v>
      </c>
      <c r="F1606" s="9">
        <v>7.8</v>
      </c>
      <c r="G1606" s="1" t="s">
        <v>10982</v>
      </c>
      <c r="H1606" s="1">
        <f>SUMIF([1]Sheet1!$G:$G,A1606,[1]Sheet1!$O:$O)</f>
        <v>7.8</v>
      </c>
      <c r="I1606" s="21">
        <f t="shared" si="25"/>
        <v>0</v>
      </c>
    </row>
    <row r="1607" spans="1:9" x14ac:dyDescent="0.25">
      <c r="A1607" s="18" t="s">
        <v>9831</v>
      </c>
      <c r="B1607" s="4" t="s">
        <v>3029</v>
      </c>
      <c r="C1607" s="4" t="s">
        <v>127</v>
      </c>
      <c r="D1607" s="4" t="s">
        <v>3290</v>
      </c>
      <c r="E1607" s="9">
        <v>2.54</v>
      </c>
      <c r="F1607" s="9">
        <v>2.54</v>
      </c>
      <c r="G1607" s="1" t="s">
        <v>9832</v>
      </c>
      <c r="H1607" s="1">
        <f>SUMIF([1]Sheet1!$G:$G,A1607,[1]Sheet1!$O:$O)</f>
        <v>2.54</v>
      </c>
      <c r="I1607" s="21">
        <f t="shared" si="25"/>
        <v>0</v>
      </c>
    </row>
    <row r="1608" spans="1:9" x14ac:dyDescent="0.25">
      <c r="A1608" s="18" t="s">
        <v>7332</v>
      </c>
      <c r="B1608" s="4" t="s">
        <v>3030</v>
      </c>
      <c r="C1608" s="4" t="s">
        <v>128</v>
      </c>
      <c r="D1608" s="4" t="s">
        <v>3289</v>
      </c>
      <c r="E1608" s="9">
        <v>213</v>
      </c>
      <c r="F1608" s="9">
        <v>9749.01</v>
      </c>
      <c r="G1608" s="1" t="s">
        <v>7333</v>
      </c>
      <c r="H1608" s="1">
        <f>SUMIF([1]Sheet1!$G:$G,A1608,[1]Sheet1!$O:$O)</f>
        <v>9749.01</v>
      </c>
      <c r="I1608" s="21">
        <f t="shared" si="25"/>
        <v>0</v>
      </c>
    </row>
    <row r="1609" spans="1:9" x14ac:dyDescent="0.25">
      <c r="A1609" s="18" t="s">
        <v>8681</v>
      </c>
      <c r="B1609" s="4" t="s">
        <v>3276</v>
      </c>
      <c r="C1609" s="4" t="s">
        <v>129</v>
      </c>
      <c r="D1609" s="4" t="s">
        <v>3290</v>
      </c>
      <c r="E1609" s="9">
        <v>885.11666666666667</v>
      </c>
      <c r="F1609" s="9">
        <v>2655.35</v>
      </c>
      <c r="G1609" s="1" t="s">
        <v>8684</v>
      </c>
      <c r="H1609" s="1">
        <f>SUMIF([1]Sheet1!$G:$G,A1609,[1]Sheet1!$O:$O)</f>
        <v>0</v>
      </c>
      <c r="I1609" s="21">
        <f t="shared" si="25"/>
        <v>2655.35</v>
      </c>
    </row>
    <row r="1610" spans="1:9" x14ac:dyDescent="0.25">
      <c r="A1610" s="18" t="s">
        <v>8257</v>
      </c>
      <c r="B1610" s="4" t="s">
        <v>3031</v>
      </c>
      <c r="C1610" s="4" t="s">
        <v>130</v>
      </c>
      <c r="D1610" s="4" t="s">
        <v>3291</v>
      </c>
      <c r="E1610" s="9">
        <v>16.95</v>
      </c>
      <c r="F1610" s="9">
        <v>84.75</v>
      </c>
      <c r="G1610" s="1" t="s">
        <v>8258</v>
      </c>
      <c r="H1610" s="1">
        <f>SUMIF([1]Sheet1!$G:$G,A1610,[1]Sheet1!$O:$O)</f>
        <v>84.75</v>
      </c>
      <c r="I1610" s="21">
        <f t="shared" si="25"/>
        <v>0</v>
      </c>
    </row>
    <row r="1611" spans="1:9" x14ac:dyDescent="0.25">
      <c r="A1611" s="18" t="s">
        <v>7760</v>
      </c>
      <c r="B1611" s="4" t="s">
        <v>3032</v>
      </c>
      <c r="C1611" s="4" t="s">
        <v>131</v>
      </c>
      <c r="D1611" s="4" t="s">
        <v>3290</v>
      </c>
      <c r="E1611" s="9">
        <v>338.98333333333335</v>
      </c>
      <c r="F1611" s="9">
        <v>5084.75</v>
      </c>
      <c r="G1611" s="1" t="s">
        <v>7761</v>
      </c>
      <c r="H1611" s="1">
        <f>SUMIF([1]Sheet1!$G:$G,A1611,[1]Sheet1!$O:$O)</f>
        <v>5084.75</v>
      </c>
      <c r="I1611" s="21">
        <f t="shared" si="25"/>
        <v>0</v>
      </c>
    </row>
    <row r="1612" spans="1:9" x14ac:dyDescent="0.25">
      <c r="A1612" s="18" t="s">
        <v>7647</v>
      </c>
      <c r="B1612" s="4" t="s">
        <v>3033</v>
      </c>
      <c r="C1612" s="4" t="s">
        <v>132</v>
      </c>
      <c r="D1612" s="4" t="s">
        <v>3290</v>
      </c>
      <c r="E1612" s="9">
        <v>338.98250000000002</v>
      </c>
      <c r="F1612" s="9">
        <v>2711.86</v>
      </c>
      <c r="G1612" s="1" t="s">
        <v>7648</v>
      </c>
      <c r="H1612" s="1">
        <f>SUMIF([1]Sheet1!$G:$G,A1612,[1]Sheet1!$O:$O)</f>
        <v>2711.86</v>
      </c>
      <c r="I1612" s="21">
        <f t="shared" si="25"/>
        <v>0</v>
      </c>
    </row>
    <row r="1613" spans="1:9" x14ac:dyDescent="0.25">
      <c r="A1613" s="18" t="s">
        <v>7656</v>
      </c>
      <c r="B1613" s="4" t="s">
        <v>3034</v>
      </c>
      <c r="C1613" s="4" t="s">
        <v>133</v>
      </c>
      <c r="D1613" s="4" t="s">
        <v>3290</v>
      </c>
      <c r="E1613" s="9">
        <v>466.10200000000003</v>
      </c>
      <c r="F1613" s="9">
        <v>4661.0200000000004</v>
      </c>
      <c r="G1613" s="1" t="s">
        <v>7657</v>
      </c>
      <c r="H1613" s="1">
        <f>SUMIF([1]Sheet1!$G:$G,A1613,[1]Sheet1!$O:$O)</f>
        <v>4661.0200000000004</v>
      </c>
      <c r="I1613" s="21">
        <f t="shared" si="25"/>
        <v>0</v>
      </c>
    </row>
    <row r="1614" spans="1:9" x14ac:dyDescent="0.25">
      <c r="A1614" s="18" t="s">
        <v>7683</v>
      </c>
      <c r="B1614" s="4" t="s">
        <v>3035</v>
      </c>
      <c r="C1614" s="4" t="s">
        <v>134</v>
      </c>
      <c r="D1614" s="4" t="s">
        <v>3290</v>
      </c>
      <c r="E1614" s="9">
        <v>338.983</v>
      </c>
      <c r="F1614" s="9">
        <v>6779.66</v>
      </c>
      <c r="G1614" s="1" t="s">
        <v>7684</v>
      </c>
      <c r="H1614" s="1">
        <f>SUMIF([1]Sheet1!$G:$G,A1614,[1]Sheet1!$O:$O)</f>
        <v>6779.66</v>
      </c>
      <c r="I1614" s="21">
        <f t="shared" si="25"/>
        <v>0</v>
      </c>
    </row>
    <row r="1615" spans="1:9" x14ac:dyDescent="0.25">
      <c r="A1615" s="18" t="s">
        <v>7665</v>
      </c>
      <c r="B1615" s="4" t="s">
        <v>3036</v>
      </c>
      <c r="C1615" s="4" t="s">
        <v>135</v>
      </c>
      <c r="D1615" s="4" t="s">
        <v>3290</v>
      </c>
      <c r="E1615" s="9">
        <v>254.23699999999999</v>
      </c>
      <c r="F1615" s="9">
        <v>2542.37</v>
      </c>
      <c r="G1615" s="1" t="s">
        <v>7666</v>
      </c>
      <c r="H1615" s="1">
        <f>SUMIF([1]Sheet1!$G:$G,A1615,[1]Sheet1!$O:$O)</f>
        <v>2542.37</v>
      </c>
      <c r="I1615" s="21">
        <f t="shared" si="25"/>
        <v>0</v>
      </c>
    </row>
    <row r="1616" spans="1:9" x14ac:dyDescent="0.25">
      <c r="A1616" s="18" t="s">
        <v>7703</v>
      </c>
      <c r="B1616" s="4" t="s">
        <v>3037</v>
      </c>
      <c r="C1616" s="4" t="s">
        <v>136</v>
      </c>
      <c r="D1616" s="4" t="s">
        <v>3290</v>
      </c>
      <c r="E1616" s="9">
        <v>423.72899999999998</v>
      </c>
      <c r="F1616" s="9">
        <v>4237.29</v>
      </c>
      <c r="G1616" s="1" t="s">
        <v>7704</v>
      </c>
      <c r="H1616" s="1">
        <f>SUMIF([1]Sheet1!$G:$G,A1616,[1]Sheet1!$O:$O)</f>
        <v>4237.29</v>
      </c>
      <c r="I1616" s="21">
        <f t="shared" si="25"/>
        <v>0</v>
      </c>
    </row>
    <row r="1617" spans="1:9" x14ac:dyDescent="0.25">
      <c r="A1617" s="18" t="s">
        <v>7713</v>
      </c>
      <c r="B1617" s="4" t="s">
        <v>3038</v>
      </c>
      <c r="C1617" s="4" t="s">
        <v>137</v>
      </c>
      <c r="D1617" s="4" t="s">
        <v>3290</v>
      </c>
      <c r="E1617" s="9">
        <v>762.7116666666667</v>
      </c>
      <c r="F1617" s="9">
        <v>4576.2700000000004</v>
      </c>
      <c r="G1617" s="1" t="s">
        <v>7714</v>
      </c>
      <c r="H1617" s="1">
        <f>SUMIF([1]Sheet1!$G:$G,A1617,[1]Sheet1!$O:$O)</f>
        <v>4576.2700000000004</v>
      </c>
      <c r="I1617" s="21">
        <f t="shared" si="25"/>
        <v>0</v>
      </c>
    </row>
    <row r="1618" spans="1:9" x14ac:dyDescent="0.25">
      <c r="A1618" s="18" t="s">
        <v>8188</v>
      </c>
      <c r="B1618" s="4" t="s">
        <v>3039</v>
      </c>
      <c r="C1618" s="4" t="s">
        <v>138</v>
      </c>
      <c r="D1618" s="4" t="s">
        <v>3290</v>
      </c>
      <c r="E1618" s="9">
        <v>478.815</v>
      </c>
      <c r="F1618" s="9">
        <v>957.63</v>
      </c>
      <c r="G1618" s="1" t="s">
        <v>8189</v>
      </c>
      <c r="H1618" s="1">
        <f>SUMIF([1]Sheet1!$G:$G,A1618,[1]Sheet1!$O:$O)</f>
        <v>957.63</v>
      </c>
      <c r="I1618" s="21">
        <f t="shared" si="25"/>
        <v>0</v>
      </c>
    </row>
    <row r="1619" spans="1:9" x14ac:dyDescent="0.25">
      <c r="A1619" s="18" t="s">
        <v>7013</v>
      </c>
      <c r="B1619" s="4" t="s">
        <v>3040</v>
      </c>
      <c r="C1619" s="4" t="s">
        <v>139</v>
      </c>
      <c r="D1619" s="4" t="s">
        <v>3290</v>
      </c>
      <c r="E1619" s="9">
        <v>111.44105263157896</v>
      </c>
      <c r="F1619" s="9">
        <v>2117.38</v>
      </c>
      <c r="G1619" s="1" t="s">
        <v>7014</v>
      </c>
      <c r="H1619" s="1">
        <f>SUMIF([1]Sheet1!$G:$G,A1619,[1]Sheet1!$O:$O)</f>
        <v>2117.38</v>
      </c>
      <c r="I1619" s="21">
        <f t="shared" si="25"/>
        <v>0</v>
      </c>
    </row>
    <row r="1620" spans="1:9" x14ac:dyDescent="0.25">
      <c r="A1620" s="18" t="s">
        <v>5226</v>
      </c>
      <c r="B1620" s="4" t="s">
        <v>3041</v>
      </c>
      <c r="C1620" s="4" t="s">
        <v>140</v>
      </c>
      <c r="D1620" s="4" t="s">
        <v>3290</v>
      </c>
      <c r="E1620" s="9">
        <v>27.1175</v>
      </c>
      <c r="F1620" s="9">
        <v>108.47</v>
      </c>
      <c r="G1620" s="1" t="s">
        <v>5227</v>
      </c>
      <c r="H1620" s="1">
        <f>SUMIF([1]Sheet1!$G:$G,A1620,[1]Sheet1!$O:$O)</f>
        <v>108.47</v>
      </c>
      <c r="I1620" s="21">
        <f t="shared" si="25"/>
        <v>0</v>
      </c>
    </row>
    <row r="1621" spans="1:9" x14ac:dyDescent="0.25">
      <c r="A1621" s="18" t="s">
        <v>5216</v>
      </c>
      <c r="B1621" s="4" t="s">
        <v>3042</v>
      </c>
      <c r="C1621" s="4" t="s">
        <v>141</v>
      </c>
      <c r="D1621" s="4" t="s">
        <v>3290</v>
      </c>
      <c r="E1621" s="9">
        <v>29.661999999999999</v>
      </c>
      <c r="F1621" s="9">
        <v>148.31</v>
      </c>
      <c r="G1621" s="1" t="s">
        <v>5217</v>
      </c>
      <c r="H1621" s="1">
        <f>SUMIF([1]Sheet1!$G:$G,A1621,[1]Sheet1!$O:$O)</f>
        <v>148.31</v>
      </c>
      <c r="I1621" s="21">
        <f t="shared" si="25"/>
        <v>0</v>
      </c>
    </row>
    <row r="1622" spans="1:9" x14ac:dyDescent="0.25">
      <c r="A1622" s="18" t="s">
        <v>6689</v>
      </c>
      <c r="B1622" s="4" t="s">
        <v>3043</v>
      </c>
      <c r="C1622" s="4" t="s">
        <v>142</v>
      </c>
      <c r="D1622" s="4" t="s">
        <v>3291</v>
      </c>
      <c r="E1622" s="9">
        <v>2.5</v>
      </c>
      <c r="F1622" s="9">
        <v>72.5</v>
      </c>
      <c r="G1622" s="1" t="s">
        <v>6690</v>
      </c>
      <c r="H1622" s="1">
        <f>SUMIF([1]Sheet1!$G:$G,A1622,[1]Sheet1!$O:$O)</f>
        <v>72.5</v>
      </c>
      <c r="I1622" s="21">
        <f t="shared" si="25"/>
        <v>0</v>
      </c>
    </row>
    <row r="1623" spans="1:9" x14ac:dyDescent="0.25">
      <c r="A1623" s="18" t="s">
        <v>5605</v>
      </c>
      <c r="B1623" s="4" t="s">
        <v>3044</v>
      </c>
      <c r="C1623" s="4" t="s">
        <v>143</v>
      </c>
      <c r="D1623" s="4" t="s">
        <v>3290</v>
      </c>
      <c r="E1623" s="9">
        <v>77.97</v>
      </c>
      <c r="F1623" s="9">
        <v>77.97</v>
      </c>
      <c r="G1623" s="1" t="s">
        <v>5606</v>
      </c>
      <c r="H1623" s="1">
        <f>SUMIF([1]Sheet1!$G:$G,A1623,[1]Sheet1!$O:$O)</f>
        <v>77.97</v>
      </c>
      <c r="I1623" s="21">
        <f t="shared" si="25"/>
        <v>0</v>
      </c>
    </row>
    <row r="1624" spans="1:9" x14ac:dyDescent="0.25">
      <c r="A1624" s="18" t="s">
        <v>5709</v>
      </c>
      <c r="B1624" s="4" t="s">
        <v>3045</v>
      </c>
      <c r="C1624" s="4" t="s">
        <v>144</v>
      </c>
      <c r="D1624" s="4" t="s">
        <v>3289</v>
      </c>
      <c r="E1624" s="9">
        <v>22.033893939393941</v>
      </c>
      <c r="F1624" s="9">
        <v>14542.37</v>
      </c>
      <c r="G1624" s="1" t="s">
        <v>5710</v>
      </c>
      <c r="H1624" s="1">
        <f>SUMIF([1]Sheet1!$G:$G,A1624,[1]Sheet1!$O:$O)</f>
        <v>14542.37</v>
      </c>
      <c r="I1624" s="21">
        <f t="shared" si="25"/>
        <v>0</v>
      </c>
    </row>
    <row r="1625" spans="1:9" x14ac:dyDescent="0.25">
      <c r="A1625" s="18" t="s">
        <v>4653</v>
      </c>
      <c r="B1625" s="4" t="s">
        <v>3099</v>
      </c>
      <c r="C1625" s="4" t="s">
        <v>145</v>
      </c>
      <c r="D1625" s="4" t="s">
        <v>3290</v>
      </c>
      <c r="E1625" s="9">
        <v>6.6527941176470584</v>
      </c>
      <c r="F1625" s="9">
        <v>452.39</v>
      </c>
      <c r="G1625" s="1" t="s">
        <v>4656</v>
      </c>
      <c r="H1625" s="1">
        <f>SUMIF([1]Sheet1!$G:$G,A1625,[1]Sheet1!$O:$O)</f>
        <v>452.39</v>
      </c>
      <c r="I1625" s="21">
        <f t="shared" si="25"/>
        <v>0</v>
      </c>
    </row>
    <row r="1626" spans="1:9" x14ac:dyDescent="0.25">
      <c r="A1626" s="18" t="s">
        <v>7044</v>
      </c>
      <c r="B1626" s="4" t="s">
        <v>3046</v>
      </c>
      <c r="C1626" s="4" t="s">
        <v>146</v>
      </c>
      <c r="D1626" s="4" t="s">
        <v>3289</v>
      </c>
      <c r="E1626" s="9">
        <v>985.99999999999989</v>
      </c>
      <c r="F1626" s="9">
        <v>8114.78</v>
      </c>
      <c r="G1626" s="1" t="s">
        <v>7047</v>
      </c>
      <c r="H1626" s="1">
        <f>SUMIF([1]Sheet1!$G:$G,A1626,[1]Sheet1!$O:$O)</f>
        <v>8114.78</v>
      </c>
      <c r="I1626" s="21">
        <f t="shared" si="25"/>
        <v>0</v>
      </c>
    </row>
    <row r="1627" spans="1:9" x14ac:dyDescent="0.25">
      <c r="A1627" s="18" t="s">
        <v>5212</v>
      </c>
      <c r="B1627" s="4" t="s">
        <v>3047</v>
      </c>
      <c r="C1627" s="4" t="s">
        <v>147</v>
      </c>
      <c r="D1627" s="4" t="s">
        <v>3290</v>
      </c>
      <c r="E1627" s="9">
        <v>14830.51</v>
      </c>
      <c r="F1627" s="9">
        <v>14830.51</v>
      </c>
      <c r="G1627" s="1" t="s">
        <v>5213</v>
      </c>
      <c r="H1627" s="1">
        <f>SUMIF([1]Sheet1!$G:$G,A1627,[1]Sheet1!$O:$O)</f>
        <v>14830.51</v>
      </c>
      <c r="I1627" s="21">
        <f t="shared" si="25"/>
        <v>0</v>
      </c>
    </row>
    <row r="1628" spans="1:9" x14ac:dyDescent="0.25">
      <c r="A1628" s="18" t="s">
        <v>7166</v>
      </c>
      <c r="B1628" s="4" t="s">
        <v>3048</v>
      </c>
      <c r="C1628" s="4" t="s">
        <v>148</v>
      </c>
      <c r="D1628" s="4" t="s">
        <v>3289</v>
      </c>
      <c r="E1628" s="9">
        <v>40</v>
      </c>
      <c r="F1628" s="9">
        <v>7680</v>
      </c>
      <c r="G1628" s="1" t="s">
        <v>7167</v>
      </c>
      <c r="H1628" s="1">
        <f>SUMIF([1]Sheet1!$G:$G,A1628,[1]Sheet1!$O:$O)</f>
        <v>7680</v>
      </c>
      <c r="I1628" s="21">
        <f t="shared" si="25"/>
        <v>0</v>
      </c>
    </row>
    <row r="1629" spans="1:9" x14ac:dyDescent="0.25">
      <c r="A1629" s="18" t="s">
        <v>10121</v>
      </c>
      <c r="B1629" s="4" t="s">
        <v>3277</v>
      </c>
      <c r="C1629" s="4" t="s">
        <v>149</v>
      </c>
      <c r="D1629" s="4" t="s">
        <v>3290</v>
      </c>
      <c r="E1629" s="9">
        <v>27279</v>
      </c>
      <c r="F1629" s="9">
        <v>27279</v>
      </c>
      <c r="G1629" s="1" t="s">
        <v>10122</v>
      </c>
      <c r="H1629" s="1">
        <f>SUMIF([1]Sheet1!$G:$G,A1629,[1]Sheet1!$O:$O)</f>
        <v>27279</v>
      </c>
      <c r="I1629" s="21">
        <f t="shared" si="25"/>
        <v>0</v>
      </c>
    </row>
    <row r="1630" spans="1:9" x14ac:dyDescent="0.25">
      <c r="A1630" s="18" t="s">
        <v>11617</v>
      </c>
      <c r="B1630" s="4" t="s">
        <v>3049</v>
      </c>
      <c r="C1630" s="4" t="s">
        <v>150</v>
      </c>
      <c r="D1630" s="4" t="s">
        <v>3290</v>
      </c>
      <c r="E1630" s="9">
        <v>0.16949999999999998</v>
      </c>
      <c r="F1630" s="9">
        <v>16.95</v>
      </c>
      <c r="G1630" s="1" t="s">
        <v>11618</v>
      </c>
      <c r="H1630" s="1">
        <f>SUMIF([1]Sheet1!$G:$G,A1630,[1]Sheet1!$O:$O)</f>
        <v>16.95</v>
      </c>
      <c r="I1630" s="21">
        <f t="shared" si="25"/>
        <v>0</v>
      </c>
    </row>
    <row r="1631" spans="1:9" x14ac:dyDescent="0.25">
      <c r="A1631" s="18" t="s">
        <v>10777</v>
      </c>
      <c r="B1631" s="4" t="s">
        <v>3050</v>
      </c>
      <c r="C1631" s="4" t="s">
        <v>151</v>
      </c>
      <c r="D1631" s="4" t="s">
        <v>3290</v>
      </c>
      <c r="E1631" s="9">
        <v>4.24E-2</v>
      </c>
      <c r="F1631" s="9">
        <v>4.24</v>
      </c>
      <c r="G1631" s="1" t="s">
        <v>10778</v>
      </c>
      <c r="H1631" s="1">
        <f>SUMIF([1]Sheet1!$G:$G,A1631,[1]Sheet1!$O:$O)</f>
        <v>4.24</v>
      </c>
      <c r="I1631" s="21">
        <f t="shared" si="25"/>
        <v>0</v>
      </c>
    </row>
    <row r="1632" spans="1:9" x14ac:dyDescent="0.25">
      <c r="A1632" s="18" t="s">
        <v>9544</v>
      </c>
      <c r="B1632" s="4" t="s">
        <v>3051</v>
      </c>
      <c r="C1632" s="4" t="s">
        <v>152</v>
      </c>
      <c r="D1632" s="4" t="s">
        <v>3290</v>
      </c>
      <c r="E1632" s="9">
        <v>4.24E-2</v>
      </c>
      <c r="F1632" s="9">
        <v>4.24</v>
      </c>
      <c r="G1632" s="1" t="s">
        <v>9545</v>
      </c>
      <c r="H1632" s="1">
        <f>SUMIF([1]Sheet1!$G:$G,A1632,[1]Sheet1!$O:$O)</f>
        <v>4.24</v>
      </c>
      <c r="I1632" s="21">
        <f t="shared" si="25"/>
        <v>0</v>
      </c>
    </row>
    <row r="1633" spans="1:9" x14ac:dyDescent="0.25">
      <c r="A1633" s="18" t="s">
        <v>6708</v>
      </c>
      <c r="B1633" s="4" t="s">
        <v>3052</v>
      </c>
      <c r="C1633" s="4" t="s">
        <v>153</v>
      </c>
      <c r="D1633" s="4" t="s">
        <v>3290</v>
      </c>
      <c r="E1633" s="9">
        <v>0.42375000000000002</v>
      </c>
      <c r="F1633" s="9">
        <v>84.75</v>
      </c>
      <c r="G1633" s="1" t="s">
        <v>6709</v>
      </c>
      <c r="H1633" s="1">
        <f>SUMIF([1]Sheet1!$G:$G,A1633,[1]Sheet1!$O:$O)</f>
        <v>84.76</v>
      </c>
      <c r="I1633" s="21">
        <f t="shared" si="25"/>
        <v>-1.0000000000005116E-2</v>
      </c>
    </row>
    <row r="1634" spans="1:9" x14ac:dyDescent="0.25">
      <c r="A1634" s="18" t="s">
        <v>6706</v>
      </c>
      <c r="B1634" s="4" t="s">
        <v>3053</v>
      </c>
      <c r="C1634" s="4" t="s">
        <v>154</v>
      </c>
      <c r="D1634" s="4" t="s">
        <v>3290</v>
      </c>
      <c r="E1634" s="9">
        <v>0.29661999999999999</v>
      </c>
      <c r="F1634" s="9">
        <v>148.31</v>
      </c>
      <c r="G1634" s="1" t="s">
        <v>6707</v>
      </c>
      <c r="H1634" s="1">
        <f>SUMIF([1]Sheet1!$G:$G,A1634,[1]Sheet1!$O:$O)</f>
        <v>148.30000000000001</v>
      </c>
      <c r="I1634" s="21">
        <f t="shared" si="25"/>
        <v>9.9999999999909051E-3</v>
      </c>
    </row>
    <row r="1635" spans="1:9" x14ac:dyDescent="0.25">
      <c r="A1635" s="18" t="s">
        <v>4889</v>
      </c>
      <c r="B1635" s="4" t="s">
        <v>3278</v>
      </c>
      <c r="C1635" s="4" t="s">
        <v>155</v>
      </c>
      <c r="D1635" s="4" t="s">
        <v>3290</v>
      </c>
      <c r="E1635" s="9">
        <v>3454.2375000000002</v>
      </c>
      <c r="F1635" s="9">
        <v>13816.95</v>
      </c>
      <c r="G1635" s="1" t="s">
        <v>4890</v>
      </c>
      <c r="H1635" s="1">
        <f>SUMIF([1]Sheet1!$G:$G,A1635,[1]Sheet1!$O:$O)</f>
        <v>13816.95</v>
      </c>
      <c r="I1635" s="21">
        <f t="shared" si="25"/>
        <v>0</v>
      </c>
    </row>
    <row r="1636" spans="1:9" x14ac:dyDescent="0.25">
      <c r="A1636" s="18" t="s">
        <v>10975</v>
      </c>
      <c r="B1636" s="4" t="s">
        <v>3054</v>
      </c>
      <c r="C1636" s="4" t="s">
        <v>156</v>
      </c>
      <c r="D1636" s="4" t="s">
        <v>3296</v>
      </c>
      <c r="E1636" s="9">
        <v>26.68</v>
      </c>
      <c r="F1636" s="9">
        <v>120.06</v>
      </c>
      <c r="G1636" s="1" t="s">
        <v>10976</v>
      </c>
      <c r="H1636" s="1">
        <f>SUMIF([1]Sheet1!$G:$G,A1636,[1]Sheet1!$O:$O)</f>
        <v>114.72</v>
      </c>
      <c r="I1636" s="21">
        <f t="shared" si="25"/>
        <v>5.3400000000000034</v>
      </c>
    </row>
    <row r="1637" spans="1:9" x14ac:dyDescent="0.25">
      <c r="A1637" s="18" t="s">
        <v>6298</v>
      </c>
      <c r="B1637" s="4" t="s">
        <v>3055</v>
      </c>
      <c r="C1637" s="4" t="s">
        <v>157</v>
      </c>
      <c r="D1637" s="4" t="s">
        <v>3290</v>
      </c>
      <c r="E1637" s="9">
        <v>47.456666666666671</v>
      </c>
      <c r="F1637" s="9">
        <v>142.37</v>
      </c>
      <c r="G1637" s="1" t="s">
        <v>6300</v>
      </c>
      <c r="H1637" s="1">
        <f>SUMIF([1]Sheet1!$G:$G,A1637,[1]Sheet1!$O:$O)</f>
        <v>142.37</v>
      </c>
      <c r="I1637" s="21">
        <f t="shared" si="25"/>
        <v>0</v>
      </c>
    </row>
    <row r="1638" spans="1:9" x14ac:dyDescent="0.25">
      <c r="A1638" s="18" t="s">
        <v>3606</v>
      </c>
      <c r="B1638" s="4" t="s">
        <v>3056</v>
      </c>
      <c r="C1638" s="4" t="s">
        <v>158</v>
      </c>
      <c r="D1638" s="4" t="s">
        <v>3290</v>
      </c>
      <c r="E1638" s="9">
        <v>264.83333333333331</v>
      </c>
      <c r="F1638" s="9">
        <v>794.5</v>
      </c>
      <c r="G1638" s="1" t="s">
        <v>3607</v>
      </c>
      <c r="H1638" s="1">
        <f>SUMIF([1]Sheet1!$G:$G,A1638,[1]Sheet1!$O:$O)</f>
        <v>794.5</v>
      </c>
      <c r="I1638" s="21">
        <f t="shared" si="25"/>
        <v>0</v>
      </c>
    </row>
    <row r="1639" spans="1:9" x14ac:dyDescent="0.25">
      <c r="A1639" s="18" t="s">
        <v>3611</v>
      </c>
      <c r="B1639" s="4" t="s">
        <v>3057</v>
      </c>
      <c r="C1639" s="4" t="s">
        <v>159</v>
      </c>
      <c r="D1639" s="4" t="s">
        <v>3290</v>
      </c>
      <c r="E1639" s="9">
        <v>266.95</v>
      </c>
      <c r="F1639" s="9">
        <v>266.95</v>
      </c>
      <c r="G1639" s="1" t="s">
        <v>3612</v>
      </c>
      <c r="H1639" s="1">
        <f>SUMIF([1]Sheet1!$G:$G,A1639,[1]Sheet1!$O:$O)</f>
        <v>266.95</v>
      </c>
      <c r="I1639" s="21">
        <f t="shared" si="25"/>
        <v>0</v>
      </c>
    </row>
    <row r="1640" spans="1:9" x14ac:dyDescent="0.25">
      <c r="A1640" s="18" t="s">
        <v>3593</v>
      </c>
      <c r="B1640" s="4" t="s">
        <v>3058</v>
      </c>
      <c r="C1640" s="4" t="s">
        <v>160</v>
      </c>
      <c r="D1640" s="4" t="s">
        <v>3290</v>
      </c>
      <c r="E1640" s="9">
        <v>127.11</v>
      </c>
      <c r="F1640" s="9">
        <v>127.11</v>
      </c>
      <c r="G1640" s="1" t="s">
        <v>3594</v>
      </c>
      <c r="H1640" s="1">
        <f>SUMIF([1]Sheet1!$G:$G,A1640,[1]Sheet1!$O:$O)</f>
        <v>127.11</v>
      </c>
      <c r="I1640" s="21">
        <f t="shared" si="25"/>
        <v>0</v>
      </c>
    </row>
    <row r="1641" spans="1:9" x14ac:dyDescent="0.25">
      <c r="A1641" s="18" t="s">
        <v>3595</v>
      </c>
      <c r="B1641" s="4" t="s">
        <v>3059</v>
      </c>
      <c r="C1641" s="4" t="s">
        <v>161</v>
      </c>
      <c r="D1641" s="4" t="s">
        <v>3290</v>
      </c>
      <c r="E1641" s="9">
        <v>127.12</v>
      </c>
      <c r="F1641" s="9">
        <v>127.12</v>
      </c>
      <c r="G1641" s="1" t="s">
        <v>3596</v>
      </c>
      <c r="H1641" s="1">
        <f>SUMIF([1]Sheet1!$G:$G,A1641,[1]Sheet1!$O:$O)</f>
        <v>127.12</v>
      </c>
      <c r="I1641" s="21">
        <f t="shared" si="25"/>
        <v>0</v>
      </c>
    </row>
    <row r="1642" spans="1:9" x14ac:dyDescent="0.25">
      <c r="A1642" s="18" t="s">
        <v>7055</v>
      </c>
      <c r="B1642" s="4" t="s">
        <v>3060</v>
      </c>
      <c r="C1642" s="4" t="s">
        <v>162</v>
      </c>
      <c r="D1642" s="4" t="s">
        <v>3289</v>
      </c>
      <c r="E1642" s="9">
        <v>989.99717912552887</v>
      </c>
      <c r="F1642" s="9">
        <v>28076.32</v>
      </c>
      <c r="G1642" s="1" t="s">
        <v>7056</v>
      </c>
      <c r="H1642" s="1">
        <f>SUMIF([1]Sheet1!$G:$G,A1642,[1]Sheet1!$O:$O)</f>
        <v>28076.32</v>
      </c>
      <c r="I1642" s="21">
        <f t="shared" si="25"/>
        <v>0</v>
      </c>
    </row>
    <row r="1643" spans="1:9" x14ac:dyDescent="0.25">
      <c r="A1643" s="18" t="s">
        <v>8430</v>
      </c>
      <c r="B1643" s="4" t="s">
        <v>3061</v>
      </c>
      <c r="C1643" s="4" t="s">
        <v>163</v>
      </c>
      <c r="D1643" s="4" t="s">
        <v>3295</v>
      </c>
      <c r="E1643" s="9">
        <v>110.17</v>
      </c>
      <c r="F1643" s="9">
        <v>220.34</v>
      </c>
      <c r="G1643" s="1" t="s">
        <v>8431</v>
      </c>
      <c r="H1643" s="1">
        <f>SUMIF([1]Sheet1!$G:$G,A1643,[1]Sheet1!$O:$O)</f>
        <v>220.34</v>
      </c>
      <c r="I1643" s="21">
        <f t="shared" si="25"/>
        <v>0</v>
      </c>
    </row>
    <row r="1644" spans="1:9" x14ac:dyDescent="0.25">
      <c r="A1644" s="18" t="s">
        <v>10822</v>
      </c>
      <c r="B1644" s="4" t="s">
        <v>3062</v>
      </c>
      <c r="C1644" s="4" t="s">
        <v>164</v>
      </c>
      <c r="D1644" s="4" t="s">
        <v>3290</v>
      </c>
      <c r="E1644" s="9">
        <v>330.51</v>
      </c>
      <c r="F1644" s="9">
        <v>330.51</v>
      </c>
      <c r="G1644" s="1" t="s">
        <v>10823</v>
      </c>
      <c r="H1644" s="1">
        <f>SUMIF([1]Sheet1!$G:$G,A1644,[1]Sheet1!$O:$O)</f>
        <v>330.51</v>
      </c>
      <c r="I1644" s="21">
        <f t="shared" si="25"/>
        <v>0</v>
      </c>
    </row>
    <row r="1645" spans="1:9" x14ac:dyDescent="0.25">
      <c r="A1645" s="18" t="s">
        <v>6906</v>
      </c>
      <c r="B1645" s="4" t="s">
        <v>3063</v>
      </c>
      <c r="C1645" s="4" t="s">
        <v>166</v>
      </c>
      <c r="D1645" s="4" t="s">
        <v>3290</v>
      </c>
      <c r="E1645" s="9">
        <v>59.321666666666665</v>
      </c>
      <c r="F1645" s="9">
        <v>355.93</v>
      </c>
      <c r="G1645" s="1" t="s">
        <v>6907</v>
      </c>
      <c r="H1645" s="1">
        <f>SUMIF([1]Sheet1!$G:$G,A1645,[1]Sheet1!$O:$O)</f>
        <v>355.93</v>
      </c>
      <c r="I1645" s="21">
        <f t="shared" si="25"/>
        <v>0</v>
      </c>
    </row>
    <row r="1646" spans="1:9" x14ac:dyDescent="0.25">
      <c r="A1646" s="18" t="s">
        <v>10125</v>
      </c>
      <c r="B1646" s="4" t="s">
        <v>3064</v>
      </c>
      <c r="C1646" s="4" t="s">
        <v>167</v>
      </c>
      <c r="D1646" s="4" t="s">
        <v>3290</v>
      </c>
      <c r="E1646" s="9">
        <v>31099.06</v>
      </c>
      <c r="F1646" s="9">
        <v>62198.12</v>
      </c>
      <c r="G1646" s="1" t="s">
        <v>10126</v>
      </c>
      <c r="H1646" s="1">
        <f>SUMIF([1]Sheet1!$G:$G,A1646,[1]Sheet1!$O:$O)</f>
        <v>62198.12</v>
      </c>
      <c r="I1646" s="21">
        <f t="shared" si="25"/>
        <v>0</v>
      </c>
    </row>
    <row r="1647" spans="1:9" x14ac:dyDescent="0.25">
      <c r="A1647" s="18" t="s">
        <v>10113</v>
      </c>
      <c r="B1647" s="4" t="s">
        <v>3065</v>
      </c>
      <c r="C1647" s="4" t="s">
        <v>168</v>
      </c>
      <c r="D1647" s="4" t="s">
        <v>3290</v>
      </c>
      <c r="E1647" s="9">
        <v>13855.495000000001</v>
      </c>
      <c r="F1647" s="9">
        <v>27710.99</v>
      </c>
      <c r="G1647" s="1" t="s">
        <v>10116</v>
      </c>
      <c r="H1647" s="1">
        <f>SUMIF([1]Sheet1!$G:$G,A1647,[1]Sheet1!$O:$O)</f>
        <v>27710.99</v>
      </c>
      <c r="I1647" s="21">
        <f t="shared" si="25"/>
        <v>0</v>
      </c>
    </row>
    <row r="1648" spans="1:9" x14ac:dyDescent="0.25">
      <c r="A1648" s="18" t="s">
        <v>10129</v>
      </c>
      <c r="B1648" s="4" t="s">
        <v>3066</v>
      </c>
      <c r="C1648" s="4" t="s">
        <v>169</v>
      </c>
      <c r="D1648" s="4" t="s">
        <v>3290</v>
      </c>
      <c r="E1648" s="9">
        <v>44685.82</v>
      </c>
      <c r="F1648" s="9">
        <v>89371.64</v>
      </c>
      <c r="G1648" s="1" t="s">
        <v>10130</v>
      </c>
      <c r="H1648" s="1">
        <f>SUMIF([1]Sheet1!$G:$G,A1648,[1]Sheet1!$O:$O)</f>
        <v>89371.64</v>
      </c>
      <c r="I1648" s="21">
        <f t="shared" si="25"/>
        <v>0</v>
      </c>
    </row>
    <row r="1649" spans="1:9" x14ac:dyDescent="0.25">
      <c r="A1649" s="18" t="s">
        <v>3454</v>
      </c>
      <c r="B1649" s="4" t="s">
        <v>3067</v>
      </c>
      <c r="C1649" s="4" t="s">
        <v>170</v>
      </c>
      <c r="D1649" s="4" t="s">
        <v>3290</v>
      </c>
      <c r="E1649" s="9">
        <v>101.69499999999999</v>
      </c>
      <c r="F1649" s="9">
        <v>203.39</v>
      </c>
      <c r="G1649" s="1" t="s">
        <v>3455</v>
      </c>
      <c r="H1649" s="1">
        <f>SUMIF([1]Sheet1!$G:$G,A1649,[1]Sheet1!$O:$O)</f>
        <v>203.39</v>
      </c>
      <c r="I1649" s="21">
        <f t="shared" si="25"/>
        <v>0</v>
      </c>
    </row>
    <row r="1650" spans="1:9" x14ac:dyDescent="0.25">
      <c r="A1650" s="18" t="s">
        <v>3474</v>
      </c>
      <c r="B1650" s="4" t="s">
        <v>3068</v>
      </c>
      <c r="C1650" s="4" t="s">
        <v>171</v>
      </c>
      <c r="D1650" s="4" t="s">
        <v>3290</v>
      </c>
      <c r="E1650" s="9">
        <v>415.25400000000002</v>
      </c>
      <c r="F1650" s="9">
        <v>2076.27</v>
      </c>
      <c r="G1650" s="1" t="s">
        <v>3476</v>
      </c>
      <c r="H1650" s="1">
        <f>SUMIF([1]Sheet1!$G:$G,A1650,[1]Sheet1!$O:$O)</f>
        <v>2076.27</v>
      </c>
      <c r="I1650" s="21">
        <f t="shared" si="25"/>
        <v>0</v>
      </c>
    </row>
    <row r="1651" spans="1:9" x14ac:dyDescent="0.25">
      <c r="A1651" s="18" t="s">
        <v>7234</v>
      </c>
      <c r="B1651" s="4" t="s">
        <v>3069</v>
      </c>
      <c r="C1651" s="4" t="s">
        <v>172</v>
      </c>
      <c r="D1651" s="4" t="s">
        <v>3289</v>
      </c>
      <c r="E1651" s="9">
        <v>212.52363636363634</v>
      </c>
      <c r="F1651" s="9">
        <v>7013.2799999999988</v>
      </c>
      <c r="G1651" s="1" t="s">
        <v>7235</v>
      </c>
      <c r="H1651" s="1">
        <f>SUMIF([1]Sheet1!$G:$G,A1651,[1]Sheet1!$O:$O)</f>
        <v>7013.28</v>
      </c>
      <c r="I1651" s="21">
        <f t="shared" si="25"/>
        <v>0</v>
      </c>
    </row>
    <row r="1652" spans="1:9" x14ac:dyDescent="0.25">
      <c r="A1652" s="18" t="s">
        <v>9013</v>
      </c>
      <c r="B1652" s="4" t="s">
        <v>3279</v>
      </c>
      <c r="C1652" s="4" t="s">
        <v>173</v>
      </c>
      <c r="D1652" s="4" t="s">
        <v>3290</v>
      </c>
      <c r="E1652" s="9">
        <v>13503.9</v>
      </c>
      <c r="F1652" s="9">
        <v>13503.9</v>
      </c>
      <c r="G1652" s="1" t="s">
        <v>9014</v>
      </c>
      <c r="H1652" s="1">
        <f>SUMIF([1]Sheet1!$G:$G,A1652,[1]Sheet1!$O:$O)</f>
        <v>0</v>
      </c>
      <c r="I1652" s="21">
        <f t="shared" si="25"/>
        <v>13503.9</v>
      </c>
    </row>
    <row r="1653" spans="1:9" x14ac:dyDescent="0.25">
      <c r="A1653" s="19"/>
    </row>
    <row r="1654" spans="1:9" x14ac:dyDescent="0.25">
      <c r="A1654" s="19"/>
    </row>
  </sheetData>
  <autoFilter ref="A1:X1652" xr:uid="{D047F01A-5B64-4C83-A1AF-A5DF87116A52}"/>
  <conditionalFormatting sqref="A1:A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0FCB-A7B9-42BE-A6B9-F496B8E222EA}">
  <sheetPr>
    <pageSetUpPr fitToPage="1"/>
  </sheetPr>
  <dimension ref="A1:U5"/>
  <sheetViews>
    <sheetView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D6" sqref="D6"/>
    </sheetView>
  </sheetViews>
  <sheetFormatPr defaultColWidth="9.140625" defaultRowHeight="15" x14ac:dyDescent="0.25"/>
  <cols>
    <col min="1" max="1" width="13.85546875" style="1" customWidth="1"/>
    <col min="2" max="2" width="9.140625" style="1"/>
    <col min="3" max="3" width="52.5703125" style="1" customWidth="1"/>
    <col min="4" max="4" width="9.42578125" style="1" customWidth="1"/>
    <col min="5" max="6" width="13.28515625" style="1" bestFit="1" customWidth="1"/>
    <col min="7" max="7" width="10.5703125" style="1" bestFit="1" customWidth="1"/>
    <col min="8" max="8" width="9.42578125" style="1" customWidth="1"/>
    <col min="9" max="9" width="13.85546875" style="1" customWidth="1"/>
    <col min="10" max="10" width="11.7109375" style="1" customWidth="1"/>
    <col min="11" max="11" width="9.140625" style="1" customWidth="1"/>
    <col min="12" max="12" width="9.42578125" style="1" customWidth="1"/>
    <col min="13" max="13" width="12.140625" style="1" customWidth="1"/>
    <col min="14" max="14" width="11.7109375" style="1" customWidth="1"/>
    <col min="15" max="15" width="9.140625" style="1" customWidth="1"/>
    <col min="16" max="16" width="19.28515625" style="1" bestFit="1" customWidth="1"/>
    <col min="17" max="18" width="19.28515625" style="1" customWidth="1"/>
    <col min="19" max="19" width="16.85546875" style="1" customWidth="1"/>
    <col min="20" max="20" width="19" style="1" customWidth="1"/>
    <col min="21" max="21" width="25.5703125" style="6" customWidth="1"/>
    <col min="22" max="22" width="28" style="1" bestFit="1" customWidth="1"/>
    <col min="23" max="16384" width="9.140625" style="1"/>
  </cols>
  <sheetData>
    <row r="1" spans="1:17" ht="60" x14ac:dyDescent="0.25">
      <c r="A1" s="3" t="s">
        <v>0</v>
      </c>
      <c r="B1" s="3" t="s">
        <v>3286</v>
      </c>
      <c r="C1" s="3" t="s">
        <v>1</v>
      </c>
      <c r="D1" s="3" t="s">
        <v>3287</v>
      </c>
      <c r="E1" s="8" t="s">
        <v>3285</v>
      </c>
      <c r="F1" s="8" t="s">
        <v>3282</v>
      </c>
      <c r="G1" s="5" t="s">
        <v>3288</v>
      </c>
    </row>
    <row r="2" spans="1:17" x14ac:dyDescent="0.25">
      <c r="A2" s="1" t="s">
        <v>1653</v>
      </c>
      <c r="B2" s="1">
        <v>3000</v>
      </c>
      <c r="C2" s="1" t="s">
        <v>1654</v>
      </c>
      <c r="D2" s="1" t="s">
        <v>3292</v>
      </c>
      <c r="E2" s="6">
        <f>F2/G2</f>
        <v>2.1922925625158274</v>
      </c>
      <c r="F2" s="6">
        <v>35667.46</v>
      </c>
      <c r="G2" s="6">
        <v>16269.48</v>
      </c>
      <c r="Q2" s="11"/>
    </row>
    <row r="3" spans="1:17" x14ac:dyDescent="0.25">
      <c r="A3" s="1" t="s">
        <v>1655</v>
      </c>
      <c r="B3" s="1">
        <v>3004</v>
      </c>
      <c r="C3" s="1" t="s">
        <v>1656</v>
      </c>
      <c r="D3" s="1" t="s">
        <v>3292</v>
      </c>
      <c r="E3" s="6">
        <f t="shared" ref="E3:E4" si="0">F3/G3</f>
        <v>1.9807300257848097</v>
      </c>
      <c r="F3" s="6">
        <v>4285.66</v>
      </c>
      <c r="G3" s="6">
        <v>2163.6770000000001</v>
      </c>
    </row>
    <row r="4" spans="1:17" x14ac:dyDescent="0.25">
      <c r="A4" s="1" t="s">
        <v>3280</v>
      </c>
      <c r="B4" s="1">
        <v>14580</v>
      </c>
      <c r="C4" s="1" t="s">
        <v>3281</v>
      </c>
      <c r="D4" s="1" t="s">
        <v>1625</v>
      </c>
      <c r="E4" s="6">
        <f t="shared" si="0"/>
        <v>1000556.76</v>
      </c>
      <c r="F4" s="6">
        <v>1000556.76</v>
      </c>
      <c r="G4" s="6">
        <v>1</v>
      </c>
    </row>
    <row r="5" spans="1:17" x14ac:dyDescent="0.25">
      <c r="A5" s="1" t="s">
        <v>3283</v>
      </c>
      <c r="B5" s="1">
        <v>1</v>
      </c>
      <c r="C5" s="1" t="s">
        <v>3284</v>
      </c>
      <c r="D5" s="1" t="s">
        <v>1625</v>
      </c>
      <c r="E5" s="6"/>
      <c r="F5" s="6">
        <v>484440.68</v>
      </c>
      <c r="G5" s="6"/>
    </row>
  </sheetData>
  <conditionalFormatting sqref="A1">
    <cfRule type="duplicateValues" dxfId="7" priority="1"/>
    <cfRule type="duplicateValues" dxfId="6" priority="2"/>
  </conditionalFormatting>
  <conditionalFormatting sqref="B2:B1048576">
    <cfRule type="duplicateValues" dxfId="5" priority="4"/>
  </conditionalFormatting>
  <pageMargins left="0" right="0" top="0.74803149606299213" bottom="0.74803149606299213" header="0.31496062992125984" footer="0.31496062992125984"/>
  <pageSetup scale="41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07F6-5FFC-4BF3-B97C-12BE7E088C84}">
  <dimension ref="A1:E3269"/>
  <sheetViews>
    <sheetView workbookViewId="0">
      <selection sqref="A1:E1048576"/>
    </sheetView>
  </sheetViews>
  <sheetFormatPr defaultRowHeight="12.75" x14ac:dyDescent="0.2"/>
  <cols>
    <col min="1" max="1" width="30.7109375" style="16" customWidth="1"/>
    <col min="2" max="5" width="30.7109375" customWidth="1"/>
  </cols>
  <sheetData>
    <row r="1" spans="1:5" ht="15" x14ac:dyDescent="0.25">
      <c r="A1" s="12" t="s">
        <v>3297</v>
      </c>
      <c r="B1" s="13" t="s">
        <v>3298</v>
      </c>
      <c r="C1" s="13" t="s">
        <v>3299</v>
      </c>
      <c r="D1" s="13" t="s">
        <v>3300</v>
      </c>
      <c r="E1" s="13" t="s">
        <v>3301</v>
      </c>
    </row>
    <row r="2" spans="1:5" ht="38.25" x14ac:dyDescent="0.2">
      <c r="A2" s="14" t="s">
        <v>3302</v>
      </c>
      <c r="B2" s="15" t="s">
        <v>1503</v>
      </c>
      <c r="C2" s="15" t="s">
        <v>3303</v>
      </c>
      <c r="D2" s="15" t="s">
        <v>3304</v>
      </c>
      <c r="E2" s="15" t="s">
        <v>3305</v>
      </c>
    </row>
    <row r="3" spans="1:5" ht="38.25" x14ac:dyDescent="0.2">
      <c r="A3" s="14" t="s">
        <v>3306</v>
      </c>
      <c r="B3" s="15" t="s">
        <v>1504</v>
      </c>
      <c r="C3" s="15" t="s">
        <v>3303</v>
      </c>
      <c r="D3" s="15" t="s">
        <v>3304</v>
      </c>
      <c r="E3" s="15" t="s">
        <v>3307</v>
      </c>
    </row>
    <row r="4" spans="1:5" ht="25.5" x14ac:dyDescent="0.2">
      <c r="A4" s="14" t="s">
        <v>3308</v>
      </c>
      <c r="B4" s="15" t="s">
        <v>3309</v>
      </c>
      <c r="C4" s="15" t="s">
        <v>3310</v>
      </c>
      <c r="D4" s="15" t="s">
        <v>3311</v>
      </c>
      <c r="E4" s="15" t="s">
        <v>3312</v>
      </c>
    </row>
    <row r="5" spans="1:5" ht="25.5" x14ac:dyDescent="0.2">
      <c r="A5" s="14" t="s">
        <v>3313</v>
      </c>
      <c r="B5" s="15" t="s">
        <v>3314</v>
      </c>
      <c r="C5" s="15" t="s">
        <v>3310</v>
      </c>
      <c r="D5" s="15" t="s">
        <v>3311</v>
      </c>
      <c r="E5" s="15" t="s">
        <v>3315</v>
      </c>
    </row>
    <row r="6" spans="1:5" ht="25.5" x14ac:dyDescent="0.2">
      <c r="A6" s="14" t="s">
        <v>3316</v>
      </c>
      <c r="B6" s="15" t="s">
        <v>3317</v>
      </c>
      <c r="C6" s="15" t="s">
        <v>3318</v>
      </c>
      <c r="D6" s="15" t="s">
        <v>3319</v>
      </c>
      <c r="E6" s="15" t="s">
        <v>3320</v>
      </c>
    </row>
    <row r="7" spans="1:5" ht="25.5" x14ac:dyDescent="0.2">
      <c r="A7" s="14" t="s">
        <v>3321</v>
      </c>
      <c r="B7" s="15" t="s">
        <v>3322</v>
      </c>
      <c r="C7" s="15" t="s">
        <v>3323</v>
      </c>
      <c r="D7" s="15" t="s">
        <v>3324</v>
      </c>
      <c r="E7" s="15" t="s">
        <v>3325</v>
      </c>
    </row>
    <row r="8" spans="1:5" ht="25.5" x14ac:dyDescent="0.2">
      <c r="A8" s="14" t="s">
        <v>3326</v>
      </c>
      <c r="B8" s="15" t="s">
        <v>3327</v>
      </c>
      <c r="C8" s="15" t="s">
        <v>3328</v>
      </c>
      <c r="D8" s="15" t="s">
        <v>3329</v>
      </c>
      <c r="E8" s="15" t="s">
        <v>3330</v>
      </c>
    </row>
    <row r="9" spans="1:5" ht="25.5" x14ac:dyDescent="0.2">
      <c r="A9" s="14" t="s">
        <v>3331</v>
      </c>
      <c r="B9" s="15" t="s">
        <v>3332</v>
      </c>
      <c r="C9" s="15" t="s">
        <v>3328</v>
      </c>
      <c r="D9" s="15" t="s">
        <v>3329</v>
      </c>
      <c r="E9" s="15" t="s">
        <v>3333</v>
      </c>
    </row>
    <row r="10" spans="1:5" ht="25.5" x14ac:dyDescent="0.2">
      <c r="A10" s="14" t="s">
        <v>3334</v>
      </c>
      <c r="B10" s="15" t="s">
        <v>3335</v>
      </c>
      <c r="C10" s="15" t="s">
        <v>3328</v>
      </c>
      <c r="D10" s="15" t="s">
        <v>3329</v>
      </c>
      <c r="E10" s="15" t="s">
        <v>3336</v>
      </c>
    </row>
    <row r="11" spans="1:5" ht="25.5" x14ac:dyDescent="0.2">
      <c r="A11" s="14" t="s">
        <v>3337</v>
      </c>
      <c r="B11" s="15" t="s">
        <v>3338</v>
      </c>
      <c r="C11" s="15" t="s">
        <v>3339</v>
      </c>
      <c r="D11" s="15" t="s">
        <v>3340</v>
      </c>
      <c r="E11" s="15" t="s">
        <v>3341</v>
      </c>
    </row>
    <row r="12" spans="1:5" ht="25.5" x14ac:dyDescent="0.2">
      <c r="A12" s="14" t="s">
        <v>3342</v>
      </c>
      <c r="B12" s="15" t="s">
        <v>915</v>
      </c>
      <c r="C12" s="15" t="s">
        <v>3343</v>
      </c>
      <c r="D12" s="15" t="s">
        <v>3344</v>
      </c>
      <c r="E12" s="15" t="s">
        <v>3345</v>
      </c>
    </row>
    <row r="13" spans="1:5" ht="25.5" x14ac:dyDescent="0.2">
      <c r="A13" s="14" t="s">
        <v>3346</v>
      </c>
      <c r="B13" s="15" t="s">
        <v>916</v>
      </c>
      <c r="C13" s="15" t="s">
        <v>3343</v>
      </c>
      <c r="D13" s="15" t="s">
        <v>3344</v>
      </c>
      <c r="E13" s="15" t="s">
        <v>3347</v>
      </c>
    </row>
    <row r="14" spans="1:5" ht="25.5" x14ac:dyDescent="0.2">
      <c r="A14" s="14" t="s">
        <v>3348</v>
      </c>
      <c r="B14" s="15" t="s">
        <v>3349</v>
      </c>
      <c r="C14" s="15" t="s">
        <v>3350</v>
      </c>
      <c r="D14" s="15" t="s">
        <v>3351</v>
      </c>
      <c r="E14" s="15" t="s">
        <v>3352</v>
      </c>
    </row>
    <row r="15" spans="1:5" ht="25.5" x14ac:dyDescent="0.2">
      <c r="A15" s="14" t="s">
        <v>3353</v>
      </c>
      <c r="B15" s="15" t="s">
        <v>422</v>
      </c>
      <c r="C15" s="15" t="s">
        <v>3354</v>
      </c>
      <c r="D15" s="15" t="s">
        <v>3355</v>
      </c>
      <c r="E15" s="15" t="s">
        <v>3356</v>
      </c>
    </row>
    <row r="16" spans="1:5" ht="25.5" x14ac:dyDescent="0.2">
      <c r="A16" s="14" t="s">
        <v>3357</v>
      </c>
      <c r="B16" s="15" t="s">
        <v>3358</v>
      </c>
      <c r="C16" s="15" t="s">
        <v>3354</v>
      </c>
      <c r="D16" s="15" t="s">
        <v>3355</v>
      </c>
      <c r="E16" s="15" t="s">
        <v>3359</v>
      </c>
    </row>
    <row r="17" spans="1:5" ht="25.5" x14ac:dyDescent="0.2">
      <c r="A17" s="14" t="s">
        <v>3360</v>
      </c>
      <c r="B17" s="15" t="s">
        <v>3361</v>
      </c>
      <c r="C17" s="15" t="s">
        <v>3354</v>
      </c>
      <c r="D17" s="15" t="s">
        <v>3355</v>
      </c>
      <c r="E17" s="15" t="s">
        <v>3362</v>
      </c>
    </row>
    <row r="18" spans="1:5" ht="25.5" x14ac:dyDescent="0.2">
      <c r="A18" s="14" t="s">
        <v>3363</v>
      </c>
      <c r="B18" s="15" t="s">
        <v>3364</v>
      </c>
      <c r="C18" s="15" t="s">
        <v>3365</v>
      </c>
      <c r="D18" s="15" t="s">
        <v>3366</v>
      </c>
      <c r="E18" s="15" t="s">
        <v>3367</v>
      </c>
    </row>
    <row r="19" spans="1:5" ht="25.5" x14ac:dyDescent="0.2">
      <c r="A19" s="14" t="s">
        <v>3368</v>
      </c>
      <c r="B19" s="15" t="s">
        <v>3369</v>
      </c>
      <c r="C19" s="15" t="s">
        <v>3370</v>
      </c>
      <c r="D19" s="15" t="s">
        <v>3371</v>
      </c>
      <c r="E19" s="15" t="s">
        <v>3372</v>
      </c>
    </row>
    <row r="20" spans="1:5" ht="25.5" x14ac:dyDescent="0.2">
      <c r="A20" s="14" t="s">
        <v>3373</v>
      </c>
      <c r="B20" s="15" t="s">
        <v>3374</v>
      </c>
      <c r="C20" s="15" t="s">
        <v>3370</v>
      </c>
      <c r="D20" s="15" t="s">
        <v>3371</v>
      </c>
      <c r="E20" s="15" t="s">
        <v>3375</v>
      </c>
    </row>
    <row r="21" spans="1:5" ht="25.5" x14ac:dyDescent="0.2">
      <c r="A21" s="14" t="s">
        <v>3376</v>
      </c>
      <c r="B21" s="15" t="s">
        <v>3377</v>
      </c>
      <c r="C21" s="15" t="s">
        <v>3370</v>
      </c>
      <c r="D21" s="15" t="s">
        <v>3371</v>
      </c>
      <c r="E21" s="15" t="s">
        <v>3378</v>
      </c>
    </row>
    <row r="22" spans="1:5" ht="25.5" x14ac:dyDescent="0.2">
      <c r="A22" s="14"/>
      <c r="B22" s="15" t="s">
        <v>3379</v>
      </c>
      <c r="C22" s="15" t="s">
        <v>3339</v>
      </c>
      <c r="D22" s="15" t="s">
        <v>3340</v>
      </c>
      <c r="E22" s="15" t="s">
        <v>3380</v>
      </c>
    </row>
    <row r="23" spans="1:5" ht="25.5" x14ac:dyDescent="0.2">
      <c r="A23" s="14" t="s">
        <v>3381</v>
      </c>
      <c r="B23" s="15" t="s">
        <v>3382</v>
      </c>
      <c r="C23" s="15" t="s">
        <v>3383</v>
      </c>
      <c r="D23" s="15" t="s">
        <v>3384</v>
      </c>
      <c r="E23" s="15" t="s">
        <v>3385</v>
      </c>
    </row>
    <row r="24" spans="1:5" ht="25.5" x14ac:dyDescent="0.2">
      <c r="A24" s="14" t="s">
        <v>3386</v>
      </c>
      <c r="B24" s="15" t="s">
        <v>3387</v>
      </c>
      <c r="C24" s="15" t="s">
        <v>3383</v>
      </c>
      <c r="D24" s="15" t="s">
        <v>3384</v>
      </c>
      <c r="E24" s="15" t="s">
        <v>3388</v>
      </c>
    </row>
    <row r="25" spans="1:5" ht="25.5" x14ac:dyDescent="0.2">
      <c r="A25" s="14" t="s">
        <v>3389</v>
      </c>
      <c r="B25" s="15" t="s">
        <v>3390</v>
      </c>
      <c r="C25" s="15" t="s">
        <v>3383</v>
      </c>
      <c r="D25" s="15" t="s">
        <v>3384</v>
      </c>
      <c r="E25" s="15" t="s">
        <v>3391</v>
      </c>
    </row>
    <row r="26" spans="1:5" ht="25.5" x14ac:dyDescent="0.2">
      <c r="A26" s="14" t="s">
        <v>3392</v>
      </c>
      <c r="B26" s="15" t="s">
        <v>832</v>
      </c>
      <c r="C26" s="15" t="s">
        <v>3383</v>
      </c>
      <c r="D26" s="15" t="s">
        <v>3384</v>
      </c>
      <c r="E26" s="15" t="s">
        <v>3393</v>
      </c>
    </row>
    <row r="27" spans="1:5" ht="38.25" x14ac:dyDescent="0.2">
      <c r="A27" s="14" t="s">
        <v>3394</v>
      </c>
      <c r="B27" s="15" t="s">
        <v>1502</v>
      </c>
      <c r="C27" s="15" t="s">
        <v>3395</v>
      </c>
      <c r="D27" s="15" t="s">
        <v>3396</v>
      </c>
      <c r="E27" s="15" t="s">
        <v>3397</v>
      </c>
    </row>
    <row r="28" spans="1:5" ht="38.25" x14ac:dyDescent="0.2">
      <c r="A28" s="14" t="s">
        <v>3398</v>
      </c>
      <c r="B28" s="15" t="s">
        <v>1505</v>
      </c>
      <c r="C28" s="15" t="s">
        <v>3395</v>
      </c>
      <c r="D28" s="15" t="s">
        <v>3396</v>
      </c>
      <c r="E28" s="15" t="s">
        <v>3399</v>
      </c>
    </row>
    <row r="29" spans="1:5" ht="38.25" x14ac:dyDescent="0.2">
      <c r="A29" s="14" t="s">
        <v>3400</v>
      </c>
      <c r="B29" s="15" t="s">
        <v>1506</v>
      </c>
      <c r="C29" s="15" t="s">
        <v>3395</v>
      </c>
      <c r="D29" s="15" t="s">
        <v>3396</v>
      </c>
      <c r="E29" s="15" t="s">
        <v>3401</v>
      </c>
    </row>
    <row r="30" spans="1:5" ht="38.25" x14ac:dyDescent="0.2">
      <c r="A30" s="14" t="s">
        <v>3402</v>
      </c>
      <c r="B30" s="15" t="s">
        <v>1507</v>
      </c>
      <c r="C30" s="15" t="s">
        <v>3395</v>
      </c>
      <c r="D30" s="15" t="s">
        <v>3396</v>
      </c>
      <c r="E30" s="15" t="s">
        <v>3403</v>
      </c>
    </row>
    <row r="31" spans="1:5" ht="25.5" x14ac:dyDescent="0.2">
      <c r="A31" s="14" t="s">
        <v>3404</v>
      </c>
      <c r="B31" s="15" t="s">
        <v>3405</v>
      </c>
      <c r="C31" s="15" t="s">
        <v>3406</v>
      </c>
      <c r="D31" s="15" t="s">
        <v>3407</v>
      </c>
      <c r="E31" s="15" t="s">
        <v>3408</v>
      </c>
    </row>
    <row r="32" spans="1:5" ht="25.5" x14ac:dyDescent="0.2">
      <c r="A32" s="14" t="s">
        <v>3409</v>
      </c>
      <c r="B32" s="15" t="s">
        <v>1542</v>
      </c>
      <c r="C32" s="15" t="s">
        <v>3410</v>
      </c>
      <c r="D32" s="15" t="s">
        <v>3411</v>
      </c>
      <c r="E32" s="15" t="s">
        <v>3412</v>
      </c>
    </row>
    <row r="33" spans="1:5" ht="25.5" x14ac:dyDescent="0.2">
      <c r="A33" s="14" t="s">
        <v>3413</v>
      </c>
      <c r="B33" s="15" t="s">
        <v>3414</v>
      </c>
      <c r="C33" s="15" t="s">
        <v>3410</v>
      </c>
      <c r="D33" s="15" t="s">
        <v>3411</v>
      </c>
      <c r="E33" s="15" t="s">
        <v>3415</v>
      </c>
    </row>
    <row r="34" spans="1:5" ht="25.5" x14ac:dyDescent="0.2">
      <c r="A34" s="14" t="s">
        <v>3416</v>
      </c>
      <c r="B34" s="15" t="s">
        <v>3417</v>
      </c>
      <c r="C34" s="15" t="s">
        <v>3418</v>
      </c>
      <c r="D34" s="15" t="s">
        <v>3419</v>
      </c>
      <c r="E34" s="15" t="s">
        <v>3420</v>
      </c>
    </row>
    <row r="35" spans="1:5" ht="25.5" x14ac:dyDescent="0.2">
      <c r="A35" s="14" t="s">
        <v>3421</v>
      </c>
      <c r="B35" s="15" t="s">
        <v>3422</v>
      </c>
      <c r="C35" s="15" t="s">
        <v>3423</v>
      </c>
      <c r="D35" s="15" t="s">
        <v>3424</v>
      </c>
      <c r="E35" s="15" t="s">
        <v>3425</v>
      </c>
    </row>
    <row r="36" spans="1:5" ht="25.5" x14ac:dyDescent="0.2">
      <c r="A36" s="14" t="s">
        <v>3426</v>
      </c>
      <c r="B36" s="15" t="s">
        <v>3427</v>
      </c>
      <c r="C36" s="15" t="s">
        <v>3423</v>
      </c>
      <c r="D36" s="15" t="s">
        <v>3424</v>
      </c>
      <c r="E36" s="15" t="s">
        <v>3428</v>
      </c>
    </row>
    <row r="37" spans="1:5" ht="25.5" x14ac:dyDescent="0.2">
      <c r="A37" s="14" t="s">
        <v>3429</v>
      </c>
      <c r="B37" s="15" t="s">
        <v>3430</v>
      </c>
      <c r="C37" s="15" t="s">
        <v>3431</v>
      </c>
      <c r="D37" s="15" t="s">
        <v>3432</v>
      </c>
      <c r="E37" s="15" t="s">
        <v>3433</v>
      </c>
    </row>
    <row r="38" spans="1:5" ht="25.5" x14ac:dyDescent="0.2">
      <c r="A38" s="14" t="s">
        <v>3434</v>
      </c>
      <c r="B38" s="15" t="s">
        <v>357</v>
      </c>
      <c r="C38" s="15" t="s">
        <v>3435</v>
      </c>
      <c r="D38" s="15" t="s">
        <v>3436</v>
      </c>
      <c r="E38" s="15" t="s">
        <v>3437</v>
      </c>
    </row>
    <row r="39" spans="1:5" ht="25.5" x14ac:dyDescent="0.2">
      <c r="A39" s="14" t="s">
        <v>3438</v>
      </c>
      <c r="B39" s="15" t="s">
        <v>3439</v>
      </c>
      <c r="C39" s="15" t="s">
        <v>3435</v>
      </c>
      <c r="D39" s="15" t="s">
        <v>3436</v>
      </c>
      <c r="E39" s="15" t="s">
        <v>3440</v>
      </c>
    </row>
    <row r="40" spans="1:5" ht="25.5" x14ac:dyDescent="0.2">
      <c r="A40" s="14" t="s">
        <v>3441</v>
      </c>
      <c r="B40" s="15" t="s">
        <v>3442</v>
      </c>
      <c r="C40" s="15" t="s">
        <v>3443</v>
      </c>
      <c r="D40" s="15" t="s">
        <v>3444</v>
      </c>
      <c r="E40" s="15" t="s">
        <v>3445</v>
      </c>
    </row>
    <row r="41" spans="1:5" ht="25.5" x14ac:dyDescent="0.2">
      <c r="A41" s="14" t="s">
        <v>3446</v>
      </c>
      <c r="B41" s="15" t="s">
        <v>1185</v>
      </c>
      <c r="C41" s="15" t="s">
        <v>3443</v>
      </c>
      <c r="D41" s="15" t="s">
        <v>3444</v>
      </c>
      <c r="E41" s="15" t="s">
        <v>3447</v>
      </c>
    </row>
    <row r="42" spans="1:5" ht="25.5" x14ac:dyDescent="0.2">
      <c r="A42" s="14" t="s">
        <v>3448</v>
      </c>
      <c r="B42" s="15" t="s">
        <v>1433</v>
      </c>
      <c r="C42" s="15" t="s">
        <v>3443</v>
      </c>
      <c r="D42" s="15" t="s">
        <v>3444</v>
      </c>
      <c r="E42" s="15" t="s">
        <v>3449</v>
      </c>
    </row>
    <row r="43" spans="1:5" ht="25.5" x14ac:dyDescent="0.2">
      <c r="A43" s="14" t="s">
        <v>3450</v>
      </c>
      <c r="B43" s="15" t="s">
        <v>106</v>
      </c>
      <c r="C43" s="15" t="s">
        <v>3443</v>
      </c>
      <c r="D43" s="15" t="s">
        <v>3444</v>
      </c>
      <c r="E43" s="15" t="s">
        <v>3451</v>
      </c>
    </row>
    <row r="44" spans="1:5" ht="25.5" x14ac:dyDescent="0.2">
      <c r="A44" s="14" t="s">
        <v>3452</v>
      </c>
      <c r="B44" s="15" t="s">
        <v>1434</v>
      </c>
      <c r="C44" s="15" t="s">
        <v>3443</v>
      </c>
      <c r="D44" s="15" t="s">
        <v>3444</v>
      </c>
      <c r="E44" s="15" t="s">
        <v>3453</v>
      </c>
    </row>
    <row r="45" spans="1:5" ht="25.5" x14ac:dyDescent="0.2">
      <c r="A45" s="14" t="s">
        <v>3454</v>
      </c>
      <c r="B45" s="15" t="s">
        <v>170</v>
      </c>
      <c r="C45" s="15" t="s">
        <v>3443</v>
      </c>
      <c r="D45" s="15" t="s">
        <v>3444</v>
      </c>
      <c r="E45" s="15" t="s">
        <v>3455</v>
      </c>
    </row>
    <row r="46" spans="1:5" ht="25.5" x14ac:dyDescent="0.2">
      <c r="A46" s="14" t="s">
        <v>3456</v>
      </c>
      <c r="B46" s="15" t="s">
        <v>350</v>
      </c>
      <c r="C46" s="15" t="s">
        <v>3443</v>
      </c>
      <c r="D46" s="15" t="s">
        <v>3444</v>
      </c>
      <c r="E46" s="15" t="s">
        <v>3457</v>
      </c>
    </row>
    <row r="47" spans="1:5" ht="25.5" x14ac:dyDescent="0.2">
      <c r="A47" s="14" t="s">
        <v>3458</v>
      </c>
      <c r="B47" s="15" t="s">
        <v>3459</v>
      </c>
      <c r="C47" s="15" t="s">
        <v>3443</v>
      </c>
      <c r="D47" s="15" t="s">
        <v>3444</v>
      </c>
      <c r="E47" s="15" t="s">
        <v>3460</v>
      </c>
    </row>
    <row r="48" spans="1:5" ht="25.5" x14ac:dyDescent="0.2">
      <c r="A48" s="14" t="s">
        <v>3461</v>
      </c>
      <c r="B48" s="15" t="s">
        <v>3462</v>
      </c>
      <c r="C48" s="15" t="s">
        <v>3443</v>
      </c>
      <c r="D48" s="15" t="s">
        <v>3444</v>
      </c>
      <c r="E48" s="15" t="s">
        <v>3463</v>
      </c>
    </row>
    <row r="49" spans="1:5" ht="25.5" x14ac:dyDescent="0.2">
      <c r="A49" s="14" t="s">
        <v>3464</v>
      </c>
      <c r="B49" s="15" t="s">
        <v>3465</v>
      </c>
      <c r="C49" s="15" t="s">
        <v>3443</v>
      </c>
      <c r="D49" s="15" t="s">
        <v>3444</v>
      </c>
      <c r="E49" s="15" t="s">
        <v>3466</v>
      </c>
    </row>
    <row r="50" spans="1:5" ht="25.5" x14ac:dyDescent="0.2">
      <c r="A50" s="14" t="s">
        <v>3467</v>
      </c>
      <c r="B50" s="15" t="s">
        <v>605</v>
      </c>
      <c r="C50" s="15" t="s">
        <v>3443</v>
      </c>
      <c r="D50" s="15" t="s">
        <v>3444</v>
      </c>
      <c r="E50" s="15" t="s">
        <v>3468</v>
      </c>
    </row>
    <row r="51" spans="1:5" ht="25.5" x14ac:dyDescent="0.2">
      <c r="A51" s="14" t="s">
        <v>3469</v>
      </c>
      <c r="B51" s="15" t="s">
        <v>105</v>
      </c>
      <c r="C51" s="15" t="s">
        <v>3443</v>
      </c>
      <c r="D51" s="15" t="s">
        <v>3444</v>
      </c>
      <c r="E51" s="15" t="s">
        <v>3470</v>
      </c>
    </row>
    <row r="52" spans="1:5" ht="25.5" x14ac:dyDescent="0.2">
      <c r="A52" s="14" t="s">
        <v>3471</v>
      </c>
      <c r="B52" s="15" t="s">
        <v>3472</v>
      </c>
      <c r="C52" s="15" t="s">
        <v>3443</v>
      </c>
      <c r="D52" s="15" t="s">
        <v>3444</v>
      </c>
      <c r="E52" s="15" t="s">
        <v>3473</v>
      </c>
    </row>
    <row r="53" spans="1:5" ht="25.5" x14ac:dyDescent="0.2">
      <c r="A53" s="14" t="s">
        <v>3474</v>
      </c>
      <c r="B53" s="15" t="s">
        <v>3475</v>
      </c>
      <c r="C53" s="15" t="s">
        <v>3443</v>
      </c>
      <c r="D53" s="15" t="s">
        <v>3444</v>
      </c>
      <c r="E53" s="15" t="s">
        <v>3476</v>
      </c>
    </row>
    <row r="54" spans="1:5" ht="25.5" x14ac:dyDescent="0.2">
      <c r="A54" s="14" t="s">
        <v>3477</v>
      </c>
      <c r="B54" s="15" t="s">
        <v>3478</v>
      </c>
      <c r="C54" s="15" t="s">
        <v>3443</v>
      </c>
      <c r="D54" s="15" t="s">
        <v>3444</v>
      </c>
      <c r="E54" s="15" t="s">
        <v>3479</v>
      </c>
    </row>
    <row r="55" spans="1:5" ht="25.5" x14ac:dyDescent="0.2">
      <c r="A55" s="14" t="s">
        <v>3480</v>
      </c>
      <c r="B55" s="15" t="s">
        <v>311</v>
      </c>
      <c r="C55" s="15" t="s">
        <v>3443</v>
      </c>
      <c r="D55" s="15" t="s">
        <v>3444</v>
      </c>
      <c r="E55" s="15" t="s">
        <v>3481</v>
      </c>
    </row>
    <row r="56" spans="1:5" ht="25.5" x14ac:dyDescent="0.2">
      <c r="A56" s="14" t="s">
        <v>3482</v>
      </c>
      <c r="B56" s="15" t="s">
        <v>3483</v>
      </c>
      <c r="C56" s="15" t="s">
        <v>3443</v>
      </c>
      <c r="D56" s="15" t="s">
        <v>3444</v>
      </c>
      <c r="E56" s="15" t="s">
        <v>3484</v>
      </c>
    </row>
    <row r="57" spans="1:5" ht="25.5" x14ac:dyDescent="0.2">
      <c r="A57" s="14" t="s">
        <v>3485</v>
      </c>
      <c r="B57" s="15" t="s">
        <v>3486</v>
      </c>
      <c r="C57" s="15" t="s">
        <v>3443</v>
      </c>
      <c r="D57" s="15" t="s">
        <v>3444</v>
      </c>
      <c r="E57" s="15" t="s">
        <v>3487</v>
      </c>
    </row>
    <row r="58" spans="1:5" ht="25.5" x14ac:dyDescent="0.2">
      <c r="A58" s="14" t="s">
        <v>3488</v>
      </c>
      <c r="B58" s="15" t="s">
        <v>1435</v>
      </c>
      <c r="C58" s="15" t="s">
        <v>3443</v>
      </c>
      <c r="D58" s="15" t="s">
        <v>3444</v>
      </c>
      <c r="E58" s="15" t="s">
        <v>3489</v>
      </c>
    </row>
    <row r="59" spans="1:5" ht="25.5" x14ac:dyDescent="0.2">
      <c r="A59" s="14" t="s">
        <v>3490</v>
      </c>
      <c r="B59" s="15" t="s">
        <v>197</v>
      </c>
      <c r="C59" s="15" t="s">
        <v>3491</v>
      </c>
      <c r="D59" s="15" t="s">
        <v>3492</v>
      </c>
      <c r="E59" s="15" t="s">
        <v>3493</v>
      </c>
    </row>
    <row r="60" spans="1:5" ht="25.5" x14ac:dyDescent="0.2">
      <c r="A60" s="14" t="s">
        <v>3494</v>
      </c>
      <c r="B60" s="15" t="s">
        <v>3495</v>
      </c>
      <c r="C60" s="15" t="s">
        <v>3496</v>
      </c>
      <c r="D60" s="15" t="s">
        <v>3497</v>
      </c>
      <c r="E60" s="15" t="s">
        <v>3498</v>
      </c>
    </row>
    <row r="61" spans="1:5" ht="25.5" x14ac:dyDescent="0.2">
      <c r="A61" s="14" t="s">
        <v>3499</v>
      </c>
      <c r="B61" s="15" t="s">
        <v>3500</v>
      </c>
      <c r="C61" s="15" t="s">
        <v>3501</v>
      </c>
      <c r="D61" s="15" t="s">
        <v>3502</v>
      </c>
      <c r="E61" s="15" t="s">
        <v>3503</v>
      </c>
    </row>
    <row r="62" spans="1:5" ht="25.5" x14ac:dyDescent="0.2">
      <c r="A62" s="14" t="s">
        <v>3504</v>
      </c>
      <c r="B62" s="15" t="s">
        <v>3505</v>
      </c>
      <c r="C62" s="15" t="s">
        <v>3506</v>
      </c>
      <c r="D62" s="15" t="s">
        <v>3507</v>
      </c>
      <c r="E62" s="15" t="s">
        <v>3508</v>
      </c>
    </row>
    <row r="63" spans="1:5" ht="25.5" x14ac:dyDescent="0.2">
      <c r="A63" s="14" t="s">
        <v>3509</v>
      </c>
      <c r="B63" s="15" t="s">
        <v>449</v>
      </c>
      <c r="C63" s="15" t="s">
        <v>3501</v>
      </c>
      <c r="D63" s="15" t="s">
        <v>3502</v>
      </c>
      <c r="E63" s="15" t="s">
        <v>3510</v>
      </c>
    </row>
    <row r="64" spans="1:5" ht="25.5" x14ac:dyDescent="0.2">
      <c r="A64" s="14" t="s">
        <v>3511</v>
      </c>
      <c r="B64" s="15" t="s">
        <v>3512</v>
      </c>
      <c r="C64" s="15" t="s">
        <v>3501</v>
      </c>
      <c r="D64" s="15" t="s">
        <v>3502</v>
      </c>
      <c r="E64" s="15" t="s">
        <v>3513</v>
      </c>
    </row>
    <row r="65" spans="1:5" ht="25.5" x14ac:dyDescent="0.2">
      <c r="A65" s="14" t="s">
        <v>3514</v>
      </c>
      <c r="B65" s="15" t="s">
        <v>3515</v>
      </c>
      <c r="C65" s="15" t="s">
        <v>3501</v>
      </c>
      <c r="D65" s="15" t="s">
        <v>3502</v>
      </c>
      <c r="E65" s="15" t="s">
        <v>3516</v>
      </c>
    </row>
    <row r="66" spans="1:5" ht="25.5" x14ac:dyDescent="0.2">
      <c r="A66" s="14" t="s">
        <v>3517</v>
      </c>
      <c r="B66" s="15" t="s">
        <v>3518</v>
      </c>
      <c r="C66" s="15" t="s">
        <v>3423</v>
      </c>
      <c r="D66" s="15" t="s">
        <v>3424</v>
      </c>
      <c r="E66" s="15" t="s">
        <v>3519</v>
      </c>
    </row>
    <row r="67" spans="1:5" ht="25.5" x14ac:dyDescent="0.2">
      <c r="A67" s="14" t="s">
        <v>3520</v>
      </c>
      <c r="B67" s="15" t="s">
        <v>3521</v>
      </c>
      <c r="C67" s="15" t="s">
        <v>3501</v>
      </c>
      <c r="D67" s="15" t="s">
        <v>3502</v>
      </c>
      <c r="E67" s="15" t="s">
        <v>3522</v>
      </c>
    </row>
    <row r="68" spans="1:5" ht="25.5" x14ac:dyDescent="0.2">
      <c r="A68" s="14" t="s">
        <v>3523</v>
      </c>
      <c r="B68" s="15" t="s">
        <v>3524</v>
      </c>
      <c r="C68" s="15" t="s">
        <v>3501</v>
      </c>
      <c r="D68" s="15" t="s">
        <v>3502</v>
      </c>
      <c r="E68" s="15" t="s">
        <v>3525</v>
      </c>
    </row>
    <row r="69" spans="1:5" ht="25.5" x14ac:dyDescent="0.2">
      <c r="A69" s="14" t="s">
        <v>3526</v>
      </c>
      <c r="B69" s="15" t="s">
        <v>508</v>
      </c>
      <c r="C69" s="15" t="s">
        <v>3501</v>
      </c>
      <c r="D69" s="15" t="s">
        <v>3502</v>
      </c>
      <c r="E69" s="15" t="s">
        <v>3527</v>
      </c>
    </row>
    <row r="70" spans="1:5" ht="25.5" x14ac:dyDescent="0.2">
      <c r="A70" s="14" t="s">
        <v>3528</v>
      </c>
      <c r="B70" s="15" t="s">
        <v>310</v>
      </c>
      <c r="C70" s="15" t="s">
        <v>3501</v>
      </c>
      <c r="D70" s="15" t="s">
        <v>3502</v>
      </c>
      <c r="E70" s="15" t="s">
        <v>3529</v>
      </c>
    </row>
    <row r="71" spans="1:5" ht="25.5" x14ac:dyDescent="0.2">
      <c r="A71" s="14" t="s">
        <v>3530</v>
      </c>
      <c r="B71" s="15" t="s">
        <v>3531</v>
      </c>
      <c r="C71" s="15" t="s">
        <v>3496</v>
      </c>
      <c r="D71" s="15" t="s">
        <v>3497</v>
      </c>
      <c r="E71" s="15" t="s">
        <v>3532</v>
      </c>
    </row>
    <row r="72" spans="1:5" ht="25.5" x14ac:dyDescent="0.2">
      <c r="A72" s="14" t="s">
        <v>3533</v>
      </c>
      <c r="B72" s="15" t="s">
        <v>3534</v>
      </c>
      <c r="C72" s="15" t="s">
        <v>3535</v>
      </c>
      <c r="D72" s="15" t="s">
        <v>3536</v>
      </c>
      <c r="E72" s="15" t="s">
        <v>3537</v>
      </c>
    </row>
    <row r="73" spans="1:5" ht="25.5" x14ac:dyDescent="0.2">
      <c r="A73" s="14" t="s">
        <v>3538</v>
      </c>
      <c r="B73" s="15" t="s">
        <v>3539</v>
      </c>
      <c r="C73" s="15" t="s">
        <v>3535</v>
      </c>
      <c r="D73" s="15" t="s">
        <v>3536</v>
      </c>
      <c r="E73" s="15" t="s">
        <v>3540</v>
      </c>
    </row>
    <row r="74" spans="1:5" ht="25.5" x14ac:dyDescent="0.2">
      <c r="A74" s="14" t="s">
        <v>3541</v>
      </c>
      <c r="B74" s="15" t="s">
        <v>3542</v>
      </c>
      <c r="C74" s="15" t="s">
        <v>3535</v>
      </c>
      <c r="D74" s="15" t="s">
        <v>3536</v>
      </c>
      <c r="E74" s="15" t="s">
        <v>3543</v>
      </c>
    </row>
    <row r="75" spans="1:5" ht="25.5" x14ac:dyDescent="0.2">
      <c r="A75" s="14" t="s">
        <v>3544</v>
      </c>
      <c r="B75" s="15" t="s">
        <v>195</v>
      </c>
      <c r="C75" s="15" t="s">
        <v>3535</v>
      </c>
      <c r="D75" s="15" t="s">
        <v>3536</v>
      </c>
      <c r="E75" s="15" t="s">
        <v>3545</v>
      </c>
    </row>
    <row r="76" spans="1:5" ht="25.5" x14ac:dyDescent="0.2">
      <c r="A76" s="14" t="s">
        <v>3546</v>
      </c>
      <c r="B76" s="15" t="s">
        <v>3547</v>
      </c>
      <c r="C76" s="15" t="s">
        <v>3496</v>
      </c>
      <c r="D76" s="15" t="s">
        <v>3497</v>
      </c>
      <c r="E76" s="15" t="s">
        <v>3548</v>
      </c>
    </row>
    <row r="77" spans="1:5" ht="25.5" x14ac:dyDescent="0.2">
      <c r="A77" s="14" t="s">
        <v>3549</v>
      </c>
      <c r="B77" s="15" t="s">
        <v>295</v>
      </c>
      <c r="C77" s="15" t="s">
        <v>3491</v>
      </c>
      <c r="D77" s="15" t="s">
        <v>3492</v>
      </c>
      <c r="E77" s="15" t="s">
        <v>3550</v>
      </c>
    </row>
    <row r="78" spans="1:5" ht="25.5" x14ac:dyDescent="0.2">
      <c r="A78" s="14" t="s">
        <v>3551</v>
      </c>
      <c r="B78" s="15" t="s">
        <v>3552</v>
      </c>
      <c r="C78" s="15" t="s">
        <v>3491</v>
      </c>
      <c r="D78" s="15" t="s">
        <v>3492</v>
      </c>
      <c r="E78" s="15" t="s">
        <v>3553</v>
      </c>
    </row>
    <row r="79" spans="1:5" ht="25.5" x14ac:dyDescent="0.2">
      <c r="A79" s="14" t="s">
        <v>3554</v>
      </c>
      <c r="B79" s="15" t="s">
        <v>3555</v>
      </c>
      <c r="C79" s="15" t="s">
        <v>3491</v>
      </c>
      <c r="D79" s="15" t="s">
        <v>3492</v>
      </c>
      <c r="E79" s="15" t="s">
        <v>3556</v>
      </c>
    </row>
    <row r="80" spans="1:5" ht="25.5" x14ac:dyDescent="0.2">
      <c r="A80" s="14" t="s">
        <v>3557</v>
      </c>
      <c r="B80" s="15" t="s">
        <v>726</v>
      </c>
      <c r="C80" s="15" t="s">
        <v>3558</v>
      </c>
      <c r="D80" s="15" t="s">
        <v>3559</v>
      </c>
      <c r="E80" s="15" t="s">
        <v>3560</v>
      </c>
    </row>
    <row r="81" spans="1:5" ht="25.5" x14ac:dyDescent="0.2">
      <c r="A81" s="14" t="s">
        <v>3561</v>
      </c>
      <c r="B81" s="15" t="s">
        <v>3562</v>
      </c>
      <c r="C81" s="15" t="s">
        <v>3563</v>
      </c>
      <c r="D81" s="15" t="s">
        <v>3564</v>
      </c>
      <c r="E81" s="15" t="s">
        <v>3565</v>
      </c>
    </row>
    <row r="82" spans="1:5" ht="38.25" x14ac:dyDescent="0.2">
      <c r="A82" s="14" t="s">
        <v>3566</v>
      </c>
      <c r="B82" s="15" t="s">
        <v>3567</v>
      </c>
      <c r="C82" s="15" t="s">
        <v>3423</v>
      </c>
      <c r="D82" s="15" t="s">
        <v>3424</v>
      </c>
      <c r="E82" s="15" t="s">
        <v>3568</v>
      </c>
    </row>
    <row r="83" spans="1:5" ht="25.5" x14ac:dyDescent="0.2">
      <c r="A83" s="14" t="s">
        <v>3569</v>
      </c>
      <c r="B83" s="15" t="s">
        <v>3570</v>
      </c>
      <c r="C83" s="15" t="s">
        <v>3571</v>
      </c>
      <c r="D83" s="15" t="s">
        <v>3572</v>
      </c>
      <c r="E83" s="15" t="s">
        <v>3573</v>
      </c>
    </row>
    <row r="84" spans="1:5" ht="25.5" x14ac:dyDescent="0.2">
      <c r="A84" s="14" t="s">
        <v>3574</v>
      </c>
      <c r="B84" s="15" t="s">
        <v>3575</v>
      </c>
      <c r="C84" s="15" t="s">
        <v>3576</v>
      </c>
      <c r="D84" s="15" t="s">
        <v>3577</v>
      </c>
      <c r="E84" s="15" t="s">
        <v>3578</v>
      </c>
    </row>
    <row r="85" spans="1:5" ht="25.5" x14ac:dyDescent="0.2">
      <c r="A85" s="14" t="s">
        <v>3579</v>
      </c>
      <c r="B85" s="15" t="s">
        <v>3580</v>
      </c>
      <c r="C85" s="15" t="s">
        <v>3491</v>
      </c>
      <c r="D85" s="15" t="s">
        <v>3492</v>
      </c>
      <c r="E85" s="15" t="s">
        <v>3581</v>
      </c>
    </row>
    <row r="86" spans="1:5" ht="25.5" x14ac:dyDescent="0.2">
      <c r="A86" s="14" t="s">
        <v>3582</v>
      </c>
      <c r="B86" s="15" t="s">
        <v>65</v>
      </c>
      <c r="C86" s="15" t="s">
        <v>3583</v>
      </c>
      <c r="D86" s="15" t="s">
        <v>3584</v>
      </c>
      <c r="E86" s="15" t="s">
        <v>3585</v>
      </c>
    </row>
    <row r="87" spans="1:5" ht="25.5" x14ac:dyDescent="0.2">
      <c r="A87" s="14" t="s">
        <v>3586</v>
      </c>
      <c r="B87" s="15" t="s">
        <v>66</v>
      </c>
      <c r="C87" s="15" t="s">
        <v>3583</v>
      </c>
      <c r="D87" s="15" t="s">
        <v>3584</v>
      </c>
      <c r="E87" s="15" t="s">
        <v>3587</v>
      </c>
    </row>
    <row r="88" spans="1:5" ht="25.5" x14ac:dyDescent="0.2">
      <c r="A88" s="14" t="s">
        <v>3588</v>
      </c>
      <c r="B88" s="15" t="s">
        <v>68</v>
      </c>
      <c r="C88" s="15" t="s">
        <v>3583</v>
      </c>
      <c r="D88" s="15" t="s">
        <v>3584</v>
      </c>
      <c r="E88" s="15" t="s">
        <v>3589</v>
      </c>
    </row>
    <row r="89" spans="1:5" ht="25.5" x14ac:dyDescent="0.2">
      <c r="A89" s="14" t="s">
        <v>3590</v>
      </c>
      <c r="B89" s="15" t="s">
        <v>3591</v>
      </c>
      <c r="C89" s="15" t="s">
        <v>3583</v>
      </c>
      <c r="D89" s="15" t="s">
        <v>3584</v>
      </c>
      <c r="E89" s="15" t="s">
        <v>3592</v>
      </c>
    </row>
    <row r="90" spans="1:5" ht="25.5" x14ac:dyDescent="0.2">
      <c r="A90" s="14" t="s">
        <v>3593</v>
      </c>
      <c r="B90" s="15" t="s">
        <v>160</v>
      </c>
      <c r="C90" s="15" t="s">
        <v>3583</v>
      </c>
      <c r="D90" s="15" t="s">
        <v>3584</v>
      </c>
      <c r="E90" s="15" t="s">
        <v>3594</v>
      </c>
    </row>
    <row r="91" spans="1:5" ht="25.5" x14ac:dyDescent="0.2">
      <c r="A91" s="14" t="s">
        <v>3595</v>
      </c>
      <c r="B91" s="15" t="s">
        <v>161</v>
      </c>
      <c r="C91" s="15" t="s">
        <v>3583</v>
      </c>
      <c r="D91" s="15" t="s">
        <v>3584</v>
      </c>
      <c r="E91" s="15" t="s">
        <v>3596</v>
      </c>
    </row>
    <row r="92" spans="1:5" ht="25.5" x14ac:dyDescent="0.2">
      <c r="A92" s="14" t="s">
        <v>3597</v>
      </c>
      <c r="B92" s="15" t="s">
        <v>3598</v>
      </c>
      <c r="C92" s="15" t="s">
        <v>3583</v>
      </c>
      <c r="D92" s="15" t="s">
        <v>3584</v>
      </c>
      <c r="E92" s="15" t="s">
        <v>3599</v>
      </c>
    </row>
    <row r="93" spans="1:5" ht="25.5" x14ac:dyDescent="0.2">
      <c r="A93" s="14" t="s">
        <v>3600</v>
      </c>
      <c r="B93" s="15" t="s">
        <v>3601</v>
      </c>
      <c r="C93" s="15" t="s">
        <v>3583</v>
      </c>
      <c r="D93" s="15" t="s">
        <v>3584</v>
      </c>
      <c r="E93" s="15" t="s">
        <v>3602</v>
      </c>
    </row>
    <row r="94" spans="1:5" ht="25.5" x14ac:dyDescent="0.2">
      <c r="A94" s="14" t="s">
        <v>3603</v>
      </c>
      <c r="B94" s="15" t="s">
        <v>3604</v>
      </c>
      <c r="C94" s="15" t="s">
        <v>3583</v>
      </c>
      <c r="D94" s="15" t="s">
        <v>3584</v>
      </c>
      <c r="E94" s="15" t="s">
        <v>3605</v>
      </c>
    </row>
    <row r="95" spans="1:5" ht="25.5" x14ac:dyDescent="0.2">
      <c r="A95" s="14" t="s">
        <v>3606</v>
      </c>
      <c r="B95" s="15" t="s">
        <v>158</v>
      </c>
      <c r="C95" s="15" t="s">
        <v>3583</v>
      </c>
      <c r="D95" s="15" t="s">
        <v>3584</v>
      </c>
      <c r="E95" s="15" t="s">
        <v>3607</v>
      </c>
    </row>
    <row r="96" spans="1:5" ht="25.5" x14ac:dyDescent="0.2">
      <c r="A96" s="14" t="s">
        <v>3608</v>
      </c>
      <c r="B96" s="15" t="s">
        <v>3609</v>
      </c>
      <c r="C96" s="15" t="s">
        <v>3583</v>
      </c>
      <c r="D96" s="15" t="s">
        <v>3584</v>
      </c>
      <c r="E96" s="15" t="s">
        <v>3610</v>
      </c>
    </row>
    <row r="97" spans="1:5" ht="25.5" x14ac:dyDescent="0.2">
      <c r="A97" s="14" t="s">
        <v>3611</v>
      </c>
      <c r="B97" s="15" t="s">
        <v>159</v>
      </c>
      <c r="C97" s="15" t="s">
        <v>3583</v>
      </c>
      <c r="D97" s="15" t="s">
        <v>3584</v>
      </c>
      <c r="E97" s="15" t="s">
        <v>3612</v>
      </c>
    </row>
    <row r="98" spans="1:5" ht="25.5" x14ac:dyDescent="0.2">
      <c r="A98" s="14" t="s">
        <v>3613</v>
      </c>
      <c r="B98" s="15" t="s">
        <v>3614</v>
      </c>
      <c r="C98" s="15" t="s">
        <v>3583</v>
      </c>
      <c r="D98" s="15" t="s">
        <v>3584</v>
      </c>
      <c r="E98" s="15" t="s">
        <v>3615</v>
      </c>
    </row>
    <row r="99" spans="1:5" ht="25.5" x14ac:dyDescent="0.2">
      <c r="A99" s="14" t="s">
        <v>3616</v>
      </c>
      <c r="B99" s="15" t="s">
        <v>67</v>
      </c>
      <c r="C99" s="15" t="s">
        <v>3583</v>
      </c>
      <c r="D99" s="15" t="s">
        <v>3584</v>
      </c>
      <c r="E99" s="15" t="s">
        <v>3617</v>
      </c>
    </row>
    <row r="100" spans="1:5" ht="25.5" x14ac:dyDescent="0.2">
      <c r="A100" s="14" t="s">
        <v>3618</v>
      </c>
      <c r="B100" s="15" t="s">
        <v>3619</v>
      </c>
      <c r="C100" s="15" t="s">
        <v>3620</v>
      </c>
      <c r="D100" s="15" t="s">
        <v>3621</v>
      </c>
      <c r="E100" s="15" t="s">
        <v>3622</v>
      </c>
    </row>
    <row r="101" spans="1:5" ht="25.5" x14ac:dyDescent="0.2">
      <c r="A101" s="14" t="s">
        <v>3623</v>
      </c>
      <c r="B101" s="15" t="s">
        <v>509</v>
      </c>
      <c r="C101" s="15" t="s">
        <v>3491</v>
      </c>
      <c r="D101" s="15" t="s">
        <v>3492</v>
      </c>
      <c r="E101" s="15" t="s">
        <v>3624</v>
      </c>
    </row>
    <row r="102" spans="1:5" ht="25.5" x14ac:dyDescent="0.2">
      <c r="A102" s="14" t="s">
        <v>3625</v>
      </c>
      <c r="B102" s="15" t="s">
        <v>3626</v>
      </c>
      <c r="C102" s="15" t="s">
        <v>3627</v>
      </c>
      <c r="D102" s="15" t="s">
        <v>3628</v>
      </c>
      <c r="E102" s="15" t="s">
        <v>3629</v>
      </c>
    </row>
    <row r="103" spans="1:5" ht="25.5" x14ac:dyDescent="0.2">
      <c r="A103" s="14" t="s">
        <v>3630</v>
      </c>
      <c r="B103" s="15" t="s">
        <v>3631</v>
      </c>
      <c r="C103" s="15" t="s">
        <v>3423</v>
      </c>
      <c r="D103" s="15" t="s">
        <v>3424</v>
      </c>
      <c r="E103" s="15" t="s">
        <v>3632</v>
      </c>
    </row>
    <row r="104" spans="1:5" ht="25.5" x14ac:dyDescent="0.2">
      <c r="A104" s="14" t="s">
        <v>3633</v>
      </c>
      <c r="B104" s="15" t="s">
        <v>3634</v>
      </c>
      <c r="C104" s="15" t="s">
        <v>3501</v>
      </c>
      <c r="D104" s="15" t="s">
        <v>3502</v>
      </c>
      <c r="E104" s="15" t="s">
        <v>3635</v>
      </c>
    </row>
    <row r="105" spans="1:5" ht="25.5" x14ac:dyDescent="0.2">
      <c r="A105" s="14" t="s">
        <v>3636</v>
      </c>
      <c r="B105" s="15" t="s">
        <v>3637</v>
      </c>
      <c r="C105" s="15" t="s">
        <v>3423</v>
      </c>
      <c r="D105" s="15" t="s">
        <v>3424</v>
      </c>
      <c r="E105" s="15" t="s">
        <v>3638</v>
      </c>
    </row>
    <row r="106" spans="1:5" ht="25.5" x14ac:dyDescent="0.2">
      <c r="A106" s="14" t="s">
        <v>3639</v>
      </c>
      <c r="B106" s="15" t="s">
        <v>3640</v>
      </c>
      <c r="C106" s="15" t="s">
        <v>3576</v>
      </c>
      <c r="D106" s="15" t="s">
        <v>3577</v>
      </c>
      <c r="E106" s="15" t="s">
        <v>3641</v>
      </c>
    </row>
    <row r="107" spans="1:5" ht="25.5" x14ac:dyDescent="0.2">
      <c r="A107" s="14" t="s">
        <v>3642</v>
      </c>
      <c r="B107" s="15" t="s">
        <v>3643</v>
      </c>
      <c r="C107" s="15" t="s">
        <v>3627</v>
      </c>
      <c r="D107" s="15" t="s">
        <v>3628</v>
      </c>
      <c r="E107" s="15" t="s">
        <v>3644</v>
      </c>
    </row>
    <row r="108" spans="1:5" ht="25.5" x14ac:dyDescent="0.2">
      <c r="A108" s="14" t="s">
        <v>3645</v>
      </c>
      <c r="B108" s="15" t="s">
        <v>3646</v>
      </c>
      <c r="C108" s="15" t="s">
        <v>3647</v>
      </c>
      <c r="D108" s="15" t="s">
        <v>3648</v>
      </c>
      <c r="E108" s="15" t="s">
        <v>3649</v>
      </c>
    </row>
    <row r="109" spans="1:5" ht="25.5" x14ac:dyDescent="0.2">
      <c r="A109" s="14" t="s">
        <v>3650</v>
      </c>
      <c r="B109" s="15" t="s">
        <v>3651</v>
      </c>
      <c r="C109" s="15" t="s">
        <v>3647</v>
      </c>
      <c r="D109" s="15" t="s">
        <v>3648</v>
      </c>
      <c r="E109" s="15" t="s">
        <v>3652</v>
      </c>
    </row>
    <row r="110" spans="1:5" ht="25.5" x14ac:dyDescent="0.2">
      <c r="A110" s="14" t="s">
        <v>3653</v>
      </c>
      <c r="B110" s="15" t="s">
        <v>103</v>
      </c>
      <c r="C110" s="15" t="s">
        <v>3654</v>
      </c>
      <c r="D110" s="15" t="s">
        <v>3655</v>
      </c>
      <c r="E110" s="15" t="s">
        <v>3656</v>
      </c>
    </row>
    <row r="111" spans="1:5" ht="25.5" x14ac:dyDescent="0.2">
      <c r="A111" s="14" t="s">
        <v>3657</v>
      </c>
      <c r="B111" s="15" t="s">
        <v>104</v>
      </c>
      <c r="C111" s="15" t="s">
        <v>3654</v>
      </c>
      <c r="D111" s="15" t="s">
        <v>3655</v>
      </c>
      <c r="E111" s="15" t="s">
        <v>3658</v>
      </c>
    </row>
    <row r="112" spans="1:5" ht="25.5" x14ac:dyDescent="0.2">
      <c r="A112" s="14" t="s">
        <v>3659</v>
      </c>
      <c r="B112" s="15" t="s">
        <v>3660</v>
      </c>
      <c r="C112" s="15" t="s">
        <v>3654</v>
      </c>
      <c r="D112" s="15" t="s">
        <v>3655</v>
      </c>
      <c r="E112" s="15" t="s">
        <v>3661</v>
      </c>
    </row>
    <row r="113" spans="1:5" ht="25.5" x14ac:dyDescent="0.2">
      <c r="A113" s="14" t="s">
        <v>3662</v>
      </c>
      <c r="B113" s="15" t="s">
        <v>3663</v>
      </c>
      <c r="C113" s="15" t="s">
        <v>3654</v>
      </c>
      <c r="D113" s="15" t="s">
        <v>3655</v>
      </c>
      <c r="E113" s="15" t="s">
        <v>3664</v>
      </c>
    </row>
    <row r="114" spans="1:5" ht="25.5" x14ac:dyDescent="0.2">
      <c r="A114" s="14" t="s">
        <v>3665</v>
      </c>
      <c r="B114" s="15" t="s">
        <v>3666</v>
      </c>
      <c r="C114" s="15" t="s">
        <v>3654</v>
      </c>
      <c r="D114" s="15" t="s">
        <v>3655</v>
      </c>
      <c r="E114" s="15" t="s">
        <v>3667</v>
      </c>
    </row>
    <row r="115" spans="1:5" ht="25.5" x14ac:dyDescent="0.2">
      <c r="A115" s="14" t="s">
        <v>3668</v>
      </c>
      <c r="B115" s="15" t="s">
        <v>3669</v>
      </c>
      <c r="C115" s="15" t="s">
        <v>3654</v>
      </c>
      <c r="D115" s="15" t="s">
        <v>3655</v>
      </c>
      <c r="E115" s="15" t="s">
        <v>3670</v>
      </c>
    </row>
    <row r="116" spans="1:5" ht="25.5" x14ac:dyDescent="0.2">
      <c r="A116" s="14" t="s">
        <v>3671</v>
      </c>
      <c r="B116" s="15" t="s">
        <v>517</v>
      </c>
      <c r="C116" s="15" t="s">
        <v>3654</v>
      </c>
      <c r="D116" s="15" t="s">
        <v>3655</v>
      </c>
      <c r="E116" s="15" t="s">
        <v>3672</v>
      </c>
    </row>
    <row r="117" spans="1:5" ht="25.5" x14ac:dyDescent="0.2">
      <c r="A117" s="14" t="s">
        <v>3673</v>
      </c>
      <c r="B117" s="15" t="s">
        <v>3674</v>
      </c>
      <c r="C117" s="15" t="s">
        <v>3654</v>
      </c>
      <c r="D117" s="15" t="s">
        <v>3655</v>
      </c>
      <c r="E117" s="15" t="s">
        <v>3675</v>
      </c>
    </row>
    <row r="118" spans="1:5" ht="25.5" x14ac:dyDescent="0.2">
      <c r="A118" s="14" t="s">
        <v>3676</v>
      </c>
      <c r="B118" s="15" t="s">
        <v>3677</v>
      </c>
      <c r="C118" s="15" t="s">
        <v>3654</v>
      </c>
      <c r="D118" s="15" t="s">
        <v>3655</v>
      </c>
      <c r="E118" s="15" t="s">
        <v>3678</v>
      </c>
    </row>
    <row r="119" spans="1:5" ht="25.5" x14ac:dyDescent="0.2">
      <c r="A119" s="14" t="s">
        <v>3679</v>
      </c>
      <c r="B119" s="15" t="s">
        <v>3680</v>
      </c>
      <c r="C119" s="15" t="s">
        <v>3654</v>
      </c>
      <c r="D119" s="15" t="s">
        <v>3655</v>
      </c>
      <c r="E119" s="15" t="s">
        <v>3681</v>
      </c>
    </row>
    <row r="120" spans="1:5" ht="25.5" x14ac:dyDescent="0.2">
      <c r="A120" s="14" t="s">
        <v>3682</v>
      </c>
      <c r="B120" s="15" t="s">
        <v>326</v>
      </c>
      <c r="C120" s="15" t="s">
        <v>3654</v>
      </c>
      <c r="D120" s="15" t="s">
        <v>3655</v>
      </c>
      <c r="E120" s="15" t="s">
        <v>3683</v>
      </c>
    </row>
    <row r="121" spans="1:5" ht="25.5" x14ac:dyDescent="0.2">
      <c r="A121" s="14" t="s">
        <v>3684</v>
      </c>
      <c r="B121" s="15" t="s">
        <v>1586</v>
      </c>
      <c r="C121" s="15" t="s">
        <v>3654</v>
      </c>
      <c r="D121" s="15" t="s">
        <v>3655</v>
      </c>
      <c r="E121" s="15" t="s">
        <v>3685</v>
      </c>
    </row>
    <row r="122" spans="1:5" ht="25.5" x14ac:dyDescent="0.2">
      <c r="A122" s="14" t="s">
        <v>3686</v>
      </c>
      <c r="B122" s="15" t="s">
        <v>3687</v>
      </c>
      <c r="C122" s="15" t="s">
        <v>3654</v>
      </c>
      <c r="D122" s="15" t="s">
        <v>3655</v>
      </c>
      <c r="E122" s="15" t="s">
        <v>3688</v>
      </c>
    </row>
    <row r="123" spans="1:5" ht="25.5" x14ac:dyDescent="0.2">
      <c r="A123" s="14" t="s">
        <v>3689</v>
      </c>
      <c r="B123" s="15" t="s">
        <v>102</v>
      </c>
      <c r="C123" s="15" t="s">
        <v>3654</v>
      </c>
      <c r="D123" s="15" t="s">
        <v>3655</v>
      </c>
      <c r="E123" s="15" t="s">
        <v>3690</v>
      </c>
    </row>
    <row r="124" spans="1:5" ht="25.5" x14ac:dyDescent="0.2">
      <c r="A124" s="14" t="s">
        <v>3691</v>
      </c>
      <c r="B124" s="15" t="s">
        <v>97</v>
      </c>
      <c r="C124" s="15" t="s">
        <v>3654</v>
      </c>
      <c r="D124" s="15" t="s">
        <v>3655</v>
      </c>
      <c r="E124" s="15" t="s">
        <v>3692</v>
      </c>
    </row>
    <row r="125" spans="1:5" ht="25.5" x14ac:dyDescent="0.2">
      <c r="A125" s="14" t="s">
        <v>3693</v>
      </c>
      <c r="B125" s="15" t="s">
        <v>101</v>
      </c>
      <c r="C125" s="15" t="s">
        <v>3654</v>
      </c>
      <c r="D125" s="15" t="s">
        <v>3655</v>
      </c>
      <c r="E125" s="15" t="s">
        <v>3694</v>
      </c>
    </row>
    <row r="126" spans="1:5" ht="25.5" x14ac:dyDescent="0.2">
      <c r="A126" s="14" t="s">
        <v>3695</v>
      </c>
      <c r="B126" s="15" t="s">
        <v>1587</v>
      </c>
      <c r="C126" s="15" t="s">
        <v>3654</v>
      </c>
      <c r="D126" s="15" t="s">
        <v>3655</v>
      </c>
      <c r="E126" s="15" t="s">
        <v>3696</v>
      </c>
    </row>
    <row r="127" spans="1:5" ht="25.5" x14ac:dyDescent="0.2">
      <c r="A127" s="14" t="s">
        <v>3697</v>
      </c>
      <c r="B127" s="15" t="s">
        <v>1585</v>
      </c>
      <c r="C127" s="15" t="s">
        <v>3654</v>
      </c>
      <c r="D127" s="15" t="s">
        <v>3655</v>
      </c>
      <c r="E127" s="15" t="s">
        <v>3698</v>
      </c>
    </row>
    <row r="128" spans="1:5" ht="25.5" x14ac:dyDescent="0.2">
      <c r="A128" s="14" t="s">
        <v>3699</v>
      </c>
      <c r="B128" s="15" t="s">
        <v>99</v>
      </c>
      <c r="C128" s="15" t="s">
        <v>3654</v>
      </c>
      <c r="D128" s="15" t="s">
        <v>3655</v>
      </c>
      <c r="E128" s="15" t="s">
        <v>3700</v>
      </c>
    </row>
    <row r="129" spans="1:5" ht="25.5" x14ac:dyDescent="0.2">
      <c r="A129" s="14" t="s">
        <v>3701</v>
      </c>
      <c r="B129" s="15" t="s">
        <v>98</v>
      </c>
      <c r="C129" s="15" t="s">
        <v>3654</v>
      </c>
      <c r="D129" s="15" t="s">
        <v>3655</v>
      </c>
      <c r="E129" s="15" t="s">
        <v>3702</v>
      </c>
    </row>
    <row r="130" spans="1:5" ht="25.5" x14ac:dyDescent="0.2">
      <c r="A130" s="14" t="s">
        <v>3703</v>
      </c>
      <c r="B130" s="15" t="s">
        <v>3704</v>
      </c>
      <c r="C130" s="15" t="s">
        <v>3654</v>
      </c>
      <c r="D130" s="15" t="s">
        <v>3655</v>
      </c>
      <c r="E130" s="15" t="s">
        <v>3705</v>
      </c>
    </row>
    <row r="131" spans="1:5" ht="25.5" x14ac:dyDescent="0.2">
      <c r="A131" s="14" t="s">
        <v>3706</v>
      </c>
      <c r="B131" s="15" t="s">
        <v>905</v>
      </c>
      <c r="C131" s="15" t="s">
        <v>3654</v>
      </c>
      <c r="D131" s="15" t="s">
        <v>3655</v>
      </c>
      <c r="E131" s="15" t="s">
        <v>3707</v>
      </c>
    </row>
    <row r="132" spans="1:5" ht="25.5" x14ac:dyDescent="0.2">
      <c r="A132" s="14" t="s">
        <v>3708</v>
      </c>
      <c r="B132" s="15" t="s">
        <v>3709</v>
      </c>
      <c r="C132" s="15" t="s">
        <v>3654</v>
      </c>
      <c r="D132" s="15" t="s">
        <v>3655</v>
      </c>
      <c r="E132" s="15" t="s">
        <v>3710</v>
      </c>
    </row>
    <row r="133" spans="1:5" ht="25.5" x14ac:dyDescent="0.2">
      <c r="A133" s="14" t="s">
        <v>3711</v>
      </c>
      <c r="B133" s="15" t="s">
        <v>3712</v>
      </c>
      <c r="C133" s="15" t="s">
        <v>3654</v>
      </c>
      <c r="D133" s="15" t="s">
        <v>3655</v>
      </c>
      <c r="E133" s="15" t="s">
        <v>3713</v>
      </c>
    </row>
    <row r="134" spans="1:5" ht="25.5" x14ac:dyDescent="0.2">
      <c r="A134" s="14" t="s">
        <v>3714</v>
      </c>
      <c r="B134" s="15" t="s">
        <v>3715</v>
      </c>
      <c r="C134" s="15" t="s">
        <v>3654</v>
      </c>
      <c r="D134" s="15" t="s">
        <v>3655</v>
      </c>
      <c r="E134" s="15" t="s">
        <v>3716</v>
      </c>
    </row>
    <row r="135" spans="1:5" ht="25.5" x14ac:dyDescent="0.2">
      <c r="A135" s="14" t="s">
        <v>3717</v>
      </c>
      <c r="B135" s="15" t="s">
        <v>3718</v>
      </c>
      <c r="C135" s="15" t="s">
        <v>3654</v>
      </c>
      <c r="D135" s="15" t="s">
        <v>3655</v>
      </c>
      <c r="E135" s="15" t="s">
        <v>3719</v>
      </c>
    </row>
    <row r="136" spans="1:5" ht="25.5" x14ac:dyDescent="0.2">
      <c r="A136" s="14" t="s">
        <v>3720</v>
      </c>
      <c r="B136" s="15" t="s">
        <v>504</v>
      </c>
      <c r="C136" s="15" t="s">
        <v>3654</v>
      </c>
      <c r="D136" s="15" t="s">
        <v>3655</v>
      </c>
      <c r="E136" s="15" t="s">
        <v>3721</v>
      </c>
    </row>
    <row r="137" spans="1:5" ht="25.5" x14ac:dyDescent="0.2">
      <c r="A137" s="14" t="s">
        <v>3722</v>
      </c>
      <c r="B137" s="15" t="s">
        <v>3723</v>
      </c>
      <c r="C137" s="15" t="s">
        <v>3654</v>
      </c>
      <c r="D137" s="15" t="s">
        <v>3655</v>
      </c>
      <c r="E137" s="15" t="s">
        <v>3724</v>
      </c>
    </row>
    <row r="138" spans="1:5" ht="25.5" x14ac:dyDescent="0.2">
      <c r="A138" s="14" t="s">
        <v>3725</v>
      </c>
      <c r="B138" s="15" t="s">
        <v>52</v>
      </c>
      <c r="C138" s="15" t="s">
        <v>3654</v>
      </c>
      <c r="D138" s="15" t="s">
        <v>3655</v>
      </c>
      <c r="E138" s="15" t="s">
        <v>3726</v>
      </c>
    </row>
    <row r="139" spans="1:5" ht="25.5" x14ac:dyDescent="0.2">
      <c r="A139" s="14" t="s">
        <v>3727</v>
      </c>
      <c r="B139" s="15" t="s">
        <v>100</v>
      </c>
      <c r="C139" s="15" t="s">
        <v>3654</v>
      </c>
      <c r="D139" s="15" t="s">
        <v>3655</v>
      </c>
      <c r="E139" s="15" t="s">
        <v>3728</v>
      </c>
    </row>
    <row r="140" spans="1:5" ht="25.5" x14ac:dyDescent="0.2">
      <c r="A140" s="14" t="s">
        <v>3729</v>
      </c>
      <c r="B140" s="15" t="s">
        <v>100</v>
      </c>
      <c r="C140" s="15" t="s">
        <v>3654</v>
      </c>
      <c r="D140" s="15" t="s">
        <v>3655</v>
      </c>
      <c r="E140" s="15" t="s">
        <v>3730</v>
      </c>
    </row>
    <row r="141" spans="1:5" ht="25.5" x14ac:dyDescent="0.2">
      <c r="A141" s="14" t="s">
        <v>3731</v>
      </c>
      <c r="B141" s="15" t="s">
        <v>193</v>
      </c>
      <c r="C141" s="15" t="s">
        <v>3654</v>
      </c>
      <c r="D141" s="15" t="s">
        <v>3655</v>
      </c>
      <c r="E141" s="15" t="s">
        <v>3732</v>
      </c>
    </row>
    <row r="142" spans="1:5" ht="25.5" x14ac:dyDescent="0.2">
      <c r="A142" s="14" t="s">
        <v>3733</v>
      </c>
      <c r="B142" s="15" t="s">
        <v>3734</v>
      </c>
      <c r="C142" s="15" t="s">
        <v>3654</v>
      </c>
      <c r="D142" s="15" t="s">
        <v>3655</v>
      </c>
      <c r="E142" s="15" t="s">
        <v>3735</v>
      </c>
    </row>
    <row r="143" spans="1:5" ht="25.5" x14ac:dyDescent="0.2">
      <c r="A143" s="14" t="s">
        <v>3736</v>
      </c>
      <c r="B143" s="15" t="s">
        <v>3737</v>
      </c>
      <c r="C143" s="15" t="s">
        <v>3654</v>
      </c>
      <c r="D143" s="15" t="s">
        <v>3655</v>
      </c>
      <c r="E143" s="15" t="s">
        <v>3738</v>
      </c>
    </row>
    <row r="144" spans="1:5" ht="25.5" x14ac:dyDescent="0.2">
      <c r="A144" s="14" t="s">
        <v>3739</v>
      </c>
      <c r="B144" s="15" t="s">
        <v>907</v>
      </c>
      <c r="C144" s="15" t="s">
        <v>3654</v>
      </c>
      <c r="D144" s="15" t="s">
        <v>3655</v>
      </c>
      <c r="E144" s="15" t="s">
        <v>3740</v>
      </c>
    </row>
    <row r="145" spans="1:5" ht="25.5" x14ac:dyDescent="0.2">
      <c r="A145" s="14" t="s">
        <v>3741</v>
      </c>
      <c r="B145" s="15" t="s">
        <v>506</v>
      </c>
      <c r="C145" s="15" t="s">
        <v>3654</v>
      </c>
      <c r="D145" s="15" t="s">
        <v>3655</v>
      </c>
      <c r="E145" s="15" t="s">
        <v>3742</v>
      </c>
    </row>
    <row r="146" spans="1:5" ht="25.5" x14ac:dyDescent="0.2">
      <c r="A146" s="14" t="s">
        <v>3743</v>
      </c>
      <c r="B146" s="15" t="s">
        <v>61</v>
      </c>
      <c r="C146" s="15" t="s">
        <v>3654</v>
      </c>
      <c r="D146" s="15" t="s">
        <v>3655</v>
      </c>
      <c r="E146" s="15" t="s">
        <v>3744</v>
      </c>
    </row>
    <row r="147" spans="1:5" ht="25.5" x14ac:dyDescent="0.2">
      <c r="A147" s="14" t="s">
        <v>3745</v>
      </c>
      <c r="B147" s="15" t="s">
        <v>3746</v>
      </c>
      <c r="C147" s="15" t="s">
        <v>3654</v>
      </c>
      <c r="D147" s="15" t="s">
        <v>3655</v>
      </c>
      <c r="E147" s="15" t="s">
        <v>3747</v>
      </c>
    </row>
    <row r="148" spans="1:5" ht="25.5" x14ac:dyDescent="0.2">
      <c r="A148" s="14" t="s">
        <v>3748</v>
      </c>
      <c r="B148" s="15" t="s">
        <v>3749</v>
      </c>
      <c r="C148" s="15" t="s">
        <v>3654</v>
      </c>
      <c r="D148" s="15" t="s">
        <v>3655</v>
      </c>
      <c r="E148" s="15" t="s">
        <v>3750</v>
      </c>
    </row>
    <row r="149" spans="1:5" ht="25.5" x14ac:dyDescent="0.2">
      <c r="A149" s="14" t="s">
        <v>3751</v>
      </c>
      <c r="B149" s="15" t="s">
        <v>3752</v>
      </c>
      <c r="C149" s="15" t="s">
        <v>3654</v>
      </c>
      <c r="D149" s="15" t="s">
        <v>3655</v>
      </c>
      <c r="E149" s="15" t="s">
        <v>3753</v>
      </c>
    </row>
    <row r="150" spans="1:5" ht="25.5" x14ac:dyDescent="0.2">
      <c r="A150" s="14" t="s">
        <v>3754</v>
      </c>
      <c r="B150" s="15" t="s">
        <v>505</v>
      </c>
      <c r="C150" s="15" t="s">
        <v>3654</v>
      </c>
      <c r="D150" s="15" t="s">
        <v>3655</v>
      </c>
      <c r="E150" s="15" t="s">
        <v>3755</v>
      </c>
    </row>
    <row r="151" spans="1:5" ht="25.5" x14ac:dyDescent="0.2">
      <c r="A151" s="14" t="s">
        <v>3756</v>
      </c>
      <c r="B151" s="15" t="s">
        <v>57</v>
      </c>
      <c r="C151" s="15" t="s">
        <v>3654</v>
      </c>
      <c r="D151" s="15" t="s">
        <v>3655</v>
      </c>
      <c r="E151" s="15" t="s">
        <v>3757</v>
      </c>
    </row>
    <row r="152" spans="1:5" ht="25.5" x14ac:dyDescent="0.2">
      <c r="A152" s="14" t="s">
        <v>3758</v>
      </c>
      <c r="B152" s="15" t="s">
        <v>3759</v>
      </c>
      <c r="C152" s="15" t="s">
        <v>3654</v>
      </c>
      <c r="D152" s="15" t="s">
        <v>3655</v>
      </c>
      <c r="E152" s="15" t="s">
        <v>3760</v>
      </c>
    </row>
    <row r="153" spans="1:5" ht="25.5" x14ac:dyDescent="0.2">
      <c r="A153" s="14" t="s">
        <v>3761</v>
      </c>
      <c r="B153" s="15" t="s">
        <v>62</v>
      </c>
      <c r="C153" s="15" t="s">
        <v>3654</v>
      </c>
      <c r="D153" s="15" t="s">
        <v>3655</v>
      </c>
      <c r="E153" s="15" t="s">
        <v>3762</v>
      </c>
    </row>
    <row r="154" spans="1:5" ht="25.5" x14ac:dyDescent="0.2">
      <c r="A154" s="14" t="s">
        <v>3763</v>
      </c>
      <c r="B154" s="15" t="s">
        <v>3764</v>
      </c>
      <c r="C154" s="15" t="s">
        <v>3765</v>
      </c>
      <c r="D154" s="15" t="s">
        <v>3766</v>
      </c>
      <c r="E154" s="15" t="s">
        <v>3767</v>
      </c>
    </row>
    <row r="155" spans="1:5" ht="25.5" x14ac:dyDescent="0.2">
      <c r="A155" s="14" t="s">
        <v>3768</v>
      </c>
      <c r="B155" s="15" t="s">
        <v>3769</v>
      </c>
      <c r="C155" s="15" t="s">
        <v>3627</v>
      </c>
      <c r="D155" s="15" t="s">
        <v>3628</v>
      </c>
      <c r="E155" s="15" t="s">
        <v>3770</v>
      </c>
    </row>
    <row r="156" spans="1:5" ht="25.5" x14ac:dyDescent="0.2">
      <c r="A156" s="14" t="s">
        <v>3771</v>
      </c>
      <c r="B156" s="15" t="s">
        <v>3772</v>
      </c>
      <c r="C156" s="15" t="s">
        <v>3627</v>
      </c>
      <c r="D156" s="15" t="s">
        <v>3628</v>
      </c>
      <c r="E156" s="15" t="s">
        <v>3773</v>
      </c>
    </row>
    <row r="157" spans="1:5" ht="25.5" x14ac:dyDescent="0.2">
      <c r="A157" s="14" t="s">
        <v>3774</v>
      </c>
      <c r="B157" s="15" t="s">
        <v>276</v>
      </c>
      <c r="C157" s="15" t="s">
        <v>3627</v>
      </c>
      <c r="D157" s="15" t="s">
        <v>3628</v>
      </c>
      <c r="E157" s="15" t="s">
        <v>3775</v>
      </c>
    </row>
    <row r="158" spans="1:5" ht="25.5" x14ac:dyDescent="0.2">
      <c r="A158" s="14" t="s">
        <v>3776</v>
      </c>
      <c r="B158" s="15" t="s">
        <v>1184</v>
      </c>
      <c r="C158" s="15" t="s">
        <v>3777</v>
      </c>
      <c r="D158" s="15" t="s">
        <v>3778</v>
      </c>
      <c r="E158" s="15" t="s">
        <v>3779</v>
      </c>
    </row>
    <row r="159" spans="1:5" ht="25.5" x14ac:dyDescent="0.2">
      <c r="A159" s="14" t="s">
        <v>3780</v>
      </c>
      <c r="B159" s="15" t="s">
        <v>3781</v>
      </c>
      <c r="C159" s="15" t="s">
        <v>3782</v>
      </c>
      <c r="D159" s="15" t="s">
        <v>3783</v>
      </c>
      <c r="E159" s="15" t="s">
        <v>3784</v>
      </c>
    </row>
    <row r="160" spans="1:5" ht="25.5" x14ac:dyDescent="0.2">
      <c r="A160" s="14" t="s">
        <v>3785</v>
      </c>
      <c r="B160" s="15" t="s">
        <v>3786</v>
      </c>
      <c r="C160" s="15" t="s">
        <v>3782</v>
      </c>
      <c r="D160" s="15" t="s">
        <v>3783</v>
      </c>
      <c r="E160" s="15" t="s">
        <v>3787</v>
      </c>
    </row>
    <row r="161" spans="1:5" ht="25.5" x14ac:dyDescent="0.2">
      <c r="A161" s="14" t="s">
        <v>3788</v>
      </c>
      <c r="B161" s="15" t="s">
        <v>3789</v>
      </c>
      <c r="C161" s="15" t="s">
        <v>3782</v>
      </c>
      <c r="D161" s="15" t="s">
        <v>3783</v>
      </c>
      <c r="E161" s="15" t="s">
        <v>3790</v>
      </c>
    </row>
    <row r="162" spans="1:5" ht="25.5" x14ac:dyDescent="0.2">
      <c r="A162" s="14" t="s">
        <v>3791</v>
      </c>
      <c r="B162" s="15" t="s">
        <v>3792</v>
      </c>
      <c r="C162" s="15" t="s">
        <v>3647</v>
      </c>
      <c r="D162" s="15" t="s">
        <v>3648</v>
      </c>
      <c r="E162" s="15" t="s">
        <v>3793</v>
      </c>
    </row>
    <row r="163" spans="1:5" ht="25.5" x14ac:dyDescent="0.2">
      <c r="A163" s="14" t="s">
        <v>3794</v>
      </c>
      <c r="B163" s="15" t="s">
        <v>3795</v>
      </c>
      <c r="C163" s="15" t="s">
        <v>3647</v>
      </c>
      <c r="D163" s="15" t="s">
        <v>3648</v>
      </c>
      <c r="E163" s="15" t="s">
        <v>3796</v>
      </c>
    </row>
    <row r="164" spans="1:5" ht="25.5" x14ac:dyDescent="0.2">
      <c r="A164" s="14" t="s">
        <v>3797</v>
      </c>
      <c r="B164" s="15" t="s">
        <v>327</v>
      </c>
      <c r="C164" s="15" t="s">
        <v>3647</v>
      </c>
      <c r="D164" s="15" t="s">
        <v>3648</v>
      </c>
      <c r="E164" s="15" t="s">
        <v>3798</v>
      </c>
    </row>
    <row r="165" spans="1:5" ht="25.5" x14ac:dyDescent="0.2">
      <c r="A165" s="14" t="s">
        <v>3799</v>
      </c>
      <c r="B165" s="15" t="s">
        <v>3800</v>
      </c>
      <c r="C165" s="15" t="s">
        <v>3647</v>
      </c>
      <c r="D165" s="15" t="s">
        <v>3648</v>
      </c>
      <c r="E165" s="15" t="s">
        <v>3801</v>
      </c>
    </row>
    <row r="166" spans="1:5" ht="25.5" x14ac:dyDescent="0.2">
      <c r="A166" s="14" t="s">
        <v>3802</v>
      </c>
      <c r="B166" s="15" t="s">
        <v>3803</v>
      </c>
      <c r="C166" s="15" t="s">
        <v>3535</v>
      </c>
      <c r="D166" s="15" t="s">
        <v>3536</v>
      </c>
      <c r="E166" s="15" t="s">
        <v>3804</v>
      </c>
    </row>
    <row r="167" spans="1:5" ht="25.5" x14ac:dyDescent="0.2">
      <c r="A167" s="14" t="s">
        <v>3805</v>
      </c>
      <c r="B167" s="15" t="s">
        <v>301</v>
      </c>
      <c r="C167" s="15" t="s">
        <v>3496</v>
      </c>
      <c r="D167" s="15" t="s">
        <v>3497</v>
      </c>
      <c r="E167" s="15" t="s">
        <v>3806</v>
      </c>
    </row>
    <row r="168" spans="1:5" ht="25.5" x14ac:dyDescent="0.2">
      <c r="A168" s="14" t="s">
        <v>3807</v>
      </c>
      <c r="B168" s="15" t="s">
        <v>3808</v>
      </c>
      <c r="C168" s="15" t="s">
        <v>3627</v>
      </c>
      <c r="D168" s="15" t="s">
        <v>3628</v>
      </c>
      <c r="E168" s="15" t="s">
        <v>3809</v>
      </c>
    </row>
    <row r="169" spans="1:5" ht="25.5" x14ac:dyDescent="0.2">
      <c r="A169" s="14" t="s">
        <v>3810</v>
      </c>
      <c r="B169" s="15" t="s">
        <v>3811</v>
      </c>
      <c r="C169" s="15" t="s">
        <v>3496</v>
      </c>
      <c r="D169" s="15" t="s">
        <v>3497</v>
      </c>
      <c r="E169" s="15" t="s">
        <v>3812</v>
      </c>
    </row>
    <row r="170" spans="1:5" ht="38.25" x14ac:dyDescent="0.2">
      <c r="A170" s="14" t="s">
        <v>3813</v>
      </c>
      <c r="B170" s="15" t="s">
        <v>3814</v>
      </c>
      <c r="C170" s="15" t="s">
        <v>3423</v>
      </c>
      <c r="D170" s="15" t="s">
        <v>3424</v>
      </c>
      <c r="E170" s="15" t="s">
        <v>3815</v>
      </c>
    </row>
    <row r="171" spans="1:5" ht="25.5" x14ac:dyDescent="0.2">
      <c r="A171" s="14" t="s">
        <v>3816</v>
      </c>
      <c r="B171" s="15" t="s">
        <v>3817</v>
      </c>
      <c r="C171" s="15" t="s">
        <v>3535</v>
      </c>
      <c r="D171" s="15" t="s">
        <v>3536</v>
      </c>
      <c r="E171" s="15" t="s">
        <v>3818</v>
      </c>
    </row>
    <row r="172" spans="1:5" ht="25.5" x14ac:dyDescent="0.2">
      <c r="A172" s="14" t="s">
        <v>3819</v>
      </c>
      <c r="B172" s="15" t="s">
        <v>3820</v>
      </c>
      <c r="C172" s="15" t="s">
        <v>3821</v>
      </c>
      <c r="D172" s="15" t="s">
        <v>3822</v>
      </c>
      <c r="E172" s="15" t="s">
        <v>3823</v>
      </c>
    </row>
    <row r="173" spans="1:5" ht="25.5" x14ac:dyDescent="0.2">
      <c r="A173" s="14" t="s">
        <v>3824</v>
      </c>
      <c r="B173" s="15" t="s">
        <v>3825</v>
      </c>
      <c r="C173" s="15" t="s">
        <v>3620</v>
      </c>
      <c r="D173" s="15" t="s">
        <v>3621</v>
      </c>
      <c r="E173" s="15" t="s">
        <v>3826</v>
      </c>
    </row>
    <row r="174" spans="1:5" ht="25.5" x14ac:dyDescent="0.2">
      <c r="A174" s="14" t="s">
        <v>3827</v>
      </c>
      <c r="B174" s="15" t="s">
        <v>63</v>
      </c>
      <c r="C174" s="15" t="s">
        <v>3501</v>
      </c>
      <c r="D174" s="15" t="s">
        <v>3502</v>
      </c>
      <c r="E174" s="15" t="s">
        <v>3828</v>
      </c>
    </row>
    <row r="175" spans="1:5" ht="25.5" x14ac:dyDescent="0.2">
      <c r="A175" s="14" t="s">
        <v>3829</v>
      </c>
      <c r="B175" s="15" t="s">
        <v>3830</v>
      </c>
      <c r="C175" s="15" t="s">
        <v>3831</v>
      </c>
      <c r="D175" s="15" t="s">
        <v>3832</v>
      </c>
      <c r="E175" s="15" t="s">
        <v>3833</v>
      </c>
    </row>
    <row r="176" spans="1:5" ht="25.5" x14ac:dyDescent="0.2">
      <c r="A176" s="14" t="s">
        <v>3834</v>
      </c>
      <c r="B176" s="15" t="s">
        <v>3835</v>
      </c>
      <c r="C176" s="15" t="s">
        <v>3831</v>
      </c>
      <c r="D176" s="15" t="s">
        <v>3832</v>
      </c>
      <c r="E176" s="15" t="s">
        <v>3836</v>
      </c>
    </row>
    <row r="177" spans="1:5" ht="25.5" x14ac:dyDescent="0.2">
      <c r="A177" s="14" t="s">
        <v>3837</v>
      </c>
      <c r="B177" s="15" t="s">
        <v>3838</v>
      </c>
      <c r="C177" s="15" t="s">
        <v>3831</v>
      </c>
      <c r="D177" s="15" t="s">
        <v>3832</v>
      </c>
      <c r="E177" s="15" t="s">
        <v>3839</v>
      </c>
    </row>
    <row r="178" spans="1:5" ht="25.5" x14ac:dyDescent="0.2">
      <c r="A178" s="14" t="s">
        <v>3840</v>
      </c>
      <c r="B178" s="15" t="s">
        <v>3841</v>
      </c>
      <c r="C178" s="15" t="s">
        <v>3423</v>
      </c>
      <c r="D178" s="15" t="s">
        <v>3424</v>
      </c>
      <c r="E178" s="15" t="s">
        <v>3842</v>
      </c>
    </row>
    <row r="179" spans="1:5" ht="25.5" x14ac:dyDescent="0.2">
      <c r="A179" s="14" t="s">
        <v>3843</v>
      </c>
      <c r="B179" s="15" t="s">
        <v>3844</v>
      </c>
      <c r="C179" s="15" t="s">
        <v>3423</v>
      </c>
      <c r="D179" s="15" t="s">
        <v>3424</v>
      </c>
      <c r="E179" s="15" t="s">
        <v>3845</v>
      </c>
    </row>
    <row r="180" spans="1:5" ht="25.5" x14ac:dyDescent="0.2">
      <c r="A180" s="14" t="s">
        <v>3846</v>
      </c>
      <c r="B180" s="15" t="s">
        <v>3847</v>
      </c>
      <c r="C180" s="15" t="s">
        <v>3423</v>
      </c>
      <c r="D180" s="15" t="s">
        <v>3424</v>
      </c>
      <c r="E180" s="15" t="s">
        <v>3848</v>
      </c>
    </row>
    <row r="181" spans="1:5" ht="25.5" x14ac:dyDescent="0.2">
      <c r="A181" s="14" t="s">
        <v>3849</v>
      </c>
      <c r="B181" s="15" t="s">
        <v>3850</v>
      </c>
      <c r="C181" s="15" t="s">
        <v>3423</v>
      </c>
      <c r="D181" s="15" t="s">
        <v>3424</v>
      </c>
      <c r="E181" s="15" t="s">
        <v>3851</v>
      </c>
    </row>
    <row r="182" spans="1:5" ht="25.5" x14ac:dyDescent="0.2">
      <c r="A182" s="14" t="s">
        <v>3852</v>
      </c>
      <c r="B182" s="15" t="s">
        <v>3853</v>
      </c>
      <c r="C182" s="15" t="s">
        <v>3423</v>
      </c>
      <c r="D182" s="15" t="s">
        <v>3424</v>
      </c>
      <c r="E182" s="15" t="s">
        <v>3854</v>
      </c>
    </row>
    <row r="183" spans="1:5" ht="38.25" x14ac:dyDescent="0.2">
      <c r="A183" s="14" t="s">
        <v>3855</v>
      </c>
      <c r="B183" s="15" t="s">
        <v>3856</v>
      </c>
      <c r="C183" s="15" t="s">
        <v>3423</v>
      </c>
      <c r="D183" s="15" t="s">
        <v>3424</v>
      </c>
      <c r="E183" s="15" t="s">
        <v>3857</v>
      </c>
    </row>
    <row r="184" spans="1:5" ht="25.5" x14ac:dyDescent="0.2">
      <c r="A184" s="14" t="s">
        <v>3858</v>
      </c>
      <c r="B184" s="15" t="s">
        <v>1436</v>
      </c>
      <c r="C184" s="15" t="s">
        <v>3535</v>
      </c>
      <c r="D184" s="15" t="s">
        <v>3536</v>
      </c>
      <c r="E184" s="15" t="s">
        <v>3859</v>
      </c>
    </row>
    <row r="185" spans="1:5" ht="38.25" x14ac:dyDescent="0.2">
      <c r="A185" s="14" t="s">
        <v>3860</v>
      </c>
      <c r="B185" s="15" t="s">
        <v>3861</v>
      </c>
      <c r="C185" s="15" t="s">
        <v>3627</v>
      </c>
      <c r="D185" s="15" t="s">
        <v>3628</v>
      </c>
      <c r="E185" s="15" t="s">
        <v>3862</v>
      </c>
    </row>
    <row r="186" spans="1:5" ht="25.5" x14ac:dyDescent="0.2">
      <c r="A186" s="14" t="s">
        <v>3863</v>
      </c>
      <c r="B186" s="15" t="s">
        <v>3864</v>
      </c>
      <c r="C186" s="15" t="s">
        <v>3627</v>
      </c>
      <c r="D186" s="15" t="s">
        <v>3628</v>
      </c>
      <c r="E186" s="15" t="s">
        <v>3865</v>
      </c>
    </row>
    <row r="187" spans="1:5" ht="25.5" x14ac:dyDescent="0.2">
      <c r="A187" s="14" t="s">
        <v>3866</v>
      </c>
      <c r="B187" s="15" t="s">
        <v>3867</v>
      </c>
      <c r="C187" s="15" t="s">
        <v>3627</v>
      </c>
      <c r="D187" s="15" t="s">
        <v>3628</v>
      </c>
      <c r="E187" s="15" t="s">
        <v>3868</v>
      </c>
    </row>
    <row r="188" spans="1:5" ht="25.5" x14ac:dyDescent="0.2">
      <c r="A188" s="14" t="s">
        <v>3869</v>
      </c>
      <c r="B188" s="15" t="s">
        <v>3870</v>
      </c>
      <c r="C188" s="15" t="s">
        <v>3627</v>
      </c>
      <c r="D188" s="15" t="s">
        <v>3628</v>
      </c>
      <c r="E188" s="15" t="s">
        <v>3871</v>
      </c>
    </row>
    <row r="189" spans="1:5" ht="25.5" x14ac:dyDescent="0.2">
      <c r="A189" s="14" t="s">
        <v>3872</v>
      </c>
      <c r="B189" s="15" t="s">
        <v>3873</v>
      </c>
      <c r="C189" s="15" t="s">
        <v>3874</v>
      </c>
      <c r="D189" s="15" t="s">
        <v>3875</v>
      </c>
      <c r="E189" s="15" t="s">
        <v>3876</v>
      </c>
    </row>
    <row r="190" spans="1:5" ht="25.5" x14ac:dyDescent="0.2">
      <c r="A190" s="14" t="s">
        <v>3877</v>
      </c>
      <c r="B190" s="15" t="s">
        <v>3878</v>
      </c>
      <c r="C190" s="15" t="s">
        <v>3874</v>
      </c>
      <c r="D190" s="15" t="s">
        <v>3875</v>
      </c>
      <c r="E190" s="15" t="s">
        <v>3879</v>
      </c>
    </row>
    <row r="191" spans="1:5" ht="25.5" x14ac:dyDescent="0.2">
      <c r="A191" s="14" t="s">
        <v>3880</v>
      </c>
      <c r="B191" s="15" t="s">
        <v>3881</v>
      </c>
      <c r="C191" s="15" t="s">
        <v>3571</v>
      </c>
      <c r="D191" s="15" t="s">
        <v>3572</v>
      </c>
      <c r="E191" s="15" t="s">
        <v>3882</v>
      </c>
    </row>
    <row r="192" spans="1:5" ht="25.5" x14ac:dyDescent="0.2">
      <c r="A192" s="14" t="s">
        <v>3883</v>
      </c>
      <c r="B192" s="15" t="s">
        <v>416</v>
      </c>
      <c r="C192" s="15" t="s">
        <v>3831</v>
      </c>
      <c r="D192" s="15" t="s">
        <v>3832</v>
      </c>
      <c r="E192" s="15" t="s">
        <v>3884</v>
      </c>
    </row>
    <row r="193" spans="1:5" ht="25.5" x14ac:dyDescent="0.2">
      <c r="A193" s="14" t="s">
        <v>3885</v>
      </c>
      <c r="B193" s="15" t="s">
        <v>1522</v>
      </c>
      <c r="C193" s="15" t="s">
        <v>3831</v>
      </c>
      <c r="D193" s="15" t="s">
        <v>3832</v>
      </c>
      <c r="E193" s="15" t="s">
        <v>3886</v>
      </c>
    </row>
    <row r="194" spans="1:5" ht="25.5" x14ac:dyDescent="0.2">
      <c r="A194" s="14" t="s">
        <v>3887</v>
      </c>
      <c r="B194" s="15" t="s">
        <v>1472</v>
      </c>
      <c r="C194" s="15" t="s">
        <v>3831</v>
      </c>
      <c r="D194" s="15" t="s">
        <v>3832</v>
      </c>
      <c r="E194" s="15" t="s">
        <v>3888</v>
      </c>
    </row>
    <row r="195" spans="1:5" ht="25.5" x14ac:dyDescent="0.2">
      <c r="A195" s="14" t="s">
        <v>3889</v>
      </c>
      <c r="B195" s="15" t="s">
        <v>322</v>
      </c>
      <c r="C195" s="15" t="s">
        <v>3831</v>
      </c>
      <c r="D195" s="15" t="s">
        <v>3832</v>
      </c>
      <c r="E195" s="15" t="s">
        <v>3890</v>
      </c>
    </row>
    <row r="196" spans="1:5" ht="25.5" x14ac:dyDescent="0.2">
      <c r="A196" s="14" t="s">
        <v>3891</v>
      </c>
      <c r="B196" s="15" t="s">
        <v>355</v>
      </c>
      <c r="C196" s="15" t="s">
        <v>3831</v>
      </c>
      <c r="D196" s="15" t="s">
        <v>3832</v>
      </c>
      <c r="E196" s="15" t="s">
        <v>3892</v>
      </c>
    </row>
    <row r="197" spans="1:5" ht="25.5" x14ac:dyDescent="0.2">
      <c r="A197" s="14" t="s">
        <v>3893</v>
      </c>
      <c r="B197" s="15" t="s">
        <v>1615</v>
      </c>
      <c r="C197" s="15" t="s">
        <v>3831</v>
      </c>
      <c r="D197" s="15" t="s">
        <v>3832</v>
      </c>
      <c r="E197" s="15" t="s">
        <v>3894</v>
      </c>
    </row>
    <row r="198" spans="1:5" ht="25.5" x14ac:dyDescent="0.2">
      <c r="A198" s="14" t="s">
        <v>3895</v>
      </c>
      <c r="B198" s="15" t="s">
        <v>323</v>
      </c>
      <c r="C198" s="15" t="s">
        <v>3831</v>
      </c>
      <c r="D198" s="15" t="s">
        <v>3832</v>
      </c>
      <c r="E198" s="15" t="s">
        <v>3896</v>
      </c>
    </row>
    <row r="199" spans="1:5" ht="25.5" x14ac:dyDescent="0.2">
      <c r="A199" s="14" t="s">
        <v>3897</v>
      </c>
      <c r="B199" s="15" t="s">
        <v>17</v>
      </c>
      <c r="C199" s="15" t="s">
        <v>3831</v>
      </c>
      <c r="D199" s="15" t="s">
        <v>3832</v>
      </c>
      <c r="E199" s="15" t="s">
        <v>3898</v>
      </c>
    </row>
    <row r="200" spans="1:5" ht="25.5" x14ac:dyDescent="0.2">
      <c r="A200" s="14" t="s">
        <v>3899</v>
      </c>
      <c r="B200" s="15" t="s">
        <v>1616</v>
      </c>
      <c r="C200" s="15" t="s">
        <v>3831</v>
      </c>
      <c r="D200" s="15" t="s">
        <v>3832</v>
      </c>
      <c r="E200" s="15" t="s">
        <v>3900</v>
      </c>
    </row>
    <row r="201" spans="1:5" ht="25.5" x14ac:dyDescent="0.2">
      <c r="A201" s="14" t="s">
        <v>3901</v>
      </c>
      <c r="B201" s="15" t="s">
        <v>415</v>
      </c>
      <c r="C201" s="15" t="s">
        <v>3831</v>
      </c>
      <c r="D201" s="15" t="s">
        <v>3832</v>
      </c>
      <c r="E201" s="15" t="s">
        <v>3902</v>
      </c>
    </row>
    <row r="202" spans="1:5" ht="25.5" x14ac:dyDescent="0.2">
      <c r="A202" s="14" t="s">
        <v>3903</v>
      </c>
      <c r="B202" s="15" t="s">
        <v>3904</v>
      </c>
      <c r="C202" s="15" t="s">
        <v>3831</v>
      </c>
      <c r="D202" s="15" t="s">
        <v>3832</v>
      </c>
      <c r="E202" s="15" t="s">
        <v>3905</v>
      </c>
    </row>
    <row r="203" spans="1:5" ht="25.5" x14ac:dyDescent="0.2">
      <c r="A203" s="14" t="s">
        <v>3906</v>
      </c>
      <c r="B203" s="15" t="s">
        <v>3907</v>
      </c>
      <c r="C203" s="15" t="s">
        <v>3620</v>
      </c>
      <c r="D203" s="15" t="s">
        <v>3621</v>
      </c>
      <c r="E203" s="15" t="s">
        <v>3908</v>
      </c>
    </row>
    <row r="204" spans="1:5" ht="25.5" x14ac:dyDescent="0.2">
      <c r="A204" s="14" t="s">
        <v>3909</v>
      </c>
      <c r="B204" s="15" t="s">
        <v>507</v>
      </c>
      <c r="C204" s="15" t="s">
        <v>3501</v>
      </c>
      <c r="D204" s="15" t="s">
        <v>3502</v>
      </c>
      <c r="E204" s="15" t="s">
        <v>3910</v>
      </c>
    </row>
    <row r="205" spans="1:5" ht="25.5" x14ac:dyDescent="0.2">
      <c r="A205" s="14" t="s">
        <v>3911</v>
      </c>
      <c r="B205" s="15" t="s">
        <v>1080</v>
      </c>
      <c r="C205" s="15" t="s">
        <v>3491</v>
      </c>
      <c r="D205" s="15" t="s">
        <v>3492</v>
      </c>
      <c r="E205" s="15" t="s">
        <v>3912</v>
      </c>
    </row>
    <row r="206" spans="1:5" ht="25.5" x14ac:dyDescent="0.2">
      <c r="A206" s="14" t="s">
        <v>3913</v>
      </c>
      <c r="B206" s="15" t="s">
        <v>3914</v>
      </c>
      <c r="C206" s="15" t="s">
        <v>3491</v>
      </c>
      <c r="D206" s="15" t="s">
        <v>3492</v>
      </c>
      <c r="E206" s="15" t="s">
        <v>3915</v>
      </c>
    </row>
    <row r="207" spans="1:5" ht="25.5" x14ac:dyDescent="0.2">
      <c r="A207" s="14" t="s">
        <v>3916</v>
      </c>
      <c r="B207" s="15" t="s">
        <v>1081</v>
      </c>
      <c r="C207" s="15" t="s">
        <v>3491</v>
      </c>
      <c r="D207" s="15" t="s">
        <v>3492</v>
      </c>
      <c r="E207" s="15" t="s">
        <v>3917</v>
      </c>
    </row>
    <row r="208" spans="1:5" ht="25.5" x14ac:dyDescent="0.2">
      <c r="A208" s="14" t="s">
        <v>3918</v>
      </c>
      <c r="B208" s="15" t="s">
        <v>1079</v>
      </c>
      <c r="C208" s="15" t="s">
        <v>3491</v>
      </c>
      <c r="D208" s="15" t="s">
        <v>3492</v>
      </c>
      <c r="E208" s="15" t="s">
        <v>3919</v>
      </c>
    </row>
    <row r="209" spans="1:5" ht="25.5" x14ac:dyDescent="0.2">
      <c r="A209" s="14" t="s">
        <v>3920</v>
      </c>
      <c r="B209" s="15" t="s">
        <v>1082</v>
      </c>
      <c r="C209" s="15" t="s">
        <v>3491</v>
      </c>
      <c r="D209" s="15" t="s">
        <v>3492</v>
      </c>
      <c r="E209" s="15" t="s">
        <v>3921</v>
      </c>
    </row>
    <row r="210" spans="1:5" ht="25.5" x14ac:dyDescent="0.2">
      <c r="A210" s="14" t="s">
        <v>3922</v>
      </c>
      <c r="B210" s="15" t="s">
        <v>1181</v>
      </c>
      <c r="C210" s="15" t="s">
        <v>3491</v>
      </c>
      <c r="D210" s="15" t="s">
        <v>3492</v>
      </c>
      <c r="E210" s="15" t="s">
        <v>3923</v>
      </c>
    </row>
    <row r="211" spans="1:5" ht="25.5" x14ac:dyDescent="0.2">
      <c r="A211" s="14" t="s">
        <v>3924</v>
      </c>
      <c r="B211" s="15" t="s">
        <v>1182</v>
      </c>
      <c r="C211" s="15" t="s">
        <v>3491</v>
      </c>
      <c r="D211" s="15" t="s">
        <v>3492</v>
      </c>
      <c r="E211" s="15" t="s">
        <v>3925</v>
      </c>
    </row>
    <row r="212" spans="1:5" ht="25.5" x14ac:dyDescent="0.2">
      <c r="A212" s="14" t="s">
        <v>3926</v>
      </c>
      <c r="B212" s="15" t="s">
        <v>1183</v>
      </c>
      <c r="C212" s="15" t="s">
        <v>3491</v>
      </c>
      <c r="D212" s="15" t="s">
        <v>3492</v>
      </c>
      <c r="E212" s="15" t="s">
        <v>3927</v>
      </c>
    </row>
    <row r="213" spans="1:5" ht="25.5" x14ac:dyDescent="0.2">
      <c r="A213" s="14" t="s">
        <v>3928</v>
      </c>
      <c r="B213" s="15" t="s">
        <v>3929</v>
      </c>
      <c r="C213" s="15" t="s">
        <v>3491</v>
      </c>
      <c r="D213" s="15" t="s">
        <v>3492</v>
      </c>
      <c r="E213" s="15" t="s">
        <v>3930</v>
      </c>
    </row>
    <row r="214" spans="1:5" ht="25.5" x14ac:dyDescent="0.2">
      <c r="A214" s="14" t="s">
        <v>3931</v>
      </c>
      <c r="B214" s="15" t="s">
        <v>1083</v>
      </c>
      <c r="C214" s="15" t="s">
        <v>3491</v>
      </c>
      <c r="D214" s="15" t="s">
        <v>3492</v>
      </c>
      <c r="E214" s="15" t="s">
        <v>3932</v>
      </c>
    </row>
    <row r="215" spans="1:5" ht="25.5" x14ac:dyDescent="0.2">
      <c r="A215" s="14" t="s">
        <v>3933</v>
      </c>
      <c r="B215" s="15" t="s">
        <v>1084</v>
      </c>
      <c r="C215" s="15" t="s">
        <v>3491</v>
      </c>
      <c r="D215" s="15" t="s">
        <v>3492</v>
      </c>
      <c r="E215" s="15" t="s">
        <v>3934</v>
      </c>
    </row>
    <row r="216" spans="1:5" ht="25.5" x14ac:dyDescent="0.2">
      <c r="A216" s="14" t="s">
        <v>3935</v>
      </c>
      <c r="B216" s="15" t="s">
        <v>3936</v>
      </c>
      <c r="C216" s="15" t="s">
        <v>3491</v>
      </c>
      <c r="D216" s="15" t="s">
        <v>3492</v>
      </c>
      <c r="E216" s="15" t="s">
        <v>3937</v>
      </c>
    </row>
    <row r="217" spans="1:5" ht="25.5" x14ac:dyDescent="0.2">
      <c r="A217" s="14" t="s">
        <v>3938</v>
      </c>
      <c r="B217" s="15" t="s">
        <v>3939</v>
      </c>
      <c r="C217" s="15" t="s">
        <v>3491</v>
      </c>
      <c r="D217" s="15" t="s">
        <v>3492</v>
      </c>
      <c r="E217" s="15" t="s">
        <v>3940</v>
      </c>
    </row>
    <row r="218" spans="1:5" ht="25.5" x14ac:dyDescent="0.2">
      <c r="A218" s="14" t="s">
        <v>3941</v>
      </c>
      <c r="B218" s="15" t="s">
        <v>3942</v>
      </c>
      <c r="C218" s="15" t="s">
        <v>3491</v>
      </c>
      <c r="D218" s="15" t="s">
        <v>3492</v>
      </c>
      <c r="E218" s="15" t="s">
        <v>3943</v>
      </c>
    </row>
    <row r="219" spans="1:5" ht="25.5" x14ac:dyDescent="0.2">
      <c r="A219" s="14" t="s">
        <v>3944</v>
      </c>
      <c r="B219" s="15" t="s">
        <v>3945</v>
      </c>
      <c r="C219" s="15" t="s">
        <v>3491</v>
      </c>
      <c r="D219" s="15" t="s">
        <v>3492</v>
      </c>
      <c r="E219" s="15" t="s">
        <v>3946</v>
      </c>
    </row>
    <row r="220" spans="1:5" ht="25.5" x14ac:dyDescent="0.2">
      <c r="A220" s="14" t="s">
        <v>3947</v>
      </c>
      <c r="B220" s="15" t="s">
        <v>284</v>
      </c>
      <c r="C220" s="15" t="s">
        <v>3491</v>
      </c>
      <c r="D220" s="15" t="s">
        <v>3492</v>
      </c>
      <c r="E220" s="15" t="s">
        <v>3948</v>
      </c>
    </row>
    <row r="221" spans="1:5" ht="25.5" x14ac:dyDescent="0.2">
      <c r="A221" s="14" t="s">
        <v>3949</v>
      </c>
      <c r="B221" s="15" t="s">
        <v>3950</v>
      </c>
      <c r="C221" s="15" t="s">
        <v>3491</v>
      </c>
      <c r="D221" s="15" t="s">
        <v>3492</v>
      </c>
      <c r="E221" s="15" t="s">
        <v>3951</v>
      </c>
    </row>
    <row r="222" spans="1:5" ht="25.5" x14ac:dyDescent="0.2">
      <c r="A222" s="14" t="s">
        <v>3952</v>
      </c>
      <c r="B222" s="15" t="s">
        <v>1052</v>
      </c>
      <c r="C222" s="15" t="s">
        <v>3491</v>
      </c>
      <c r="D222" s="15" t="s">
        <v>3492</v>
      </c>
      <c r="E222" s="15" t="s">
        <v>3953</v>
      </c>
    </row>
    <row r="223" spans="1:5" ht="25.5" x14ac:dyDescent="0.2">
      <c r="A223" s="14" t="s">
        <v>3954</v>
      </c>
      <c r="B223" s="15" t="s">
        <v>3955</v>
      </c>
      <c r="C223" s="15" t="s">
        <v>3423</v>
      </c>
      <c r="D223" s="15" t="s">
        <v>3424</v>
      </c>
      <c r="E223" s="15" t="s">
        <v>3956</v>
      </c>
    </row>
    <row r="224" spans="1:5" ht="25.5" x14ac:dyDescent="0.2">
      <c r="A224" s="14" t="s">
        <v>3957</v>
      </c>
      <c r="B224" s="15" t="s">
        <v>3958</v>
      </c>
      <c r="C224" s="15" t="s">
        <v>3491</v>
      </c>
      <c r="D224" s="15" t="s">
        <v>3492</v>
      </c>
      <c r="E224" s="15" t="s">
        <v>3959</v>
      </c>
    </row>
    <row r="225" spans="1:5" ht="25.5" x14ac:dyDescent="0.2">
      <c r="A225" s="14" t="s">
        <v>3960</v>
      </c>
      <c r="B225" s="15" t="s">
        <v>827</v>
      </c>
      <c r="C225" s="15" t="s">
        <v>3627</v>
      </c>
      <c r="D225" s="15" t="s">
        <v>3628</v>
      </c>
      <c r="E225" s="15" t="s">
        <v>3961</v>
      </c>
    </row>
    <row r="226" spans="1:5" ht="25.5" x14ac:dyDescent="0.2">
      <c r="A226" s="14" t="s">
        <v>3962</v>
      </c>
      <c r="B226" s="15" t="s">
        <v>828</v>
      </c>
      <c r="C226" s="15" t="s">
        <v>3491</v>
      </c>
      <c r="D226" s="15" t="s">
        <v>3492</v>
      </c>
      <c r="E226" s="15" t="s">
        <v>3963</v>
      </c>
    </row>
    <row r="227" spans="1:5" ht="25.5" x14ac:dyDescent="0.2">
      <c r="A227" s="14" t="s">
        <v>3964</v>
      </c>
      <c r="B227" s="15" t="s">
        <v>414</v>
      </c>
      <c r="C227" s="15" t="s">
        <v>3765</v>
      </c>
      <c r="D227" s="15" t="s">
        <v>3766</v>
      </c>
      <c r="E227" s="15" t="s">
        <v>3965</v>
      </c>
    </row>
    <row r="228" spans="1:5" ht="25.5" x14ac:dyDescent="0.2">
      <c r="A228" s="14" t="s">
        <v>3966</v>
      </c>
      <c r="B228" s="15" t="s">
        <v>3967</v>
      </c>
      <c r="C228" s="15" t="s">
        <v>3968</v>
      </c>
      <c r="D228" s="15" t="s">
        <v>3969</v>
      </c>
      <c r="E228" s="15" t="s">
        <v>3970</v>
      </c>
    </row>
    <row r="229" spans="1:5" ht="25.5" x14ac:dyDescent="0.2">
      <c r="A229" s="14" t="s">
        <v>3971</v>
      </c>
      <c r="B229" s="15" t="s">
        <v>3972</v>
      </c>
      <c r="C229" s="15" t="s">
        <v>3831</v>
      </c>
      <c r="D229" s="15" t="s">
        <v>3832</v>
      </c>
      <c r="E229" s="15" t="s">
        <v>3973</v>
      </c>
    </row>
    <row r="230" spans="1:5" ht="25.5" x14ac:dyDescent="0.2">
      <c r="A230" s="14" t="s">
        <v>3974</v>
      </c>
      <c r="B230" s="15" t="s">
        <v>3975</v>
      </c>
      <c r="C230" s="15" t="s">
        <v>3831</v>
      </c>
      <c r="D230" s="15" t="s">
        <v>3832</v>
      </c>
      <c r="E230" s="15" t="s">
        <v>3976</v>
      </c>
    </row>
    <row r="231" spans="1:5" ht="25.5" x14ac:dyDescent="0.2">
      <c r="A231" s="14" t="s">
        <v>3977</v>
      </c>
      <c r="B231" s="15" t="s">
        <v>3978</v>
      </c>
      <c r="C231" s="15" t="s">
        <v>3627</v>
      </c>
      <c r="D231" s="15" t="s">
        <v>3628</v>
      </c>
      <c r="E231" s="15" t="s">
        <v>3979</v>
      </c>
    </row>
    <row r="232" spans="1:5" ht="25.5" x14ac:dyDescent="0.2">
      <c r="A232" s="14" t="s">
        <v>3980</v>
      </c>
      <c r="B232" s="15" t="s">
        <v>3981</v>
      </c>
      <c r="C232" s="15" t="s">
        <v>3501</v>
      </c>
      <c r="D232" s="15" t="s">
        <v>3502</v>
      </c>
      <c r="E232" s="15" t="s">
        <v>3982</v>
      </c>
    </row>
    <row r="233" spans="1:5" ht="25.5" x14ac:dyDescent="0.2">
      <c r="A233" s="14" t="s">
        <v>3983</v>
      </c>
      <c r="B233" s="15" t="s">
        <v>3984</v>
      </c>
      <c r="C233" s="15" t="s">
        <v>3501</v>
      </c>
      <c r="D233" s="15" t="s">
        <v>3502</v>
      </c>
      <c r="E233" s="15" t="s">
        <v>3985</v>
      </c>
    </row>
    <row r="234" spans="1:5" ht="25.5" x14ac:dyDescent="0.2">
      <c r="A234" s="14" t="s">
        <v>3986</v>
      </c>
      <c r="B234" s="15" t="s">
        <v>3987</v>
      </c>
      <c r="C234" s="15" t="s">
        <v>3988</v>
      </c>
      <c r="D234" s="15" t="s">
        <v>3989</v>
      </c>
      <c r="E234" s="15" t="s">
        <v>3990</v>
      </c>
    </row>
    <row r="235" spans="1:5" ht="25.5" x14ac:dyDescent="0.2">
      <c r="A235" s="14" t="s">
        <v>3991</v>
      </c>
      <c r="B235" s="15" t="s">
        <v>621</v>
      </c>
      <c r="C235" s="15" t="s">
        <v>3383</v>
      </c>
      <c r="D235" s="15" t="s">
        <v>3384</v>
      </c>
      <c r="E235" s="15" t="s">
        <v>3992</v>
      </c>
    </row>
    <row r="236" spans="1:5" ht="25.5" x14ac:dyDescent="0.2">
      <c r="A236" s="14" t="s">
        <v>3993</v>
      </c>
      <c r="B236" s="15" t="s">
        <v>3994</v>
      </c>
      <c r="C236" s="15" t="s">
        <v>3995</v>
      </c>
      <c r="D236" s="15" t="s">
        <v>3996</v>
      </c>
      <c r="E236" s="15" t="s">
        <v>3997</v>
      </c>
    </row>
    <row r="237" spans="1:5" ht="25.5" x14ac:dyDescent="0.2">
      <c r="A237" s="14" t="s">
        <v>3998</v>
      </c>
      <c r="B237" s="15" t="s">
        <v>528</v>
      </c>
      <c r="C237" s="15" t="s">
        <v>3995</v>
      </c>
      <c r="D237" s="15" t="s">
        <v>3996</v>
      </c>
      <c r="E237" s="15" t="s">
        <v>3999</v>
      </c>
    </row>
    <row r="238" spans="1:5" ht="25.5" x14ac:dyDescent="0.2">
      <c r="A238" s="14" t="s">
        <v>4000</v>
      </c>
      <c r="B238" s="15" t="s">
        <v>1280</v>
      </c>
      <c r="C238" s="15" t="s">
        <v>4001</v>
      </c>
      <c r="D238" s="15" t="s">
        <v>4002</v>
      </c>
      <c r="E238" s="15" t="s">
        <v>4003</v>
      </c>
    </row>
    <row r="239" spans="1:5" ht="25.5" x14ac:dyDescent="0.2">
      <c r="A239" s="14" t="s">
        <v>4004</v>
      </c>
      <c r="B239" s="15" t="s">
        <v>4005</v>
      </c>
      <c r="C239" s="15" t="s">
        <v>4001</v>
      </c>
      <c r="D239" s="15" t="s">
        <v>4002</v>
      </c>
      <c r="E239" s="15" t="s">
        <v>4006</v>
      </c>
    </row>
    <row r="240" spans="1:5" ht="25.5" x14ac:dyDescent="0.2">
      <c r="A240" s="14" t="s">
        <v>4007</v>
      </c>
      <c r="B240" s="15" t="s">
        <v>4008</v>
      </c>
      <c r="C240" s="15" t="s">
        <v>4001</v>
      </c>
      <c r="D240" s="15" t="s">
        <v>4002</v>
      </c>
      <c r="E240" s="15" t="s">
        <v>4009</v>
      </c>
    </row>
    <row r="241" spans="1:5" ht="25.5" x14ac:dyDescent="0.2">
      <c r="A241" s="14" t="s">
        <v>4010</v>
      </c>
      <c r="B241" s="15" t="s">
        <v>4011</v>
      </c>
      <c r="C241" s="15" t="s">
        <v>3995</v>
      </c>
      <c r="D241" s="15" t="s">
        <v>3996</v>
      </c>
      <c r="E241" s="15" t="s">
        <v>4012</v>
      </c>
    </row>
    <row r="242" spans="1:5" ht="25.5" x14ac:dyDescent="0.2">
      <c r="A242" s="14" t="s">
        <v>4013</v>
      </c>
      <c r="B242" s="15" t="s">
        <v>1619</v>
      </c>
      <c r="C242" s="15" t="s">
        <v>3995</v>
      </c>
      <c r="D242" s="15" t="s">
        <v>3996</v>
      </c>
      <c r="E242" s="15" t="s">
        <v>4014</v>
      </c>
    </row>
    <row r="243" spans="1:5" ht="25.5" x14ac:dyDescent="0.2">
      <c r="A243" s="14" t="s">
        <v>4015</v>
      </c>
      <c r="B243" s="15" t="s">
        <v>4016</v>
      </c>
      <c r="C243" s="15" t="s">
        <v>4017</v>
      </c>
      <c r="D243" s="15" t="s">
        <v>4018</v>
      </c>
      <c r="E243" s="15" t="s">
        <v>4019</v>
      </c>
    </row>
    <row r="244" spans="1:5" ht="25.5" x14ac:dyDescent="0.2">
      <c r="A244" s="14" t="s">
        <v>4020</v>
      </c>
      <c r="B244" s="15" t="s">
        <v>4021</v>
      </c>
      <c r="C244" s="15" t="s">
        <v>4017</v>
      </c>
      <c r="D244" s="15" t="s">
        <v>4018</v>
      </c>
      <c r="E244" s="15" t="s">
        <v>4022</v>
      </c>
    </row>
    <row r="245" spans="1:5" ht="25.5" x14ac:dyDescent="0.2">
      <c r="A245" s="14" t="s">
        <v>4023</v>
      </c>
      <c r="B245" s="15" t="s">
        <v>525</v>
      </c>
      <c r="C245" s="15" t="s">
        <v>4024</v>
      </c>
      <c r="D245" s="15" t="s">
        <v>4025</v>
      </c>
      <c r="E245" s="15" t="s">
        <v>4026</v>
      </c>
    </row>
    <row r="246" spans="1:5" ht="25.5" x14ac:dyDescent="0.2">
      <c r="A246" s="14" t="s">
        <v>4027</v>
      </c>
      <c r="B246" s="15" t="s">
        <v>4028</v>
      </c>
      <c r="C246" s="15" t="s">
        <v>4029</v>
      </c>
      <c r="D246" s="15" t="s">
        <v>4030</v>
      </c>
      <c r="E246" s="15" t="s">
        <v>4031</v>
      </c>
    </row>
    <row r="247" spans="1:5" ht="25.5" x14ac:dyDescent="0.2">
      <c r="A247" s="14" t="s">
        <v>4032</v>
      </c>
      <c r="B247" s="15" t="s">
        <v>4033</v>
      </c>
      <c r="C247" s="15" t="s">
        <v>4029</v>
      </c>
      <c r="D247" s="15" t="s">
        <v>4030</v>
      </c>
      <c r="E247" s="15" t="s">
        <v>4034</v>
      </c>
    </row>
    <row r="248" spans="1:5" ht="38.25" x14ac:dyDescent="0.2">
      <c r="A248" s="14" t="s">
        <v>4035</v>
      </c>
      <c r="B248" s="15" t="s">
        <v>4036</v>
      </c>
      <c r="C248" s="15" t="s">
        <v>4029</v>
      </c>
      <c r="D248" s="15" t="s">
        <v>4030</v>
      </c>
      <c r="E248" s="15" t="s">
        <v>4037</v>
      </c>
    </row>
    <row r="249" spans="1:5" ht="25.5" x14ac:dyDescent="0.2">
      <c r="A249" s="14" t="s">
        <v>4038</v>
      </c>
      <c r="B249" s="15" t="s">
        <v>4039</v>
      </c>
      <c r="C249" s="15" t="s">
        <v>3343</v>
      </c>
      <c r="D249" s="15" t="s">
        <v>3344</v>
      </c>
      <c r="E249" s="15" t="s">
        <v>4040</v>
      </c>
    </row>
    <row r="250" spans="1:5" ht="25.5" x14ac:dyDescent="0.2">
      <c r="A250" s="14" t="s">
        <v>4041</v>
      </c>
      <c r="B250" s="15" t="s">
        <v>273</v>
      </c>
      <c r="C250" s="15" t="s">
        <v>4042</v>
      </c>
      <c r="D250" s="15" t="s">
        <v>4043</v>
      </c>
      <c r="E250" s="15" t="s">
        <v>4044</v>
      </c>
    </row>
    <row r="251" spans="1:5" ht="25.5" x14ac:dyDescent="0.2">
      <c r="A251" s="14" t="s">
        <v>4045</v>
      </c>
      <c r="B251" s="15" t="s">
        <v>1490</v>
      </c>
      <c r="C251" s="15" t="s">
        <v>4042</v>
      </c>
      <c r="D251" s="15" t="s">
        <v>4043</v>
      </c>
      <c r="E251" s="15" t="s">
        <v>4046</v>
      </c>
    </row>
    <row r="252" spans="1:5" ht="25.5" x14ac:dyDescent="0.2">
      <c r="A252" s="14" t="s">
        <v>4047</v>
      </c>
      <c r="B252" s="15" t="s">
        <v>51</v>
      </c>
      <c r="C252" s="15" t="s">
        <v>4042</v>
      </c>
      <c r="D252" s="15" t="s">
        <v>4043</v>
      </c>
      <c r="E252" s="15" t="s">
        <v>4048</v>
      </c>
    </row>
    <row r="253" spans="1:5" ht="25.5" x14ac:dyDescent="0.2">
      <c r="A253" s="14" t="s">
        <v>4049</v>
      </c>
      <c r="B253" s="15" t="s">
        <v>1491</v>
      </c>
      <c r="C253" s="15" t="s">
        <v>4050</v>
      </c>
      <c r="D253" s="15" t="s">
        <v>4051</v>
      </c>
      <c r="E253" s="15" t="s">
        <v>4052</v>
      </c>
    </row>
    <row r="254" spans="1:5" ht="25.5" x14ac:dyDescent="0.2">
      <c r="A254" s="14" t="s">
        <v>4053</v>
      </c>
      <c r="B254" s="15" t="s">
        <v>4054</v>
      </c>
      <c r="C254" s="15" t="s">
        <v>4055</v>
      </c>
      <c r="D254" s="15" t="s">
        <v>4056</v>
      </c>
      <c r="E254" s="15" t="s">
        <v>4057</v>
      </c>
    </row>
    <row r="255" spans="1:5" ht="25.5" x14ac:dyDescent="0.2">
      <c r="A255" s="14" t="s">
        <v>4058</v>
      </c>
      <c r="B255" s="15" t="s">
        <v>4059</v>
      </c>
      <c r="C255" s="15" t="s">
        <v>4060</v>
      </c>
      <c r="D255" s="15" t="s">
        <v>4061</v>
      </c>
      <c r="E255" s="15" t="s">
        <v>4062</v>
      </c>
    </row>
    <row r="256" spans="1:5" ht="25.5" x14ac:dyDescent="0.2">
      <c r="A256" s="14" t="s">
        <v>4063</v>
      </c>
      <c r="B256" s="15" t="s">
        <v>115</v>
      </c>
      <c r="C256" s="15" t="s">
        <v>4060</v>
      </c>
      <c r="D256" s="15" t="s">
        <v>4061</v>
      </c>
      <c r="E256" s="15" t="s">
        <v>4064</v>
      </c>
    </row>
    <row r="257" spans="1:5" ht="25.5" x14ac:dyDescent="0.2">
      <c r="A257" s="14" t="s">
        <v>4065</v>
      </c>
      <c r="B257" s="15" t="s">
        <v>4066</v>
      </c>
      <c r="C257" s="15" t="s">
        <v>3395</v>
      </c>
      <c r="D257" s="15" t="s">
        <v>3396</v>
      </c>
      <c r="E257" s="15" t="s">
        <v>4067</v>
      </c>
    </row>
    <row r="258" spans="1:5" ht="25.5" x14ac:dyDescent="0.2">
      <c r="A258" s="14" t="s">
        <v>4068</v>
      </c>
      <c r="B258" s="15" t="s">
        <v>227</v>
      </c>
      <c r="C258" s="15" t="s">
        <v>4069</v>
      </c>
      <c r="D258" s="15" t="s">
        <v>4070</v>
      </c>
      <c r="E258" s="15" t="s">
        <v>4071</v>
      </c>
    </row>
    <row r="259" spans="1:5" ht="25.5" x14ac:dyDescent="0.2">
      <c r="A259" s="14" t="s">
        <v>4072</v>
      </c>
      <c r="B259" s="15" t="s">
        <v>4073</v>
      </c>
      <c r="C259" s="15" t="s">
        <v>4074</v>
      </c>
      <c r="D259" s="15" t="s">
        <v>4075</v>
      </c>
      <c r="E259" s="15" t="s">
        <v>4076</v>
      </c>
    </row>
    <row r="260" spans="1:5" ht="25.5" x14ac:dyDescent="0.2">
      <c r="A260" s="14" t="s">
        <v>4077</v>
      </c>
      <c r="B260" s="15" t="s">
        <v>39</v>
      </c>
      <c r="C260" s="15" t="s">
        <v>4078</v>
      </c>
      <c r="D260" s="15" t="s">
        <v>4079</v>
      </c>
      <c r="E260" s="15" t="s">
        <v>4080</v>
      </c>
    </row>
    <row r="261" spans="1:5" ht="25.5" x14ac:dyDescent="0.2">
      <c r="A261" s="14" t="s">
        <v>4081</v>
      </c>
      <c r="B261" s="15" t="s">
        <v>1123</v>
      </c>
      <c r="C261" s="15" t="s">
        <v>4082</v>
      </c>
      <c r="D261" s="15" t="s">
        <v>4083</v>
      </c>
      <c r="E261" s="15" t="s">
        <v>4084</v>
      </c>
    </row>
    <row r="262" spans="1:5" ht="25.5" x14ac:dyDescent="0.2">
      <c r="A262" s="14" t="s">
        <v>4085</v>
      </c>
      <c r="B262" s="15" t="s">
        <v>4086</v>
      </c>
      <c r="C262" s="15" t="s">
        <v>4082</v>
      </c>
      <c r="D262" s="15" t="s">
        <v>4083</v>
      </c>
      <c r="E262" s="15" t="s">
        <v>4087</v>
      </c>
    </row>
    <row r="263" spans="1:5" ht="25.5" x14ac:dyDescent="0.2">
      <c r="A263" s="14" t="s">
        <v>4088</v>
      </c>
      <c r="B263" s="15" t="s">
        <v>4089</v>
      </c>
      <c r="C263" s="15" t="s">
        <v>4082</v>
      </c>
      <c r="D263" s="15" t="s">
        <v>4083</v>
      </c>
      <c r="E263" s="15" t="s">
        <v>4090</v>
      </c>
    </row>
    <row r="264" spans="1:5" ht="25.5" x14ac:dyDescent="0.2">
      <c r="A264" s="14" t="s">
        <v>4091</v>
      </c>
      <c r="B264" s="15" t="s">
        <v>4092</v>
      </c>
      <c r="C264" s="15" t="s">
        <v>4093</v>
      </c>
      <c r="D264" s="15" t="s">
        <v>4094</v>
      </c>
      <c r="E264" s="15" t="s">
        <v>4095</v>
      </c>
    </row>
    <row r="265" spans="1:5" ht="25.5" x14ac:dyDescent="0.2">
      <c r="A265" s="14" t="s">
        <v>4096</v>
      </c>
      <c r="B265" s="15" t="s">
        <v>30</v>
      </c>
      <c r="C265" s="15" t="s">
        <v>4097</v>
      </c>
      <c r="D265" s="15" t="s">
        <v>4098</v>
      </c>
      <c r="E265" s="15" t="s">
        <v>4099</v>
      </c>
    </row>
    <row r="266" spans="1:5" ht="25.5" x14ac:dyDescent="0.2">
      <c r="A266" s="14" t="s">
        <v>4100</v>
      </c>
      <c r="B266" s="15" t="s">
        <v>427</v>
      </c>
      <c r="C266" s="15" t="s">
        <v>4097</v>
      </c>
      <c r="D266" s="15" t="s">
        <v>4098</v>
      </c>
      <c r="E266" s="15" t="s">
        <v>4101</v>
      </c>
    </row>
    <row r="267" spans="1:5" ht="25.5" x14ac:dyDescent="0.2">
      <c r="A267" s="14" t="s">
        <v>4102</v>
      </c>
      <c r="B267" s="15" t="s">
        <v>4103</v>
      </c>
      <c r="C267" s="15" t="s">
        <v>4104</v>
      </c>
      <c r="D267" s="15" t="s">
        <v>4105</v>
      </c>
      <c r="E267" s="15" t="s">
        <v>4106</v>
      </c>
    </row>
    <row r="268" spans="1:5" ht="25.5" x14ac:dyDescent="0.2">
      <c r="A268" s="14" t="s">
        <v>4107</v>
      </c>
      <c r="B268" s="15" t="s">
        <v>1124</v>
      </c>
      <c r="C268" s="15" t="s">
        <v>3318</v>
      </c>
      <c r="D268" s="15" t="s">
        <v>3319</v>
      </c>
      <c r="E268" s="15" t="s">
        <v>4108</v>
      </c>
    </row>
    <row r="269" spans="1:5" ht="25.5" x14ac:dyDescent="0.2">
      <c r="A269" s="14" t="s">
        <v>4109</v>
      </c>
      <c r="B269" s="15" t="s">
        <v>469</v>
      </c>
      <c r="C269" s="15" t="s">
        <v>3318</v>
      </c>
      <c r="D269" s="15" t="s">
        <v>3319</v>
      </c>
      <c r="E269" s="15" t="s">
        <v>4110</v>
      </c>
    </row>
    <row r="270" spans="1:5" ht="25.5" x14ac:dyDescent="0.2">
      <c r="A270" s="14" t="s">
        <v>4111</v>
      </c>
      <c r="B270" s="15" t="s">
        <v>4112</v>
      </c>
      <c r="C270" s="15" t="s">
        <v>3318</v>
      </c>
      <c r="D270" s="15" t="s">
        <v>3319</v>
      </c>
      <c r="E270" s="15" t="s">
        <v>4113</v>
      </c>
    </row>
    <row r="271" spans="1:5" ht="25.5" x14ac:dyDescent="0.2">
      <c r="A271" s="14" t="s">
        <v>4114</v>
      </c>
      <c r="B271" s="15" t="s">
        <v>4115</v>
      </c>
      <c r="C271" s="15" t="s">
        <v>3318</v>
      </c>
      <c r="D271" s="15" t="s">
        <v>3319</v>
      </c>
      <c r="E271" s="15" t="s">
        <v>4116</v>
      </c>
    </row>
    <row r="272" spans="1:5" ht="25.5" x14ac:dyDescent="0.2">
      <c r="A272" s="14" t="s">
        <v>4117</v>
      </c>
      <c r="B272" s="15" t="s">
        <v>4118</v>
      </c>
      <c r="C272" s="15" t="s">
        <v>3318</v>
      </c>
      <c r="D272" s="15" t="s">
        <v>3319</v>
      </c>
      <c r="E272" s="15" t="s">
        <v>4119</v>
      </c>
    </row>
    <row r="273" spans="1:5" ht="25.5" x14ac:dyDescent="0.2">
      <c r="A273" s="14" t="s">
        <v>4120</v>
      </c>
      <c r="B273" s="15" t="s">
        <v>204</v>
      </c>
      <c r="C273" s="15" t="s">
        <v>3318</v>
      </c>
      <c r="D273" s="15" t="s">
        <v>3319</v>
      </c>
      <c r="E273" s="15" t="s">
        <v>4121</v>
      </c>
    </row>
    <row r="274" spans="1:5" ht="25.5" x14ac:dyDescent="0.2">
      <c r="A274" s="14" t="s">
        <v>4122</v>
      </c>
      <c r="B274" s="15" t="s">
        <v>485</v>
      </c>
      <c r="C274" s="15" t="s">
        <v>3318</v>
      </c>
      <c r="D274" s="15" t="s">
        <v>3319</v>
      </c>
      <c r="E274" s="15" t="s">
        <v>4123</v>
      </c>
    </row>
    <row r="275" spans="1:5" ht="25.5" x14ac:dyDescent="0.2">
      <c r="A275" s="14" t="s">
        <v>4124</v>
      </c>
      <c r="B275" s="15" t="s">
        <v>4125</v>
      </c>
      <c r="C275" s="15" t="s">
        <v>4126</v>
      </c>
      <c r="D275" s="15" t="s">
        <v>4127</v>
      </c>
      <c r="E275" s="15" t="s">
        <v>4128</v>
      </c>
    </row>
    <row r="276" spans="1:5" ht="25.5" x14ac:dyDescent="0.2">
      <c r="A276" s="14" t="s">
        <v>4129</v>
      </c>
      <c r="B276" s="15" t="s">
        <v>1305</v>
      </c>
      <c r="C276" s="15" t="s">
        <v>3318</v>
      </c>
      <c r="D276" s="15" t="s">
        <v>3319</v>
      </c>
      <c r="E276" s="15" t="s">
        <v>4130</v>
      </c>
    </row>
    <row r="277" spans="1:5" ht="25.5" x14ac:dyDescent="0.2">
      <c r="A277" s="14" t="s">
        <v>4131</v>
      </c>
      <c r="B277" s="15" t="s">
        <v>463</v>
      </c>
      <c r="C277" s="15" t="s">
        <v>4132</v>
      </c>
      <c r="D277" s="15" t="s">
        <v>4133</v>
      </c>
      <c r="E277" s="15" t="s">
        <v>4134</v>
      </c>
    </row>
    <row r="278" spans="1:5" ht="25.5" x14ac:dyDescent="0.2">
      <c r="A278" s="14" t="s">
        <v>4135</v>
      </c>
      <c r="B278" s="15" t="s">
        <v>290</v>
      </c>
      <c r="C278" s="15" t="s">
        <v>4132</v>
      </c>
      <c r="D278" s="15" t="s">
        <v>4133</v>
      </c>
      <c r="E278" s="15" t="s">
        <v>4136</v>
      </c>
    </row>
    <row r="279" spans="1:5" ht="25.5" x14ac:dyDescent="0.2">
      <c r="A279" s="14" t="s">
        <v>4137</v>
      </c>
      <c r="B279" s="15" t="s">
        <v>742</v>
      </c>
      <c r="C279" s="15" t="s">
        <v>4132</v>
      </c>
      <c r="D279" s="15" t="s">
        <v>4133</v>
      </c>
      <c r="E279" s="15" t="s">
        <v>4138</v>
      </c>
    </row>
    <row r="280" spans="1:5" ht="25.5" x14ac:dyDescent="0.2">
      <c r="A280" s="14" t="s">
        <v>4139</v>
      </c>
      <c r="B280" s="15" t="s">
        <v>4140</v>
      </c>
      <c r="C280" s="15" t="s">
        <v>4132</v>
      </c>
      <c r="D280" s="15" t="s">
        <v>4133</v>
      </c>
      <c r="E280" s="15" t="s">
        <v>4141</v>
      </c>
    </row>
    <row r="281" spans="1:5" ht="25.5" x14ac:dyDescent="0.2">
      <c r="A281" s="14" t="s">
        <v>4142</v>
      </c>
      <c r="B281" s="15" t="s">
        <v>372</v>
      </c>
      <c r="C281" s="15" t="s">
        <v>4132</v>
      </c>
      <c r="D281" s="15" t="s">
        <v>4133</v>
      </c>
      <c r="E281" s="15" t="s">
        <v>4143</v>
      </c>
    </row>
    <row r="282" spans="1:5" ht="25.5" x14ac:dyDescent="0.2">
      <c r="A282" s="14" t="s">
        <v>4144</v>
      </c>
      <c r="B282" s="15" t="s">
        <v>294</v>
      </c>
      <c r="C282" s="15" t="s">
        <v>4132</v>
      </c>
      <c r="D282" s="15" t="s">
        <v>4133</v>
      </c>
      <c r="E282" s="15" t="s">
        <v>4145</v>
      </c>
    </row>
    <row r="283" spans="1:5" ht="25.5" x14ac:dyDescent="0.2">
      <c r="A283" s="14" t="s">
        <v>4146</v>
      </c>
      <c r="B283" s="15" t="s">
        <v>1030</v>
      </c>
      <c r="C283" s="15" t="s">
        <v>4132</v>
      </c>
      <c r="D283" s="15" t="s">
        <v>4133</v>
      </c>
      <c r="E283" s="15" t="s">
        <v>4147</v>
      </c>
    </row>
    <row r="284" spans="1:5" ht="25.5" x14ac:dyDescent="0.2">
      <c r="A284" s="14" t="s">
        <v>4148</v>
      </c>
      <c r="B284" s="15" t="s">
        <v>454</v>
      </c>
      <c r="C284" s="15" t="s">
        <v>4132</v>
      </c>
      <c r="D284" s="15" t="s">
        <v>4133</v>
      </c>
      <c r="E284" s="15" t="s">
        <v>4149</v>
      </c>
    </row>
    <row r="285" spans="1:5" ht="25.5" x14ac:dyDescent="0.2">
      <c r="A285" s="14" t="s">
        <v>4150</v>
      </c>
      <c r="B285" s="15" t="s">
        <v>4151</v>
      </c>
      <c r="C285" s="15" t="s">
        <v>4152</v>
      </c>
      <c r="D285" s="15" t="s">
        <v>4153</v>
      </c>
      <c r="E285" s="15" t="s">
        <v>4154</v>
      </c>
    </row>
    <row r="286" spans="1:5" ht="25.5" x14ac:dyDescent="0.2">
      <c r="A286" s="14" t="s">
        <v>4155</v>
      </c>
      <c r="B286" s="15" t="s">
        <v>4156</v>
      </c>
      <c r="C286" s="15" t="s">
        <v>4152</v>
      </c>
      <c r="D286" s="15" t="s">
        <v>4153</v>
      </c>
      <c r="E286" s="15" t="s">
        <v>4157</v>
      </c>
    </row>
    <row r="287" spans="1:5" ht="25.5" x14ac:dyDescent="0.2">
      <c r="A287" s="14" t="s">
        <v>4158</v>
      </c>
      <c r="B287" s="15" t="s">
        <v>4159</v>
      </c>
      <c r="C287" s="15" t="s">
        <v>4152</v>
      </c>
      <c r="D287" s="15" t="s">
        <v>4153</v>
      </c>
      <c r="E287" s="15" t="s">
        <v>4160</v>
      </c>
    </row>
    <row r="288" spans="1:5" ht="25.5" x14ac:dyDescent="0.2">
      <c r="A288" s="14" t="s">
        <v>4161</v>
      </c>
      <c r="B288" s="15" t="s">
        <v>4162</v>
      </c>
      <c r="C288" s="15" t="s">
        <v>4152</v>
      </c>
      <c r="D288" s="15" t="s">
        <v>4153</v>
      </c>
      <c r="E288" s="15" t="s">
        <v>4163</v>
      </c>
    </row>
    <row r="289" spans="1:5" ht="25.5" x14ac:dyDescent="0.2">
      <c r="A289" s="14" t="s">
        <v>4164</v>
      </c>
      <c r="B289" s="15" t="s">
        <v>4165</v>
      </c>
      <c r="C289" s="15" t="s">
        <v>4166</v>
      </c>
      <c r="D289" s="15" t="s">
        <v>4167</v>
      </c>
      <c r="E289" s="15" t="s">
        <v>4168</v>
      </c>
    </row>
    <row r="290" spans="1:5" ht="25.5" x14ac:dyDescent="0.2">
      <c r="A290" s="14" t="s">
        <v>4169</v>
      </c>
      <c r="B290" s="15" t="s">
        <v>4170</v>
      </c>
      <c r="C290" s="15" t="s">
        <v>4171</v>
      </c>
      <c r="D290" s="15" t="s">
        <v>4172</v>
      </c>
      <c r="E290" s="15" t="s">
        <v>4173</v>
      </c>
    </row>
    <row r="291" spans="1:5" ht="25.5" x14ac:dyDescent="0.2">
      <c r="A291" s="14" t="s">
        <v>4174</v>
      </c>
      <c r="B291" s="15" t="s">
        <v>343</v>
      </c>
      <c r="C291" s="15" t="s">
        <v>4175</v>
      </c>
      <c r="D291" s="15" t="s">
        <v>4176</v>
      </c>
      <c r="E291" s="15" t="s">
        <v>4177</v>
      </c>
    </row>
    <row r="292" spans="1:5" ht="25.5" x14ac:dyDescent="0.2">
      <c r="A292" s="14" t="s">
        <v>4178</v>
      </c>
      <c r="B292" s="15" t="s">
        <v>177</v>
      </c>
      <c r="C292" s="15" t="s">
        <v>4179</v>
      </c>
      <c r="D292" s="15" t="s">
        <v>4180</v>
      </c>
      <c r="E292" s="15" t="s">
        <v>4181</v>
      </c>
    </row>
    <row r="293" spans="1:5" ht="25.5" x14ac:dyDescent="0.2">
      <c r="A293" s="14" t="s">
        <v>4182</v>
      </c>
      <c r="B293" s="15" t="s">
        <v>4183</v>
      </c>
      <c r="C293" s="15" t="s">
        <v>4184</v>
      </c>
      <c r="D293" s="15" t="s">
        <v>4185</v>
      </c>
      <c r="E293" s="15" t="s">
        <v>4186</v>
      </c>
    </row>
    <row r="294" spans="1:5" ht="25.5" x14ac:dyDescent="0.2">
      <c r="A294" s="14" t="s">
        <v>4187</v>
      </c>
      <c r="B294" s="15" t="s">
        <v>4188</v>
      </c>
      <c r="C294" s="15" t="s">
        <v>4132</v>
      </c>
      <c r="D294" s="15" t="s">
        <v>4133</v>
      </c>
      <c r="E294" s="15" t="s">
        <v>4189</v>
      </c>
    </row>
    <row r="295" spans="1:5" ht="25.5" x14ac:dyDescent="0.2">
      <c r="A295" s="14" t="s">
        <v>4190</v>
      </c>
      <c r="B295" s="15" t="s">
        <v>4191</v>
      </c>
      <c r="C295" s="15" t="s">
        <v>3318</v>
      </c>
      <c r="D295" s="15" t="s">
        <v>3319</v>
      </c>
      <c r="E295" s="15" t="s">
        <v>4192</v>
      </c>
    </row>
    <row r="296" spans="1:5" ht="25.5" x14ac:dyDescent="0.2">
      <c r="A296" s="14" t="s">
        <v>4193</v>
      </c>
      <c r="B296" s="15" t="s">
        <v>666</v>
      </c>
      <c r="C296" s="15" t="s">
        <v>4132</v>
      </c>
      <c r="D296" s="15" t="s">
        <v>4133</v>
      </c>
      <c r="E296" s="15" t="s">
        <v>4194</v>
      </c>
    </row>
    <row r="297" spans="1:5" ht="25.5" x14ac:dyDescent="0.2">
      <c r="A297" s="14" t="s">
        <v>4195</v>
      </c>
      <c r="B297" s="15" t="s">
        <v>4196</v>
      </c>
      <c r="C297" s="15" t="s">
        <v>4104</v>
      </c>
      <c r="D297" s="15" t="s">
        <v>4105</v>
      </c>
      <c r="E297" s="15" t="s">
        <v>4197</v>
      </c>
    </row>
    <row r="298" spans="1:5" ht="25.5" x14ac:dyDescent="0.2">
      <c r="A298" s="14" t="s">
        <v>4198</v>
      </c>
      <c r="B298" s="15" t="s">
        <v>4199</v>
      </c>
      <c r="C298" s="15" t="s">
        <v>4104</v>
      </c>
      <c r="D298" s="15" t="s">
        <v>4105</v>
      </c>
      <c r="E298" s="15" t="s">
        <v>4200</v>
      </c>
    </row>
    <row r="299" spans="1:5" ht="25.5" x14ac:dyDescent="0.2">
      <c r="A299" s="14" t="s">
        <v>4201</v>
      </c>
      <c r="B299" s="15" t="s">
        <v>4202</v>
      </c>
      <c r="C299" s="15" t="s">
        <v>4203</v>
      </c>
      <c r="D299" s="15" t="s">
        <v>4204</v>
      </c>
      <c r="E299" s="15" t="s">
        <v>4205</v>
      </c>
    </row>
    <row r="300" spans="1:5" ht="25.5" x14ac:dyDescent="0.2">
      <c r="A300" s="14" t="s">
        <v>4206</v>
      </c>
      <c r="B300" s="15" t="s">
        <v>1157</v>
      </c>
      <c r="C300" s="15" t="s">
        <v>4203</v>
      </c>
      <c r="D300" s="15" t="s">
        <v>4204</v>
      </c>
      <c r="E300" s="15" t="s">
        <v>4207</v>
      </c>
    </row>
    <row r="301" spans="1:5" ht="25.5" x14ac:dyDescent="0.2">
      <c r="A301" s="14" t="s">
        <v>4208</v>
      </c>
      <c r="B301" s="15" t="s">
        <v>259</v>
      </c>
      <c r="C301" s="15" t="s">
        <v>4203</v>
      </c>
      <c r="D301" s="15" t="s">
        <v>4204</v>
      </c>
      <c r="E301" s="15" t="s">
        <v>4209</v>
      </c>
    </row>
    <row r="302" spans="1:5" ht="25.5" x14ac:dyDescent="0.2">
      <c r="A302" s="14" t="s">
        <v>4210</v>
      </c>
      <c r="B302" s="15" t="s">
        <v>1158</v>
      </c>
      <c r="C302" s="15" t="s">
        <v>4203</v>
      </c>
      <c r="D302" s="15" t="s">
        <v>4204</v>
      </c>
      <c r="E302" s="15" t="s">
        <v>4211</v>
      </c>
    </row>
    <row r="303" spans="1:5" ht="25.5" x14ac:dyDescent="0.2">
      <c r="A303" s="14" t="s">
        <v>4212</v>
      </c>
      <c r="B303" s="15" t="s">
        <v>1159</v>
      </c>
      <c r="C303" s="15" t="s">
        <v>4203</v>
      </c>
      <c r="D303" s="15" t="s">
        <v>4204</v>
      </c>
      <c r="E303" s="15" t="s">
        <v>4213</v>
      </c>
    </row>
    <row r="304" spans="1:5" ht="25.5" x14ac:dyDescent="0.2">
      <c r="A304" s="14" t="s">
        <v>4214</v>
      </c>
      <c r="B304" s="15" t="s">
        <v>448</v>
      </c>
      <c r="C304" s="15" t="s">
        <v>3395</v>
      </c>
      <c r="D304" s="15" t="s">
        <v>3396</v>
      </c>
      <c r="E304" s="15" t="s">
        <v>4215</v>
      </c>
    </row>
    <row r="305" spans="1:5" ht="25.5" x14ac:dyDescent="0.2">
      <c r="A305" s="14" t="s">
        <v>4216</v>
      </c>
      <c r="B305" s="15" t="s">
        <v>440</v>
      </c>
      <c r="C305" s="15" t="s">
        <v>3395</v>
      </c>
      <c r="D305" s="15" t="s">
        <v>3396</v>
      </c>
      <c r="E305" s="15" t="s">
        <v>4217</v>
      </c>
    </row>
    <row r="306" spans="1:5" ht="25.5" x14ac:dyDescent="0.2">
      <c r="A306" s="14" t="s">
        <v>4218</v>
      </c>
      <c r="B306" s="15" t="s">
        <v>4219</v>
      </c>
      <c r="C306" s="15" t="s">
        <v>3395</v>
      </c>
      <c r="D306" s="15" t="s">
        <v>3396</v>
      </c>
      <c r="E306" s="15" t="s">
        <v>4220</v>
      </c>
    </row>
    <row r="307" spans="1:5" ht="25.5" x14ac:dyDescent="0.2">
      <c r="A307" s="14" t="s">
        <v>4221</v>
      </c>
      <c r="B307" s="15" t="s">
        <v>633</v>
      </c>
      <c r="C307" s="15" t="s">
        <v>3988</v>
      </c>
      <c r="D307" s="15" t="s">
        <v>3989</v>
      </c>
      <c r="E307" s="15" t="s">
        <v>4222</v>
      </c>
    </row>
    <row r="308" spans="1:5" ht="25.5" x14ac:dyDescent="0.2">
      <c r="A308" s="14" t="s">
        <v>4223</v>
      </c>
      <c r="B308" s="15" t="s">
        <v>792</v>
      </c>
      <c r="C308" s="15" t="s">
        <v>3988</v>
      </c>
      <c r="D308" s="15" t="s">
        <v>3989</v>
      </c>
      <c r="E308" s="15" t="s">
        <v>4224</v>
      </c>
    </row>
    <row r="309" spans="1:5" ht="25.5" x14ac:dyDescent="0.2">
      <c r="A309" s="14" t="s">
        <v>4225</v>
      </c>
      <c r="B309" s="15" t="s">
        <v>231</v>
      </c>
      <c r="C309" s="15" t="s">
        <v>4226</v>
      </c>
      <c r="D309" s="15" t="s">
        <v>4227</v>
      </c>
      <c r="E309" s="15" t="s">
        <v>4228</v>
      </c>
    </row>
    <row r="310" spans="1:5" ht="25.5" x14ac:dyDescent="0.2">
      <c r="A310" s="14" t="s">
        <v>4229</v>
      </c>
      <c r="B310" s="15" t="s">
        <v>631</v>
      </c>
      <c r="C310" s="15" t="s">
        <v>4230</v>
      </c>
      <c r="D310" s="15" t="s">
        <v>4231</v>
      </c>
      <c r="E310" s="15" t="s">
        <v>4232</v>
      </c>
    </row>
    <row r="311" spans="1:5" ht="25.5" x14ac:dyDescent="0.2">
      <c r="A311" s="14" t="s">
        <v>4233</v>
      </c>
      <c r="B311" s="15" t="s">
        <v>1412</v>
      </c>
      <c r="C311" s="15" t="s">
        <v>4234</v>
      </c>
      <c r="D311" s="15" t="s">
        <v>4235</v>
      </c>
      <c r="E311" s="15" t="s">
        <v>4236</v>
      </c>
    </row>
    <row r="312" spans="1:5" ht="25.5" x14ac:dyDescent="0.2">
      <c r="A312" s="14" t="s">
        <v>4237</v>
      </c>
      <c r="B312" s="15" t="s">
        <v>1304</v>
      </c>
      <c r="C312" s="15" t="s">
        <v>4234</v>
      </c>
      <c r="D312" s="15" t="s">
        <v>4235</v>
      </c>
      <c r="E312" s="15" t="s">
        <v>4238</v>
      </c>
    </row>
    <row r="313" spans="1:5" ht="25.5" x14ac:dyDescent="0.2">
      <c r="A313" s="14" t="s">
        <v>4239</v>
      </c>
      <c r="B313" s="15" t="s">
        <v>4240</v>
      </c>
      <c r="C313" s="15" t="s">
        <v>4230</v>
      </c>
      <c r="D313" s="15" t="s">
        <v>4231</v>
      </c>
      <c r="E313" s="15" t="s">
        <v>4241</v>
      </c>
    </row>
    <row r="314" spans="1:5" ht="25.5" x14ac:dyDescent="0.2">
      <c r="A314" s="14" t="s">
        <v>4242</v>
      </c>
      <c r="B314" s="15" t="s">
        <v>285</v>
      </c>
      <c r="C314" s="15" t="s">
        <v>4230</v>
      </c>
      <c r="D314" s="15" t="s">
        <v>4231</v>
      </c>
      <c r="E314" s="15" t="s">
        <v>4243</v>
      </c>
    </row>
    <row r="315" spans="1:5" ht="25.5" x14ac:dyDescent="0.2">
      <c r="A315" s="14" t="s">
        <v>4244</v>
      </c>
      <c r="B315" s="15" t="s">
        <v>4245</v>
      </c>
      <c r="C315" s="15" t="s">
        <v>4246</v>
      </c>
      <c r="D315" s="15" t="s">
        <v>4247</v>
      </c>
      <c r="E315" s="15" t="s">
        <v>4248</v>
      </c>
    </row>
    <row r="316" spans="1:5" ht="25.5" x14ac:dyDescent="0.2">
      <c r="A316" s="14" t="s">
        <v>4249</v>
      </c>
      <c r="B316" s="15" t="s">
        <v>4250</v>
      </c>
      <c r="C316" s="15" t="s">
        <v>4246</v>
      </c>
      <c r="D316" s="15" t="s">
        <v>4247</v>
      </c>
      <c r="E316" s="15" t="s">
        <v>4251</v>
      </c>
    </row>
    <row r="317" spans="1:5" ht="25.5" x14ac:dyDescent="0.2">
      <c r="A317" s="14" t="s">
        <v>4252</v>
      </c>
      <c r="B317" s="15" t="s">
        <v>1656</v>
      </c>
      <c r="C317" s="15" t="s">
        <v>4253</v>
      </c>
      <c r="D317" s="15" t="s">
        <v>4254</v>
      </c>
      <c r="E317" s="15" t="s">
        <v>4255</v>
      </c>
    </row>
    <row r="318" spans="1:5" ht="25.5" x14ac:dyDescent="0.2">
      <c r="A318" s="14" t="s">
        <v>4256</v>
      </c>
      <c r="B318" s="15" t="s">
        <v>4257</v>
      </c>
      <c r="C318" s="15" t="s">
        <v>4253</v>
      </c>
      <c r="D318" s="15" t="s">
        <v>4254</v>
      </c>
      <c r="E318" s="15" t="s">
        <v>4258</v>
      </c>
    </row>
    <row r="319" spans="1:5" ht="25.5" x14ac:dyDescent="0.2">
      <c r="A319" s="14" t="s">
        <v>4259</v>
      </c>
      <c r="B319" s="15" t="s">
        <v>1232</v>
      </c>
      <c r="C319" s="15" t="s">
        <v>4203</v>
      </c>
      <c r="D319" s="15" t="s">
        <v>4204</v>
      </c>
      <c r="E319" s="15" t="s">
        <v>4260</v>
      </c>
    </row>
    <row r="320" spans="1:5" ht="25.5" x14ac:dyDescent="0.2">
      <c r="A320" s="14" t="s">
        <v>4261</v>
      </c>
      <c r="B320" s="15" t="s">
        <v>1409</v>
      </c>
      <c r="C320" s="15" t="s">
        <v>4262</v>
      </c>
      <c r="D320" s="15" t="s">
        <v>4263</v>
      </c>
      <c r="E320" s="15" t="s">
        <v>4264</v>
      </c>
    </row>
    <row r="321" spans="1:5" ht="25.5" x14ac:dyDescent="0.2">
      <c r="A321" s="14" t="s">
        <v>4265</v>
      </c>
      <c r="B321" s="15" t="s">
        <v>790</v>
      </c>
      <c r="C321" s="15" t="s">
        <v>4262</v>
      </c>
      <c r="D321" s="15" t="s">
        <v>4263</v>
      </c>
      <c r="E321" s="15" t="s">
        <v>4266</v>
      </c>
    </row>
    <row r="322" spans="1:5" ht="25.5" x14ac:dyDescent="0.2">
      <c r="A322" s="14" t="s">
        <v>4267</v>
      </c>
      <c r="B322" s="15" t="s">
        <v>410</v>
      </c>
      <c r="C322" s="15" t="s">
        <v>4203</v>
      </c>
      <c r="D322" s="15" t="s">
        <v>4204</v>
      </c>
      <c r="E322" s="15" t="s">
        <v>4268</v>
      </c>
    </row>
    <row r="323" spans="1:5" ht="25.5" x14ac:dyDescent="0.2">
      <c r="A323" s="14" t="s">
        <v>4269</v>
      </c>
      <c r="B323" s="15" t="s">
        <v>450</v>
      </c>
      <c r="C323" s="15" t="s">
        <v>4262</v>
      </c>
      <c r="D323" s="15" t="s">
        <v>4263</v>
      </c>
      <c r="E323" s="15" t="s">
        <v>4270</v>
      </c>
    </row>
    <row r="324" spans="1:5" ht="25.5" x14ac:dyDescent="0.2">
      <c r="A324" s="14" t="s">
        <v>4271</v>
      </c>
      <c r="B324" s="15" t="s">
        <v>4272</v>
      </c>
      <c r="C324" s="15" t="s">
        <v>4273</v>
      </c>
      <c r="D324" s="15" t="s">
        <v>4274</v>
      </c>
      <c r="E324" s="15" t="s">
        <v>4275</v>
      </c>
    </row>
    <row r="325" spans="1:5" ht="25.5" x14ac:dyDescent="0.2">
      <c r="A325" s="14" t="s">
        <v>4276</v>
      </c>
      <c r="B325" s="15" t="s">
        <v>4277</v>
      </c>
      <c r="C325" s="15" t="s">
        <v>4273</v>
      </c>
      <c r="D325" s="15" t="s">
        <v>4274</v>
      </c>
      <c r="E325" s="15" t="s">
        <v>4278</v>
      </c>
    </row>
    <row r="326" spans="1:5" ht="25.5" x14ac:dyDescent="0.2">
      <c r="A326" s="14" t="s">
        <v>4279</v>
      </c>
      <c r="B326" s="15" t="s">
        <v>4280</v>
      </c>
      <c r="C326" s="15" t="s">
        <v>4281</v>
      </c>
      <c r="D326" s="15" t="s">
        <v>4282</v>
      </c>
      <c r="E326" s="15" t="s">
        <v>4283</v>
      </c>
    </row>
    <row r="327" spans="1:5" ht="25.5" x14ac:dyDescent="0.2">
      <c r="A327" s="14" t="s">
        <v>4284</v>
      </c>
      <c r="B327" s="15" t="s">
        <v>4285</v>
      </c>
      <c r="C327" s="15" t="s">
        <v>4286</v>
      </c>
      <c r="D327" s="15" t="s">
        <v>4287</v>
      </c>
      <c r="E327" s="15" t="s">
        <v>4288</v>
      </c>
    </row>
    <row r="328" spans="1:5" ht="25.5" x14ac:dyDescent="0.2">
      <c r="A328" s="14" t="s">
        <v>4289</v>
      </c>
      <c r="B328" s="15" t="s">
        <v>4290</v>
      </c>
      <c r="C328" s="15" t="s">
        <v>4104</v>
      </c>
      <c r="D328" s="15" t="s">
        <v>4105</v>
      </c>
      <c r="E328" s="15" t="s">
        <v>4291</v>
      </c>
    </row>
    <row r="329" spans="1:5" ht="25.5" x14ac:dyDescent="0.2">
      <c r="A329" s="14" t="s">
        <v>4292</v>
      </c>
      <c r="B329" s="15" t="s">
        <v>4293</v>
      </c>
      <c r="C329" s="15" t="s">
        <v>4294</v>
      </c>
      <c r="D329" s="15" t="s">
        <v>4295</v>
      </c>
      <c r="E329" s="15" t="s">
        <v>4296</v>
      </c>
    </row>
    <row r="330" spans="1:5" ht="25.5" x14ac:dyDescent="0.2">
      <c r="A330" s="14" t="s">
        <v>4297</v>
      </c>
      <c r="B330" s="15" t="s">
        <v>244</v>
      </c>
      <c r="C330" s="15" t="s">
        <v>4298</v>
      </c>
      <c r="D330" s="15" t="s">
        <v>4299</v>
      </c>
      <c r="E330" s="15" t="s">
        <v>4300</v>
      </c>
    </row>
    <row r="331" spans="1:5" ht="25.5" x14ac:dyDescent="0.2">
      <c r="A331" s="14" t="s">
        <v>4301</v>
      </c>
      <c r="B331" s="15" t="s">
        <v>437</v>
      </c>
      <c r="C331" s="15" t="s">
        <v>4298</v>
      </c>
      <c r="D331" s="15" t="s">
        <v>4299</v>
      </c>
      <c r="E331" s="15" t="s">
        <v>4302</v>
      </c>
    </row>
    <row r="332" spans="1:5" ht="25.5" x14ac:dyDescent="0.2">
      <c r="A332" s="14" t="s">
        <v>4303</v>
      </c>
      <c r="B332" s="15" t="s">
        <v>455</v>
      </c>
      <c r="C332" s="15" t="s">
        <v>4298</v>
      </c>
      <c r="D332" s="15" t="s">
        <v>4299</v>
      </c>
      <c r="E332" s="15" t="s">
        <v>4304</v>
      </c>
    </row>
    <row r="333" spans="1:5" ht="25.5" x14ac:dyDescent="0.2">
      <c r="A333" s="14" t="s">
        <v>4305</v>
      </c>
      <c r="B333" s="15" t="s">
        <v>4306</v>
      </c>
      <c r="C333" s="15" t="s">
        <v>4307</v>
      </c>
      <c r="D333" s="15" t="s">
        <v>4308</v>
      </c>
      <c r="E333" s="15" t="s">
        <v>4309</v>
      </c>
    </row>
    <row r="334" spans="1:5" ht="25.5" x14ac:dyDescent="0.2">
      <c r="A334" s="14" t="s">
        <v>4310</v>
      </c>
      <c r="B334" s="15" t="s">
        <v>4311</v>
      </c>
      <c r="C334" s="15" t="s">
        <v>4307</v>
      </c>
      <c r="D334" s="15" t="s">
        <v>4308</v>
      </c>
      <c r="E334" s="15" t="s">
        <v>4312</v>
      </c>
    </row>
    <row r="335" spans="1:5" ht="25.5" x14ac:dyDescent="0.2">
      <c r="A335" s="14" t="s">
        <v>4313</v>
      </c>
      <c r="B335" s="15" t="s">
        <v>4314</v>
      </c>
      <c r="C335" s="15" t="s">
        <v>4104</v>
      </c>
      <c r="D335" s="15" t="s">
        <v>4105</v>
      </c>
      <c r="E335" s="15" t="s">
        <v>4315</v>
      </c>
    </row>
    <row r="336" spans="1:5" ht="25.5" x14ac:dyDescent="0.2">
      <c r="A336" s="14" t="s">
        <v>4316</v>
      </c>
      <c r="B336" s="15" t="s">
        <v>4317</v>
      </c>
      <c r="C336" s="15" t="s">
        <v>4104</v>
      </c>
      <c r="D336" s="15" t="s">
        <v>4105</v>
      </c>
      <c r="E336" s="15" t="s">
        <v>4318</v>
      </c>
    </row>
    <row r="337" spans="1:5" ht="25.5" x14ac:dyDescent="0.2">
      <c r="A337" s="14" t="s">
        <v>4319</v>
      </c>
      <c r="B337" s="15" t="s">
        <v>4320</v>
      </c>
      <c r="C337" s="15" t="s">
        <v>4104</v>
      </c>
      <c r="D337" s="15" t="s">
        <v>4105</v>
      </c>
      <c r="E337" s="15" t="s">
        <v>4321</v>
      </c>
    </row>
    <row r="338" spans="1:5" ht="25.5" x14ac:dyDescent="0.2">
      <c r="A338" s="14" t="s">
        <v>4322</v>
      </c>
      <c r="B338" s="15" t="s">
        <v>4323</v>
      </c>
      <c r="C338" s="15" t="s">
        <v>3318</v>
      </c>
      <c r="D338" s="15" t="s">
        <v>3319</v>
      </c>
      <c r="E338" s="15" t="s">
        <v>4324</v>
      </c>
    </row>
    <row r="339" spans="1:5" ht="25.5" x14ac:dyDescent="0.2">
      <c r="A339" s="14" t="s">
        <v>4325</v>
      </c>
      <c r="B339" s="15" t="s">
        <v>1260</v>
      </c>
      <c r="C339" s="15" t="s">
        <v>4326</v>
      </c>
      <c r="D339" s="15" t="s">
        <v>4327</v>
      </c>
      <c r="E339" s="15" t="s">
        <v>4328</v>
      </c>
    </row>
    <row r="340" spans="1:5" ht="25.5" x14ac:dyDescent="0.2">
      <c r="A340" s="14" t="s">
        <v>4329</v>
      </c>
      <c r="B340" s="15" t="s">
        <v>41</v>
      </c>
      <c r="C340" s="15" t="s">
        <v>3318</v>
      </c>
      <c r="D340" s="15" t="s">
        <v>3319</v>
      </c>
      <c r="E340" s="15" t="s">
        <v>4330</v>
      </c>
    </row>
    <row r="341" spans="1:5" ht="25.5" x14ac:dyDescent="0.2">
      <c r="A341" s="14" t="s">
        <v>4331</v>
      </c>
      <c r="B341" s="15" t="s">
        <v>406</v>
      </c>
      <c r="C341" s="15" t="s">
        <v>4179</v>
      </c>
      <c r="D341" s="15" t="s">
        <v>4180</v>
      </c>
      <c r="E341" s="15" t="s">
        <v>4332</v>
      </c>
    </row>
    <row r="342" spans="1:5" ht="25.5" x14ac:dyDescent="0.2">
      <c r="A342" s="14" t="s">
        <v>4333</v>
      </c>
      <c r="B342" s="15" t="s">
        <v>220</v>
      </c>
      <c r="C342" s="15" t="s">
        <v>4179</v>
      </c>
      <c r="D342" s="15" t="s">
        <v>4180</v>
      </c>
      <c r="E342" s="15" t="s">
        <v>4334</v>
      </c>
    </row>
    <row r="343" spans="1:5" ht="25.5" x14ac:dyDescent="0.2">
      <c r="A343" s="14" t="s">
        <v>4335</v>
      </c>
      <c r="B343" s="15" t="s">
        <v>606</v>
      </c>
      <c r="C343" s="15" t="s">
        <v>4179</v>
      </c>
      <c r="D343" s="15" t="s">
        <v>4180</v>
      </c>
      <c r="E343" s="15" t="s">
        <v>4336</v>
      </c>
    </row>
    <row r="344" spans="1:5" ht="25.5" x14ac:dyDescent="0.2">
      <c r="A344" s="14" t="s">
        <v>4337</v>
      </c>
      <c r="B344" s="15" t="s">
        <v>4338</v>
      </c>
      <c r="C344" s="15" t="s">
        <v>3318</v>
      </c>
      <c r="D344" s="15" t="s">
        <v>3319</v>
      </c>
      <c r="E344" s="15" t="s">
        <v>4339</v>
      </c>
    </row>
    <row r="345" spans="1:5" ht="25.5" x14ac:dyDescent="0.2">
      <c r="A345" s="14" t="s">
        <v>4340</v>
      </c>
      <c r="B345" s="15" t="s">
        <v>4341</v>
      </c>
      <c r="C345" s="15" t="s">
        <v>3318</v>
      </c>
      <c r="D345" s="15" t="s">
        <v>3319</v>
      </c>
      <c r="E345" s="15" t="s">
        <v>4342</v>
      </c>
    </row>
    <row r="346" spans="1:5" ht="25.5" x14ac:dyDescent="0.2">
      <c r="A346" s="14" t="s">
        <v>4343</v>
      </c>
      <c r="B346" s="15" t="s">
        <v>4344</v>
      </c>
      <c r="C346" s="15" t="s">
        <v>4345</v>
      </c>
      <c r="D346" s="15" t="s">
        <v>4346</v>
      </c>
      <c r="E346" s="15" t="s">
        <v>4347</v>
      </c>
    </row>
    <row r="347" spans="1:5" ht="25.5" x14ac:dyDescent="0.2">
      <c r="A347" s="14" t="s">
        <v>4348</v>
      </c>
      <c r="B347" s="15" t="s">
        <v>1573</v>
      </c>
      <c r="C347" s="15" t="s">
        <v>4349</v>
      </c>
      <c r="D347" s="15" t="s">
        <v>4350</v>
      </c>
      <c r="E347" s="15" t="s">
        <v>4351</v>
      </c>
    </row>
    <row r="348" spans="1:5" ht="25.5" x14ac:dyDescent="0.2">
      <c r="A348" s="14" t="s">
        <v>4352</v>
      </c>
      <c r="B348" s="15" t="s">
        <v>477</v>
      </c>
      <c r="C348" s="15" t="s">
        <v>4353</v>
      </c>
      <c r="D348" s="15" t="s">
        <v>4354</v>
      </c>
      <c r="E348" s="15" t="s">
        <v>4355</v>
      </c>
    </row>
    <row r="349" spans="1:5" ht="25.5" x14ac:dyDescent="0.2">
      <c r="A349" s="14" t="s">
        <v>4356</v>
      </c>
      <c r="B349" s="15" t="s">
        <v>4357</v>
      </c>
      <c r="C349" s="15" t="s">
        <v>3410</v>
      </c>
      <c r="D349" s="15" t="s">
        <v>3411</v>
      </c>
      <c r="E349" s="15" t="s">
        <v>4358</v>
      </c>
    </row>
    <row r="350" spans="1:5" ht="25.5" x14ac:dyDescent="0.2">
      <c r="A350" s="14" t="s">
        <v>4359</v>
      </c>
      <c r="B350" s="15" t="s">
        <v>4360</v>
      </c>
      <c r="C350" s="15" t="s">
        <v>3410</v>
      </c>
      <c r="D350" s="15" t="s">
        <v>3411</v>
      </c>
      <c r="E350" s="15" t="s">
        <v>4361</v>
      </c>
    </row>
    <row r="351" spans="1:5" ht="25.5" x14ac:dyDescent="0.2">
      <c r="A351" s="14" t="s">
        <v>4362</v>
      </c>
      <c r="B351" s="15" t="s">
        <v>4363</v>
      </c>
      <c r="C351" s="15" t="s">
        <v>3410</v>
      </c>
      <c r="D351" s="15" t="s">
        <v>3411</v>
      </c>
      <c r="E351" s="15" t="s">
        <v>4364</v>
      </c>
    </row>
    <row r="352" spans="1:5" ht="25.5" x14ac:dyDescent="0.2">
      <c r="A352" s="14" t="s">
        <v>4365</v>
      </c>
      <c r="B352" s="15" t="s">
        <v>4366</v>
      </c>
      <c r="C352" s="15" t="s">
        <v>4132</v>
      </c>
      <c r="D352" s="15" t="s">
        <v>4133</v>
      </c>
      <c r="E352" s="15" t="s">
        <v>4367</v>
      </c>
    </row>
    <row r="353" spans="1:5" ht="25.5" x14ac:dyDescent="0.2">
      <c r="A353" s="14" t="s">
        <v>4368</v>
      </c>
      <c r="B353" s="15" t="s">
        <v>4369</v>
      </c>
      <c r="C353" s="15" t="s">
        <v>4226</v>
      </c>
      <c r="D353" s="15" t="s">
        <v>4227</v>
      </c>
      <c r="E353" s="15" t="s">
        <v>4370</v>
      </c>
    </row>
    <row r="354" spans="1:5" ht="25.5" x14ac:dyDescent="0.2">
      <c r="A354" s="14" t="s">
        <v>4371</v>
      </c>
      <c r="B354" s="15" t="s">
        <v>86</v>
      </c>
      <c r="C354" s="15" t="s">
        <v>4226</v>
      </c>
      <c r="D354" s="15" t="s">
        <v>4227</v>
      </c>
      <c r="E354" s="15" t="s">
        <v>4372</v>
      </c>
    </row>
    <row r="355" spans="1:5" ht="25.5" x14ac:dyDescent="0.2">
      <c r="A355" s="14" t="s">
        <v>4373</v>
      </c>
      <c r="B355" s="15" t="s">
        <v>4374</v>
      </c>
      <c r="C355" s="15" t="s">
        <v>4375</v>
      </c>
      <c r="D355" s="15" t="s">
        <v>4376</v>
      </c>
      <c r="E355" s="15" t="s">
        <v>4377</v>
      </c>
    </row>
    <row r="356" spans="1:5" ht="51" x14ac:dyDescent="0.2">
      <c r="A356" s="14" t="s">
        <v>4378</v>
      </c>
      <c r="B356" s="15" t="s">
        <v>4379</v>
      </c>
      <c r="C356" s="15" t="s">
        <v>4375</v>
      </c>
      <c r="D356" s="15" t="s">
        <v>4376</v>
      </c>
      <c r="E356" s="15" t="s">
        <v>4380</v>
      </c>
    </row>
    <row r="357" spans="1:5" ht="25.5" x14ac:dyDescent="0.2">
      <c r="A357" s="14" t="s">
        <v>4381</v>
      </c>
      <c r="B357" s="15" t="s">
        <v>4382</v>
      </c>
      <c r="C357" s="15" t="s">
        <v>4375</v>
      </c>
      <c r="D357" s="15" t="s">
        <v>4376</v>
      </c>
      <c r="E357" s="15" t="s">
        <v>4383</v>
      </c>
    </row>
    <row r="358" spans="1:5" ht="38.25" x14ac:dyDescent="0.2">
      <c r="A358" s="14" t="s">
        <v>4384</v>
      </c>
      <c r="B358" s="15" t="s">
        <v>4385</v>
      </c>
      <c r="C358" s="15" t="s">
        <v>4386</v>
      </c>
      <c r="D358" s="15" t="s">
        <v>4387</v>
      </c>
      <c r="E358" s="15" t="s">
        <v>4388</v>
      </c>
    </row>
    <row r="359" spans="1:5" ht="25.5" x14ac:dyDescent="0.2">
      <c r="A359" s="14" t="s">
        <v>4389</v>
      </c>
      <c r="B359" s="15" t="s">
        <v>979</v>
      </c>
      <c r="C359" s="15" t="s">
        <v>4390</v>
      </c>
      <c r="D359" s="15" t="s">
        <v>4391</v>
      </c>
      <c r="E359" s="15" t="s">
        <v>4392</v>
      </c>
    </row>
    <row r="360" spans="1:5" ht="25.5" x14ac:dyDescent="0.2">
      <c r="A360" s="14" t="s">
        <v>4393</v>
      </c>
      <c r="B360" s="15" t="s">
        <v>1202</v>
      </c>
      <c r="C360" s="15" t="s">
        <v>4390</v>
      </c>
      <c r="D360" s="15" t="s">
        <v>4391</v>
      </c>
      <c r="E360" s="15" t="s">
        <v>4394</v>
      </c>
    </row>
    <row r="361" spans="1:5" ht="25.5" x14ac:dyDescent="0.2">
      <c r="A361" s="14" t="s">
        <v>4395</v>
      </c>
      <c r="B361" s="15" t="s">
        <v>4396</v>
      </c>
      <c r="C361" s="15" t="s">
        <v>4397</v>
      </c>
      <c r="D361" s="15" t="s">
        <v>4398</v>
      </c>
      <c r="E361" s="15" t="s">
        <v>4399</v>
      </c>
    </row>
    <row r="362" spans="1:5" ht="25.5" x14ac:dyDescent="0.2">
      <c r="A362" s="14" t="s">
        <v>4400</v>
      </c>
      <c r="B362" s="15" t="s">
        <v>4401</v>
      </c>
      <c r="C362" s="15" t="s">
        <v>4262</v>
      </c>
      <c r="D362" s="15" t="s">
        <v>4263</v>
      </c>
      <c r="E362" s="15" t="s">
        <v>4402</v>
      </c>
    </row>
    <row r="363" spans="1:5" ht="25.5" x14ac:dyDescent="0.2">
      <c r="A363" s="14" t="s">
        <v>4403</v>
      </c>
      <c r="B363" s="15" t="s">
        <v>677</v>
      </c>
      <c r="C363" s="15" t="s">
        <v>4203</v>
      </c>
      <c r="D363" s="15" t="s">
        <v>4204</v>
      </c>
      <c r="E363" s="15" t="s">
        <v>4404</v>
      </c>
    </row>
    <row r="364" spans="1:5" ht="25.5" x14ac:dyDescent="0.2">
      <c r="A364" s="14" t="s">
        <v>4405</v>
      </c>
      <c r="B364" s="15" t="s">
        <v>4406</v>
      </c>
      <c r="C364" s="15" t="s">
        <v>4203</v>
      </c>
      <c r="D364" s="15" t="s">
        <v>4204</v>
      </c>
      <c r="E364" s="15" t="s">
        <v>4407</v>
      </c>
    </row>
    <row r="365" spans="1:5" ht="38.25" x14ac:dyDescent="0.2">
      <c r="A365" s="14" t="s">
        <v>4408</v>
      </c>
      <c r="B365" s="15" t="s">
        <v>1623</v>
      </c>
      <c r="C365" s="15" t="s">
        <v>4203</v>
      </c>
      <c r="D365" s="15" t="s">
        <v>4204</v>
      </c>
      <c r="E365" s="15" t="s">
        <v>4409</v>
      </c>
    </row>
    <row r="366" spans="1:5" ht="25.5" x14ac:dyDescent="0.2">
      <c r="A366" s="14" t="s">
        <v>4410</v>
      </c>
      <c r="B366" s="15" t="s">
        <v>184</v>
      </c>
      <c r="C366" s="15" t="s">
        <v>4226</v>
      </c>
      <c r="D366" s="15" t="s">
        <v>4227</v>
      </c>
      <c r="E366" s="15" t="s">
        <v>4411</v>
      </c>
    </row>
    <row r="367" spans="1:5" ht="25.5" x14ac:dyDescent="0.2">
      <c r="A367" s="14" t="s">
        <v>4412</v>
      </c>
      <c r="B367" s="15" t="s">
        <v>4413</v>
      </c>
      <c r="C367" s="15" t="s">
        <v>4262</v>
      </c>
      <c r="D367" s="15" t="s">
        <v>4263</v>
      </c>
      <c r="E367" s="15" t="s">
        <v>4414</v>
      </c>
    </row>
    <row r="368" spans="1:5" ht="25.5" x14ac:dyDescent="0.2">
      <c r="A368" s="14" t="s">
        <v>4415</v>
      </c>
      <c r="B368" s="15" t="s">
        <v>892</v>
      </c>
      <c r="C368" s="15" t="s">
        <v>4262</v>
      </c>
      <c r="D368" s="15" t="s">
        <v>4263</v>
      </c>
      <c r="E368" s="15" t="s">
        <v>4416</v>
      </c>
    </row>
    <row r="369" spans="1:5" ht="25.5" x14ac:dyDescent="0.2">
      <c r="A369" s="14" t="s">
        <v>4417</v>
      </c>
      <c r="B369" s="15" t="s">
        <v>4418</v>
      </c>
      <c r="C369" s="15" t="s">
        <v>4262</v>
      </c>
      <c r="D369" s="15" t="s">
        <v>4263</v>
      </c>
      <c r="E369" s="15" t="s">
        <v>4419</v>
      </c>
    </row>
    <row r="370" spans="1:5" ht="25.5" x14ac:dyDescent="0.2">
      <c r="A370" s="14" t="s">
        <v>4420</v>
      </c>
      <c r="B370" s="15" t="s">
        <v>1480</v>
      </c>
      <c r="C370" s="15" t="s">
        <v>4262</v>
      </c>
      <c r="D370" s="15" t="s">
        <v>4263</v>
      </c>
      <c r="E370" s="15" t="s">
        <v>4421</v>
      </c>
    </row>
    <row r="371" spans="1:5" ht="25.5" x14ac:dyDescent="0.2">
      <c r="A371" s="14" t="s">
        <v>4422</v>
      </c>
      <c r="B371" s="15" t="s">
        <v>4423</v>
      </c>
      <c r="C371" s="15" t="s">
        <v>4262</v>
      </c>
      <c r="D371" s="15" t="s">
        <v>4263</v>
      </c>
      <c r="E371" s="15" t="s">
        <v>4424</v>
      </c>
    </row>
    <row r="372" spans="1:5" ht="25.5" x14ac:dyDescent="0.2">
      <c r="A372" s="14" t="s">
        <v>4425</v>
      </c>
      <c r="B372" s="15" t="s">
        <v>4426</v>
      </c>
      <c r="C372" s="15" t="s">
        <v>4262</v>
      </c>
      <c r="D372" s="15" t="s">
        <v>4263</v>
      </c>
      <c r="E372" s="15" t="s">
        <v>4427</v>
      </c>
    </row>
    <row r="373" spans="1:5" ht="25.5" x14ac:dyDescent="0.2">
      <c r="A373" s="14" t="s">
        <v>4428</v>
      </c>
      <c r="B373" s="15" t="s">
        <v>4429</v>
      </c>
      <c r="C373" s="15" t="s">
        <v>4262</v>
      </c>
      <c r="D373" s="15" t="s">
        <v>4263</v>
      </c>
      <c r="E373" s="15" t="s">
        <v>4430</v>
      </c>
    </row>
    <row r="374" spans="1:5" ht="25.5" x14ac:dyDescent="0.2">
      <c r="A374" s="14" t="s">
        <v>4431</v>
      </c>
      <c r="B374" s="15" t="s">
        <v>4432</v>
      </c>
      <c r="C374" s="15" t="s">
        <v>4262</v>
      </c>
      <c r="D374" s="15" t="s">
        <v>4263</v>
      </c>
      <c r="E374" s="15" t="s">
        <v>4433</v>
      </c>
    </row>
    <row r="375" spans="1:5" ht="25.5" x14ac:dyDescent="0.2">
      <c r="A375" s="14" t="s">
        <v>4434</v>
      </c>
      <c r="B375" s="15" t="s">
        <v>4435</v>
      </c>
      <c r="C375" s="15" t="s">
        <v>4262</v>
      </c>
      <c r="D375" s="15" t="s">
        <v>4263</v>
      </c>
      <c r="E375" s="15" t="s">
        <v>4436</v>
      </c>
    </row>
    <row r="376" spans="1:5" ht="25.5" x14ac:dyDescent="0.2">
      <c r="A376" s="14" t="s">
        <v>4437</v>
      </c>
      <c r="B376" s="15" t="s">
        <v>4438</v>
      </c>
      <c r="C376" s="15" t="s">
        <v>4262</v>
      </c>
      <c r="D376" s="15" t="s">
        <v>4263</v>
      </c>
      <c r="E376" s="15" t="s">
        <v>4439</v>
      </c>
    </row>
    <row r="377" spans="1:5" ht="25.5" x14ac:dyDescent="0.2">
      <c r="A377" s="14" t="s">
        <v>4440</v>
      </c>
      <c r="B377" s="15" t="s">
        <v>4441</v>
      </c>
      <c r="C377" s="15" t="s">
        <v>4262</v>
      </c>
      <c r="D377" s="15" t="s">
        <v>4263</v>
      </c>
      <c r="E377" s="15" t="s">
        <v>4442</v>
      </c>
    </row>
    <row r="378" spans="1:5" ht="25.5" x14ac:dyDescent="0.2">
      <c r="A378" s="14" t="s">
        <v>4443</v>
      </c>
      <c r="B378" s="15" t="s">
        <v>4444</v>
      </c>
      <c r="C378" s="15" t="s">
        <v>4262</v>
      </c>
      <c r="D378" s="15" t="s">
        <v>4263</v>
      </c>
      <c r="E378" s="15" t="s">
        <v>4445</v>
      </c>
    </row>
    <row r="379" spans="1:5" ht="25.5" x14ac:dyDescent="0.2">
      <c r="A379" s="14" t="s">
        <v>4446</v>
      </c>
      <c r="B379" s="15" t="s">
        <v>4447</v>
      </c>
      <c r="C379" s="15" t="s">
        <v>4262</v>
      </c>
      <c r="D379" s="15" t="s">
        <v>4263</v>
      </c>
      <c r="E379" s="15" t="s">
        <v>4448</v>
      </c>
    </row>
    <row r="380" spans="1:5" ht="25.5" x14ac:dyDescent="0.2">
      <c r="A380" s="14" t="s">
        <v>4449</v>
      </c>
      <c r="B380" s="15" t="s">
        <v>4450</v>
      </c>
      <c r="C380" s="15" t="s">
        <v>4262</v>
      </c>
      <c r="D380" s="15" t="s">
        <v>4263</v>
      </c>
      <c r="E380" s="15" t="s">
        <v>4451</v>
      </c>
    </row>
    <row r="381" spans="1:5" ht="25.5" x14ac:dyDescent="0.2">
      <c r="A381" s="14" t="s">
        <v>4452</v>
      </c>
      <c r="B381" s="15" t="s">
        <v>4453</v>
      </c>
      <c r="C381" s="15" t="s">
        <v>4262</v>
      </c>
      <c r="D381" s="15" t="s">
        <v>4263</v>
      </c>
      <c r="E381" s="15" t="s">
        <v>4454</v>
      </c>
    </row>
    <row r="382" spans="1:5" ht="25.5" x14ac:dyDescent="0.2">
      <c r="A382" s="14" t="s">
        <v>4455</v>
      </c>
      <c r="B382" s="15" t="s">
        <v>4456</v>
      </c>
      <c r="C382" s="15" t="s">
        <v>4262</v>
      </c>
      <c r="D382" s="15" t="s">
        <v>4263</v>
      </c>
      <c r="E382" s="15" t="s">
        <v>4457</v>
      </c>
    </row>
    <row r="383" spans="1:5" ht="25.5" x14ac:dyDescent="0.2">
      <c r="A383" s="14" t="s">
        <v>4458</v>
      </c>
      <c r="B383" s="15" t="s">
        <v>4459</v>
      </c>
      <c r="C383" s="15" t="s">
        <v>4262</v>
      </c>
      <c r="D383" s="15" t="s">
        <v>4263</v>
      </c>
      <c r="E383" s="15" t="s">
        <v>4460</v>
      </c>
    </row>
    <row r="384" spans="1:5" ht="25.5" x14ac:dyDescent="0.2">
      <c r="A384" s="14" t="s">
        <v>4461</v>
      </c>
      <c r="B384" s="15" t="s">
        <v>4462</v>
      </c>
      <c r="C384" s="15" t="s">
        <v>4262</v>
      </c>
      <c r="D384" s="15" t="s">
        <v>4263</v>
      </c>
      <c r="E384" s="15" t="s">
        <v>4463</v>
      </c>
    </row>
    <row r="385" spans="1:5" ht="25.5" x14ac:dyDescent="0.2">
      <c r="A385" s="14" t="s">
        <v>4464</v>
      </c>
      <c r="B385" s="15" t="s">
        <v>4465</v>
      </c>
      <c r="C385" s="15" t="s">
        <v>4262</v>
      </c>
      <c r="D385" s="15" t="s">
        <v>4263</v>
      </c>
      <c r="E385" s="15" t="s">
        <v>4466</v>
      </c>
    </row>
    <row r="386" spans="1:5" ht="25.5" x14ac:dyDescent="0.2">
      <c r="A386" s="14" t="s">
        <v>4467</v>
      </c>
      <c r="B386" s="15" t="s">
        <v>4468</v>
      </c>
      <c r="C386" s="15" t="s">
        <v>4262</v>
      </c>
      <c r="D386" s="15" t="s">
        <v>4263</v>
      </c>
      <c r="E386" s="15" t="s">
        <v>4469</v>
      </c>
    </row>
    <row r="387" spans="1:5" ht="25.5" x14ac:dyDescent="0.2">
      <c r="A387" s="14" t="s">
        <v>4470</v>
      </c>
      <c r="B387" s="15" t="s">
        <v>4471</v>
      </c>
      <c r="C387" s="15" t="s">
        <v>4262</v>
      </c>
      <c r="D387" s="15" t="s">
        <v>4263</v>
      </c>
      <c r="E387" s="15" t="s">
        <v>4472</v>
      </c>
    </row>
    <row r="388" spans="1:5" ht="25.5" x14ac:dyDescent="0.2">
      <c r="A388" s="14" t="s">
        <v>4473</v>
      </c>
      <c r="B388" s="15" t="s">
        <v>4474</v>
      </c>
      <c r="C388" s="15" t="s">
        <v>4262</v>
      </c>
      <c r="D388" s="15" t="s">
        <v>4263</v>
      </c>
      <c r="E388" s="15" t="s">
        <v>4475</v>
      </c>
    </row>
    <row r="389" spans="1:5" ht="25.5" x14ac:dyDescent="0.2">
      <c r="A389" s="14" t="s">
        <v>4476</v>
      </c>
      <c r="B389" s="15" t="s">
        <v>4477</v>
      </c>
      <c r="C389" s="15" t="s">
        <v>4262</v>
      </c>
      <c r="D389" s="15" t="s">
        <v>4263</v>
      </c>
      <c r="E389" s="15" t="s">
        <v>4478</v>
      </c>
    </row>
    <row r="390" spans="1:5" ht="25.5" x14ac:dyDescent="0.2">
      <c r="A390" s="14" t="s">
        <v>4479</v>
      </c>
      <c r="B390" s="15" t="s">
        <v>4480</v>
      </c>
      <c r="C390" s="15" t="s">
        <v>4262</v>
      </c>
      <c r="D390" s="15" t="s">
        <v>4263</v>
      </c>
      <c r="E390" s="15" t="s">
        <v>4481</v>
      </c>
    </row>
    <row r="391" spans="1:5" ht="25.5" x14ac:dyDescent="0.2">
      <c r="A391" s="14" t="s">
        <v>4482</v>
      </c>
      <c r="B391" s="15" t="s">
        <v>4483</v>
      </c>
      <c r="C391" s="15" t="s">
        <v>4262</v>
      </c>
      <c r="D391" s="15" t="s">
        <v>4263</v>
      </c>
      <c r="E391" s="15" t="s">
        <v>4484</v>
      </c>
    </row>
    <row r="392" spans="1:5" ht="25.5" x14ac:dyDescent="0.2">
      <c r="A392" s="14" t="s">
        <v>4485</v>
      </c>
      <c r="B392" s="15" t="s">
        <v>4486</v>
      </c>
      <c r="C392" s="15" t="s">
        <v>4262</v>
      </c>
      <c r="D392" s="15" t="s">
        <v>4263</v>
      </c>
      <c r="E392" s="15" t="s">
        <v>4487</v>
      </c>
    </row>
    <row r="393" spans="1:5" ht="25.5" x14ac:dyDescent="0.2">
      <c r="A393" s="14" t="s">
        <v>4488</v>
      </c>
      <c r="B393" s="15" t="s">
        <v>4489</v>
      </c>
      <c r="C393" s="15" t="s">
        <v>4262</v>
      </c>
      <c r="D393" s="15" t="s">
        <v>4263</v>
      </c>
      <c r="E393" s="15" t="s">
        <v>4490</v>
      </c>
    </row>
    <row r="394" spans="1:5" ht="25.5" x14ac:dyDescent="0.2">
      <c r="A394" s="14" t="s">
        <v>4491</v>
      </c>
      <c r="B394" s="15" t="s">
        <v>4492</v>
      </c>
      <c r="C394" s="15" t="s">
        <v>4262</v>
      </c>
      <c r="D394" s="15" t="s">
        <v>4263</v>
      </c>
      <c r="E394" s="15" t="s">
        <v>4493</v>
      </c>
    </row>
    <row r="395" spans="1:5" ht="25.5" x14ac:dyDescent="0.2">
      <c r="A395" s="14" t="s">
        <v>4494</v>
      </c>
      <c r="B395" s="15" t="s">
        <v>4495</v>
      </c>
      <c r="C395" s="15" t="s">
        <v>4262</v>
      </c>
      <c r="D395" s="15" t="s">
        <v>4263</v>
      </c>
      <c r="E395" s="15" t="s">
        <v>4496</v>
      </c>
    </row>
    <row r="396" spans="1:5" ht="25.5" x14ac:dyDescent="0.2">
      <c r="A396" s="14" t="s">
        <v>4497</v>
      </c>
      <c r="B396" s="15" t="s">
        <v>1143</v>
      </c>
      <c r="C396" s="15" t="s">
        <v>4262</v>
      </c>
      <c r="D396" s="15" t="s">
        <v>4263</v>
      </c>
      <c r="E396" s="15" t="s">
        <v>4498</v>
      </c>
    </row>
    <row r="397" spans="1:5" ht="25.5" x14ac:dyDescent="0.2">
      <c r="A397" s="14" t="s">
        <v>4499</v>
      </c>
      <c r="B397" s="15" t="s">
        <v>4500</v>
      </c>
      <c r="C397" s="15" t="s">
        <v>4262</v>
      </c>
      <c r="D397" s="15" t="s">
        <v>4263</v>
      </c>
      <c r="E397" s="15" t="s">
        <v>4501</v>
      </c>
    </row>
    <row r="398" spans="1:5" ht="25.5" x14ac:dyDescent="0.2">
      <c r="A398" s="14" t="s">
        <v>4502</v>
      </c>
      <c r="B398" s="15" t="s">
        <v>4503</v>
      </c>
      <c r="C398" s="15" t="s">
        <v>4262</v>
      </c>
      <c r="D398" s="15" t="s">
        <v>4263</v>
      </c>
      <c r="E398" s="15" t="s">
        <v>4504</v>
      </c>
    </row>
    <row r="399" spans="1:5" ht="25.5" x14ac:dyDescent="0.2">
      <c r="A399" s="14" t="s">
        <v>4505</v>
      </c>
      <c r="B399" s="15" t="s">
        <v>4506</v>
      </c>
      <c r="C399" s="15" t="s">
        <v>4262</v>
      </c>
      <c r="D399" s="15" t="s">
        <v>4263</v>
      </c>
      <c r="E399" s="15" t="s">
        <v>4507</v>
      </c>
    </row>
    <row r="400" spans="1:5" ht="25.5" x14ac:dyDescent="0.2">
      <c r="A400" s="14" t="s">
        <v>4508</v>
      </c>
      <c r="B400" s="15" t="s">
        <v>4509</v>
      </c>
      <c r="C400" s="15" t="s">
        <v>4262</v>
      </c>
      <c r="D400" s="15" t="s">
        <v>4263</v>
      </c>
      <c r="E400" s="15" t="s">
        <v>4510</v>
      </c>
    </row>
    <row r="401" spans="1:5" ht="25.5" x14ac:dyDescent="0.2">
      <c r="A401" s="14" t="s">
        <v>4511</v>
      </c>
      <c r="B401" s="15" t="s">
        <v>4512</v>
      </c>
      <c r="C401" s="15" t="s">
        <v>4262</v>
      </c>
      <c r="D401" s="15" t="s">
        <v>4263</v>
      </c>
      <c r="E401" s="15" t="s">
        <v>4513</v>
      </c>
    </row>
    <row r="402" spans="1:5" ht="25.5" x14ac:dyDescent="0.2">
      <c r="A402" s="14" t="s">
        <v>4514</v>
      </c>
      <c r="B402" s="15" t="s">
        <v>4515</v>
      </c>
      <c r="C402" s="15" t="s">
        <v>4262</v>
      </c>
      <c r="D402" s="15" t="s">
        <v>4263</v>
      </c>
      <c r="E402" s="15" t="s">
        <v>4516</v>
      </c>
    </row>
    <row r="403" spans="1:5" ht="25.5" x14ac:dyDescent="0.2">
      <c r="A403" s="14" t="s">
        <v>4517</v>
      </c>
      <c r="B403" s="15" t="s">
        <v>4518</v>
      </c>
      <c r="C403" s="15" t="s">
        <v>4262</v>
      </c>
      <c r="D403" s="15" t="s">
        <v>4263</v>
      </c>
      <c r="E403" s="15" t="s">
        <v>4519</v>
      </c>
    </row>
    <row r="404" spans="1:5" ht="25.5" x14ac:dyDescent="0.2">
      <c r="A404" s="14" t="s">
        <v>4520</v>
      </c>
      <c r="B404" s="15" t="s">
        <v>4521</v>
      </c>
      <c r="C404" s="15" t="s">
        <v>4262</v>
      </c>
      <c r="D404" s="15" t="s">
        <v>4263</v>
      </c>
      <c r="E404" s="15" t="s">
        <v>4522</v>
      </c>
    </row>
    <row r="405" spans="1:5" ht="25.5" x14ac:dyDescent="0.2">
      <c r="A405" s="14" t="s">
        <v>4523</v>
      </c>
      <c r="B405" s="15" t="s">
        <v>4524</v>
      </c>
      <c r="C405" s="15" t="s">
        <v>4262</v>
      </c>
      <c r="D405" s="15" t="s">
        <v>4263</v>
      </c>
      <c r="E405" s="15" t="s">
        <v>4525</v>
      </c>
    </row>
    <row r="406" spans="1:5" ht="25.5" x14ac:dyDescent="0.2">
      <c r="A406" s="14" t="s">
        <v>4526</v>
      </c>
      <c r="B406" s="15" t="s">
        <v>4527</v>
      </c>
      <c r="C406" s="15" t="s">
        <v>4262</v>
      </c>
      <c r="D406" s="15" t="s">
        <v>4263</v>
      </c>
      <c r="E406" s="15" t="s">
        <v>4528</v>
      </c>
    </row>
    <row r="407" spans="1:5" ht="25.5" x14ac:dyDescent="0.2">
      <c r="A407" s="14" t="s">
        <v>4529</v>
      </c>
      <c r="B407" s="15" t="s">
        <v>4530</v>
      </c>
      <c r="C407" s="15" t="s">
        <v>4262</v>
      </c>
      <c r="D407" s="15" t="s">
        <v>4263</v>
      </c>
      <c r="E407" s="15" t="s">
        <v>4531</v>
      </c>
    </row>
    <row r="408" spans="1:5" ht="25.5" x14ac:dyDescent="0.2">
      <c r="A408" s="14" t="s">
        <v>4532</v>
      </c>
      <c r="B408" s="15" t="s">
        <v>4533</v>
      </c>
      <c r="C408" s="15" t="s">
        <v>4262</v>
      </c>
      <c r="D408" s="15" t="s">
        <v>4263</v>
      </c>
      <c r="E408" s="15" t="s">
        <v>4534</v>
      </c>
    </row>
    <row r="409" spans="1:5" ht="25.5" x14ac:dyDescent="0.2">
      <c r="A409" s="14" t="s">
        <v>4535</v>
      </c>
      <c r="B409" s="15" t="s">
        <v>4536</v>
      </c>
      <c r="C409" s="15" t="s">
        <v>4262</v>
      </c>
      <c r="D409" s="15" t="s">
        <v>4263</v>
      </c>
      <c r="E409" s="15" t="s">
        <v>4537</v>
      </c>
    </row>
    <row r="410" spans="1:5" ht="25.5" x14ac:dyDescent="0.2">
      <c r="A410" s="14" t="s">
        <v>4538</v>
      </c>
      <c r="B410" s="15" t="s">
        <v>732</v>
      </c>
      <c r="C410" s="15" t="s">
        <v>4262</v>
      </c>
      <c r="D410" s="15" t="s">
        <v>4263</v>
      </c>
      <c r="E410" s="15" t="s">
        <v>4539</v>
      </c>
    </row>
    <row r="411" spans="1:5" ht="25.5" x14ac:dyDescent="0.2">
      <c r="A411" s="14" t="s">
        <v>4540</v>
      </c>
      <c r="B411" s="15" t="s">
        <v>4541</v>
      </c>
      <c r="C411" s="15" t="s">
        <v>4262</v>
      </c>
      <c r="D411" s="15" t="s">
        <v>4263</v>
      </c>
      <c r="E411" s="15" t="s">
        <v>4542</v>
      </c>
    </row>
    <row r="412" spans="1:5" ht="25.5" x14ac:dyDescent="0.2">
      <c r="A412" s="14" t="s">
        <v>4543</v>
      </c>
      <c r="B412" s="15" t="s">
        <v>4544</v>
      </c>
      <c r="C412" s="15" t="s">
        <v>4262</v>
      </c>
      <c r="D412" s="15" t="s">
        <v>4263</v>
      </c>
      <c r="E412" s="15" t="s">
        <v>4545</v>
      </c>
    </row>
    <row r="413" spans="1:5" ht="25.5" x14ac:dyDescent="0.2">
      <c r="A413" s="14" t="s">
        <v>4546</v>
      </c>
      <c r="B413" s="15" t="s">
        <v>4547</v>
      </c>
      <c r="C413" s="15" t="s">
        <v>4262</v>
      </c>
      <c r="D413" s="15" t="s">
        <v>4263</v>
      </c>
      <c r="E413" s="15" t="s">
        <v>4548</v>
      </c>
    </row>
    <row r="414" spans="1:5" ht="25.5" x14ac:dyDescent="0.2">
      <c r="A414" s="14" t="s">
        <v>4549</v>
      </c>
      <c r="B414" s="15" t="s">
        <v>733</v>
      </c>
      <c r="C414" s="15" t="s">
        <v>4262</v>
      </c>
      <c r="D414" s="15" t="s">
        <v>4263</v>
      </c>
      <c r="E414" s="15" t="s">
        <v>4550</v>
      </c>
    </row>
    <row r="415" spans="1:5" ht="25.5" x14ac:dyDescent="0.2">
      <c r="A415" s="14" t="s">
        <v>4551</v>
      </c>
      <c r="B415" s="15" t="s">
        <v>1142</v>
      </c>
      <c r="C415" s="15" t="s">
        <v>4262</v>
      </c>
      <c r="D415" s="15" t="s">
        <v>4263</v>
      </c>
      <c r="E415" s="15" t="s">
        <v>4552</v>
      </c>
    </row>
    <row r="416" spans="1:5" ht="25.5" x14ac:dyDescent="0.2">
      <c r="A416" s="14" t="s">
        <v>4553</v>
      </c>
      <c r="B416" s="15" t="s">
        <v>1337</v>
      </c>
      <c r="C416" s="15" t="s">
        <v>4262</v>
      </c>
      <c r="D416" s="15" t="s">
        <v>4263</v>
      </c>
      <c r="E416" s="15" t="s">
        <v>4554</v>
      </c>
    </row>
    <row r="417" spans="1:5" ht="25.5" x14ac:dyDescent="0.2">
      <c r="A417" s="14" t="s">
        <v>4555</v>
      </c>
      <c r="B417" s="15" t="s">
        <v>1035</v>
      </c>
      <c r="C417" s="15" t="s">
        <v>4262</v>
      </c>
      <c r="D417" s="15" t="s">
        <v>4263</v>
      </c>
      <c r="E417" s="15" t="s">
        <v>4556</v>
      </c>
    </row>
    <row r="418" spans="1:5" ht="25.5" x14ac:dyDescent="0.2">
      <c r="A418" s="14" t="s">
        <v>4557</v>
      </c>
      <c r="B418" s="15" t="s">
        <v>1494</v>
      </c>
      <c r="C418" s="15" t="s">
        <v>4262</v>
      </c>
      <c r="D418" s="15" t="s">
        <v>4263</v>
      </c>
      <c r="E418" s="15" t="s">
        <v>4558</v>
      </c>
    </row>
    <row r="419" spans="1:5" ht="25.5" x14ac:dyDescent="0.2">
      <c r="A419" s="14" t="s">
        <v>4559</v>
      </c>
      <c r="B419" s="15" t="s">
        <v>1493</v>
      </c>
      <c r="C419" s="15" t="s">
        <v>4262</v>
      </c>
      <c r="D419" s="15" t="s">
        <v>4263</v>
      </c>
      <c r="E419" s="15" t="s">
        <v>4560</v>
      </c>
    </row>
    <row r="420" spans="1:5" ht="25.5" x14ac:dyDescent="0.2">
      <c r="A420" s="14" t="s">
        <v>4561</v>
      </c>
      <c r="B420" s="15" t="s">
        <v>1336</v>
      </c>
      <c r="C420" s="15" t="s">
        <v>4262</v>
      </c>
      <c r="D420" s="15" t="s">
        <v>4263</v>
      </c>
      <c r="E420" s="15" t="s">
        <v>4562</v>
      </c>
    </row>
    <row r="421" spans="1:5" ht="25.5" x14ac:dyDescent="0.2">
      <c r="A421" s="14" t="s">
        <v>4563</v>
      </c>
      <c r="B421" s="15" t="s">
        <v>4564</v>
      </c>
      <c r="C421" s="15" t="s">
        <v>4262</v>
      </c>
      <c r="D421" s="15" t="s">
        <v>4263</v>
      </c>
      <c r="E421" s="15" t="s">
        <v>4565</v>
      </c>
    </row>
    <row r="422" spans="1:5" ht="25.5" x14ac:dyDescent="0.2">
      <c r="A422" s="14" t="s">
        <v>4566</v>
      </c>
      <c r="B422" s="15" t="s">
        <v>4567</v>
      </c>
      <c r="C422" s="15" t="s">
        <v>4262</v>
      </c>
      <c r="D422" s="15" t="s">
        <v>4263</v>
      </c>
      <c r="E422" s="15" t="s">
        <v>4568</v>
      </c>
    </row>
    <row r="423" spans="1:5" ht="25.5" x14ac:dyDescent="0.2">
      <c r="A423" s="14" t="s">
        <v>4569</v>
      </c>
      <c r="B423" s="15" t="s">
        <v>4570</v>
      </c>
      <c r="C423" s="15" t="s">
        <v>4262</v>
      </c>
      <c r="D423" s="15" t="s">
        <v>4263</v>
      </c>
      <c r="E423" s="15" t="s">
        <v>4571</v>
      </c>
    </row>
    <row r="424" spans="1:5" ht="25.5" x14ac:dyDescent="0.2">
      <c r="A424" s="14" t="s">
        <v>4572</v>
      </c>
      <c r="B424" s="15" t="s">
        <v>4573</v>
      </c>
      <c r="C424" s="15" t="s">
        <v>4262</v>
      </c>
      <c r="D424" s="15" t="s">
        <v>4263</v>
      </c>
      <c r="E424" s="15" t="s">
        <v>4574</v>
      </c>
    </row>
    <row r="425" spans="1:5" ht="25.5" x14ac:dyDescent="0.2">
      <c r="A425" s="14" t="s">
        <v>4575</v>
      </c>
      <c r="B425" s="15" t="s">
        <v>4576</v>
      </c>
      <c r="C425" s="15" t="s">
        <v>4262</v>
      </c>
      <c r="D425" s="15" t="s">
        <v>4263</v>
      </c>
      <c r="E425" s="15" t="s">
        <v>4577</v>
      </c>
    </row>
    <row r="426" spans="1:5" ht="25.5" x14ac:dyDescent="0.2">
      <c r="A426" s="14" t="s">
        <v>4578</v>
      </c>
      <c r="B426" s="15" t="s">
        <v>4579</v>
      </c>
      <c r="C426" s="15" t="s">
        <v>4262</v>
      </c>
      <c r="D426" s="15" t="s">
        <v>4263</v>
      </c>
      <c r="E426" s="15" t="s">
        <v>4580</v>
      </c>
    </row>
    <row r="427" spans="1:5" ht="25.5" x14ac:dyDescent="0.2">
      <c r="A427" s="14" t="s">
        <v>4581</v>
      </c>
      <c r="B427" s="15" t="s">
        <v>4582</v>
      </c>
      <c r="C427" s="15" t="s">
        <v>4262</v>
      </c>
      <c r="D427" s="15" t="s">
        <v>4263</v>
      </c>
      <c r="E427" s="15" t="s">
        <v>4583</v>
      </c>
    </row>
    <row r="428" spans="1:5" ht="25.5" x14ac:dyDescent="0.2">
      <c r="A428" s="14" t="s">
        <v>4584</v>
      </c>
      <c r="B428" s="15" t="s">
        <v>4585</v>
      </c>
      <c r="C428" s="15" t="s">
        <v>4262</v>
      </c>
      <c r="D428" s="15" t="s">
        <v>4263</v>
      </c>
      <c r="E428" s="15" t="s">
        <v>4586</v>
      </c>
    </row>
    <row r="429" spans="1:5" ht="25.5" x14ac:dyDescent="0.2">
      <c r="A429" s="14" t="s">
        <v>4587</v>
      </c>
      <c r="B429" s="15" t="s">
        <v>4588</v>
      </c>
      <c r="C429" s="15" t="s">
        <v>4262</v>
      </c>
      <c r="D429" s="15" t="s">
        <v>4263</v>
      </c>
      <c r="E429" s="15" t="s">
        <v>4589</v>
      </c>
    </row>
    <row r="430" spans="1:5" ht="25.5" x14ac:dyDescent="0.2">
      <c r="A430" s="14" t="s">
        <v>4590</v>
      </c>
      <c r="B430" s="15" t="s">
        <v>4591</v>
      </c>
      <c r="C430" s="15" t="s">
        <v>4262</v>
      </c>
      <c r="D430" s="15" t="s">
        <v>4263</v>
      </c>
      <c r="E430" s="15" t="s">
        <v>4592</v>
      </c>
    </row>
    <row r="431" spans="1:5" ht="25.5" x14ac:dyDescent="0.2">
      <c r="A431" s="14" t="s">
        <v>4593</v>
      </c>
      <c r="B431" s="15" t="s">
        <v>4594</v>
      </c>
      <c r="C431" s="15" t="s">
        <v>4262</v>
      </c>
      <c r="D431" s="15" t="s">
        <v>4263</v>
      </c>
      <c r="E431" s="15" t="s">
        <v>4595</v>
      </c>
    </row>
    <row r="432" spans="1:5" ht="25.5" x14ac:dyDescent="0.2">
      <c r="A432" s="14" t="s">
        <v>4596</v>
      </c>
      <c r="B432" s="15" t="s">
        <v>4597</v>
      </c>
      <c r="C432" s="15" t="s">
        <v>4262</v>
      </c>
      <c r="D432" s="15" t="s">
        <v>4263</v>
      </c>
      <c r="E432" s="15" t="s">
        <v>4598</v>
      </c>
    </row>
    <row r="433" spans="1:5" ht="25.5" x14ac:dyDescent="0.2">
      <c r="A433" s="14" t="s">
        <v>4599</v>
      </c>
      <c r="B433" s="15" t="s">
        <v>4600</v>
      </c>
      <c r="C433" s="15" t="s">
        <v>4262</v>
      </c>
      <c r="D433" s="15" t="s">
        <v>4263</v>
      </c>
      <c r="E433" s="15" t="s">
        <v>4601</v>
      </c>
    </row>
    <row r="434" spans="1:5" ht="25.5" x14ac:dyDescent="0.2">
      <c r="A434" s="14" t="s">
        <v>4602</v>
      </c>
      <c r="B434" s="15" t="s">
        <v>4603</v>
      </c>
      <c r="C434" s="15" t="s">
        <v>4262</v>
      </c>
      <c r="D434" s="15" t="s">
        <v>4263</v>
      </c>
      <c r="E434" s="15" t="s">
        <v>4604</v>
      </c>
    </row>
    <row r="435" spans="1:5" ht="25.5" x14ac:dyDescent="0.2">
      <c r="A435" s="14" t="s">
        <v>4605</v>
      </c>
      <c r="B435" s="15" t="s">
        <v>4606</v>
      </c>
      <c r="C435" s="15" t="s">
        <v>4262</v>
      </c>
      <c r="D435" s="15" t="s">
        <v>4263</v>
      </c>
      <c r="E435" s="15" t="s">
        <v>4607</v>
      </c>
    </row>
    <row r="436" spans="1:5" ht="25.5" x14ac:dyDescent="0.2">
      <c r="A436" s="14" t="s">
        <v>4608</v>
      </c>
      <c r="B436" s="15" t="s">
        <v>4609</v>
      </c>
      <c r="C436" s="15" t="s">
        <v>4262</v>
      </c>
      <c r="D436" s="15" t="s">
        <v>4263</v>
      </c>
      <c r="E436" s="15" t="s">
        <v>4610</v>
      </c>
    </row>
    <row r="437" spans="1:5" ht="25.5" x14ac:dyDescent="0.2">
      <c r="A437" s="14" t="s">
        <v>4611</v>
      </c>
      <c r="B437" s="15" t="s">
        <v>4612</v>
      </c>
      <c r="C437" s="15" t="s">
        <v>4262</v>
      </c>
      <c r="D437" s="15" t="s">
        <v>4263</v>
      </c>
      <c r="E437" s="15" t="s">
        <v>4613</v>
      </c>
    </row>
    <row r="438" spans="1:5" ht="25.5" x14ac:dyDescent="0.2">
      <c r="A438" s="14" t="s">
        <v>4614</v>
      </c>
      <c r="B438" s="15" t="s">
        <v>4615</v>
      </c>
      <c r="C438" s="15" t="s">
        <v>4262</v>
      </c>
      <c r="D438" s="15" t="s">
        <v>4263</v>
      </c>
      <c r="E438" s="15" t="s">
        <v>4616</v>
      </c>
    </row>
    <row r="439" spans="1:5" ht="25.5" x14ac:dyDescent="0.2">
      <c r="A439" s="14" t="s">
        <v>4617</v>
      </c>
      <c r="B439" s="15" t="s">
        <v>4618</v>
      </c>
      <c r="C439" s="15" t="s">
        <v>4262</v>
      </c>
      <c r="D439" s="15" t="s">
        <v>4263</v>
      </c>
      <c r="E439" s="15" t="s">
        <v>4619</v>
      </c>
    </row>
    <row r="440" spans="1:5" ht="25.5" x14ac:dyDescent="0.2">
      <c r="A440" s="14" t="s">
        <v>4620</v>
      </c>
      <c r="B440" s="15" t="s">
        <v>4621</v>
      </c>
      <c r="C440" s="15" t="s">
        <v>4262</v>
      </c>
      <c r="D440" s="15" t="s">
        <v>4263</v>
      </c>
      <c r="E440" s="15" t="s">
        <v>4622</v>
      </c>
    </row>
    <row r="441" spans="1:5" ht="25.5" x14ac:dyDescent="0.2">
      <c r="A441" s="14" t="s">
        <v>4623</v>
      </c>
      <c r="B441" s="15" t="s">
        <v>4624</v>
      </c>
      <c r="C441" s="15" t="s">
        <v>4262</v>
      </c>
      <c r="D441" s="15" t="s">
        <v>4263</v>
      </c>
      <c r="E441" s="15" t="s">
        <v>4625</v>
      </c>
    </row>
    <row r="442" spans="1:5" ht="25.5" x14ac:dyDescent="0.2">
      <c r="A442" s="14" t="s">
        <v>4626</v>
      </c>
      <c r="B442" s="15" t="s">
        <v>4627</v>
      </c>
      <c r="C442" s="15" t="s">
        <v>4262</v>
      </c>
      <c r="D442" s="15" t="s">
        <v>4263</v>
      </c>
      <c r="E442" s="15" t="s">
        <v>4628</v>
      </c>
    </row>
    <row r="443" spans="1:5" ht="25.5" x14ac:dyDescent="0.2">
      <c r="A443" s="14" t="s">
        <v>4629</v>
      </c>
      <c r="B443" s="15" t="s">
        <v>4630</v>
      </c>
      <c r="C443" s="15" t="s">
        <v>4262</v>
      </c>
      <c r="D443" s="15" t="s">
        <v>4263</v>
      </c>
      <c r="E443" s="15" t="s">
        <v>4631</v>
      </c>
    </row>
    <row r="444" spans="1:5" ht="25.5" x14ac:dyDescent="0.2">
      <c r="A444" s="14" t="s">
        <v>4632</v>
      </c>
      <c r="B444" s="15" t="s">
        <v>4633</v>
      </c>
      <c r="C444" s="15" t="s">
        <v>4262</v>
      </c>
      <c r="D444" s="15" t="s">
        <v>4263</v>
      </c>
      <c r="E444" s="15" t="s">
        <v>4634</v>
      </c>
    </row>
    <row r="445" spans="1:5" ht="25.5" x14ac:dyDescent="0.2">
      <c r="A445" s="14" t="s">
        <v>4635</v>
      </c>
      <c r="B445" s="15" t="s">
        <v>4636</v>
      </c>
      <c r="C445" s="15" t="s">
        <v>4262</v>
      </c>
      <c r="D445" s="15" t="s">
        <v>4263</v>
      </c>
      <c r="E445" s="15" t="s">
        <v>4637</v>
      </c>
    </row>
    <row r="446" spans="1:5" ht="25.5" x14ac:dyDescent="0.2">
      <c r="A446" s="14" t="s">
        <v>4638</v>
      </c>
      <c r="B446" s="15" t="s">
        <v>4639</v>
      </c>
      <c r="C446" s="15" t="s">
        <v>4640</v>
      </c>
      <c r="D446" s="15" t="s">
        <v>4641</v>
      </c>
      <c r="E446" s="15" t="s">
        <v>4642</v>
      </c>
    </row>
    <row r="447" spans="1:5" ht="25.5" x14ac:dyDescent="0.2">
      <c r="A447" s="14" t="s">
        <v>4643</v>
      </c>
      <c r="B447" s="15" t="s">
        <v>4644</v>
      </c>
      <c r="C447" s="15" t="s">
        <v>4640</v>
      </c>
      <c r="D447" s="15" t="s">
        <v>4641</v>
      </c>
      <c r="E447" s="15" t="s">
        <v>4645</v>
      </c>
    </row>
    <row r="448" spans="1:5" ht="25.5" x14ac:dyDescent="0.2">
      <c r="A448" s="14" t="s">
        <v>4646</v>
      </c>
      <c r="B448" s="15" t="s">
        <v>543</v>
      </c>
      <c r="C448" s="15" t="s">
        <v>4640</v>
      </c>
      <c r="D448" s="15" t="s">
        <v>4641</v>
      </c>
      <c r="E448" s="15" t="s">
        <v>4647</v>
      </c>
    </row>
    <row r="449" spans="1:5" ht="25.5" x14ac:dyDescent="0.2">
      <c r="A449" s="14" t="s">
        <v>4648</v>
      </c>
      <c r="B449" s="15" t="s">
        <v>4649</v>
      </c>
      <c r="C449" s="15" t="s">
        <v>4640</v>
      </c>
      <c r="D449" s="15" t="s">
        <v>4641</v>
      </c>
      <c r="E449" s="15" t="s">
        <v>4650</v>
      </c>
    </row>
    <row r="450" spans="1:5" ht="25.5" x14ac:dyDescent="0.2">
      <c r="A450" s="14" t="s">
        <v>4651</v>
      </c>
      <c r="B450" s="15" t="s">
        <v>145</v>
      </c>
      <c r="C450" s="15" t="s">
        <v>4640</v>
      </c>
      <c r="D450" s="15" t="s">
        <v>4641</v>
      </c>
      <c r="E450" s="15" t="s">
        <v>4652</v>
      </c>
    </row>
    <row r="451" spans="1:5" ht="25.5" x14ac:dyDescent="0.2">
      <c r="A451" s="14" t="s">
        <v>4653</v>
      </c>
      <c r="B451" s="15" t="s">
        <v>145</v>
      </c>
      <c r="C451" s="15" t="s">
        <v>4654</v>
      </c>
      <c r="D451" s="15" t="s">
        <v>4655</v>
      </c>
      <c r="E451" s="15" t="s">
        <v>4656</v>
      </c>
    </row>
    <row r="452" spans="1:5" ht="25.5" x14ac:dyDescent="0.2">
      <c r="A452" s="14" t="s">
        <v>4657</v>
      </c>
      <c r="B452" s="15" t="s">
        <v>4658</v>
      </c>
      <c r="C452" s="15" t="s">
        <v>4640</v>
      </c>
      <c r="D452" s="15" t="s">
        <v>4641</v>
      </c>
      <c r="E452" s="15" t="s">
        <v>4659</v>
      </c>
    </row>
    <row r="453" spans="1:5" ht="25.5" x14ac:dyDescent="0.2">
      <c r="A453" s="14" t="s">
        <v>4660</v>
      </c>
      <c r="B453" s="15" t="s">
        <v>4661</v>
      </c>
      <c r="C453" s="15" t="s">
        <v>4640</v>
      </c>
      <c r="D453" s="15" t="s">
        <v>4641</v>
      </c>
      <c r="E453" s="15" t="s">
        <v>4662</v>
      </c>
    </row>
    <row r="454" spans="1:5" ht="25.5" x14ac:dyDescent="0.2">
      <c r="A454" s="14" t="s">
        <v>4663</v>
      </c>
      <c r="B454" s="15" t="s">
        <v>4664</v>
      </c>
      <c r="C454" s="15" t="s">
        <v>4640</v>
      </c>
      <c r="D454" s="15" t="s">
        <v>4641</v>
      </c>
      <c r="E454" s="15" t="s">
        <v>4665</v>
      </c>
    </row>
    <row r="455" spans="1:5" ht="25.5" x14ac:dyDescent="0.2">
      <c r="A455" s="14" t="s">
        <v>4666</v>
      </c>
      <c r="B455" s="15" t="s">
        <v>4667</v>
      </c>
      <c r="C455" s="15" t="s">
        <v>4668</v>
      </c>
      <c r="D455" s="15" t="s">
        <v>4669</v>
      </c>
      <c r="E455" s="15" t="s">
        <v>4670</v>
      </c>
    </row>
    <row r="456" spans="1:5" ht="25.5" x14ac:dyDescent="0.2">
      <c r="A456" s="14" t="s">
        <v>4671</v>
      </c>
      <c r="B456" s="15" t="s">
        <v>4672</v>
      </c>
      <c r="C456" s="15" t="s">
        <v>4668</v>
      </c>
      <c r="D456" s="15" t="s">
        <v>4669</v>
      </c>
      <c r="E456" s="15" t="s">
        <v>4673</v>
      </c>
    </row>
    <row r="457" spans="1:5" ht="25.5" x14ac:dyDescent="0.2">
      <c r="A457" s="14" t="s">
        <v>4674</v>
      </c>
      <c r="B457" s="15" t="s">
        <v>1468</v>
      </c>
      <c r="C457" s="15" t="s">
        <v>4640</v>
      </c>
      <c r="D457" s="15" t="s">
        <v>4641</v>
      </c>
      <c r="E457" s="15" t="s">
        <v>4675</v>
      </c>
    </row>
    <row r="458" spans="1:5" ht="25.5" x14ac:dyDescent="0.2">
      <c r="A458" s="14" t="s">
        <v>4676</v>
      </c>
      <c r="B458" s="15" t="s">
        <v>364</v>
      </c>
      <c r="C458" s="15" t="s">
        <v>4640</v>
      </c>
      <c r="D458" s="15" t="s">
        <v>4641</v>
      </c>
      <c r="E458" s="15" t="s">
        <v>4677</v>
      </c>
    </row>
    <row r="459" spans="1:5" ht="25.5" x14ac:dyDescent="0.2">
      <c r="A459" s="14" t="s">
        <v>4678</v>
      </c>
      <c r="B459" s="15" t="s">
        <v>409</v>
      </c>
      <c r="C459" s="15" t="s">
        <v>4668</v>
      </c>
      <c r="D459" s="15" t="s">
        <v>4669</v>
      </c>
      <c r="E459" s="15" t="s">
        <v>4679</v>
      </c>
    </row>
    <row r="460" spans="1:5" ht="25.5" x14ac:dyDescent="0.2">
      <c r="A460" s="14" t="s">
        <v>4680</v>
      </c>
      <c r="B460" s="15" t="s">
        <v>799</v>
      </c>
      <c r="C460" s="15" t="s">
        <v>4640</v>
      </c>
      <c r="D460" s="15" t="s">
        <v>4641</v>
      </c>
      <c r="E460" s="15" t="s">
        <v>4681</v>
      </c>
    </row>
    <row r="461" spans="1:5" ht="25.5" x14ac:dyDescent="0.2">
      <c r="A461" s="14" t="s">
        <v>4682</v>
      </c>
      <c r="B461" s="15" t="s">
        <v>1069</v>
      </c>
      <c r="C461" s="15" t="s">
        <v>4640</v>
      </c>
      <c r="D461" s="15" t="s">
        <v>4641</v>
      </c>
      <c r="E461" s="15" t="s">
        <v>4683</v>
      </c>
    </row>
    <row r="462" spans="1:5" ht="25.5" x14ac:dyDescent="0.2">
      <c r="A462" s="14" t="s">
        <v>4684</v>
      </c>
      <c r="B462" s="15" t="s">
        <v>4685</v>
      </c>
      <c r="C462" s="15" t="s">
        <v>4668</v>
      </c>
      <c r="D462" s="15" t="s">
        <v>4669</v>
      </c>
      <c r="E462" s="15" t="s">
        <v>4686</v>
      </c>
    </row>
    <row r="463" spans="1:5" ht="25.5" x14ac:dyDescent="0.2">
      <c r="A463" s="14" t="s">
        <v>4687</v>
      </c>
      <c r="B463" s="15" t="s">
        <v>4688</v>
      </c>
      <c r="C463" s="15" t="s">
        <v>4640</v>
      </c>
      <c r="D463" s="15" t="s">
        <v>4641</v>
      </c>
      <c r="E463" s="15" t="s">
        <v>4689</v>
      </c>
    </row>
    <row r="464" spans="1:5" ht="25.5" x14ac:dyDescent="0.2">
      <c r="A464" s="14" t="s">
        <v>4690</v>
      </c>
      <c r="B464" s="15" t="s">
        <v>4691</v>
      </c>
      <c r="C464" s="15" t="s">
        <v>4640</v>
      </c>
      <c r="D464" s="15" t="s">
        <v>4641</v>
      </c>
      <c r="E464" s="15" t="s">
        <v>4692</v>
      </c>
    </row>
    <row r="465" spans="1:5" ht="25.5" x14ac:dyDescent="0.2">
      <c r="A465" s="14" t="s">
        <v>4693</v>
      </c>
      <c r="B465" s="15" t="s">
        <v>4694</v>
      </c>
      <c r="C465" s="15" t="s">
        <v>4640</v>
      </c>
      <c r="D465" s="15" t="s">
        <v>4641</v>
      </c>
      <c r="E465" s="15" t="s">
        <v>4695</v>
      </c>
    </row>
    <row r="466" spans="1:5" ht="25.5" x14ac:dyDescent="0.2">
      <c r="A466" s="14" t="s">
        <v>4696</v>
      </c>
      <c r="B466" s="15" t="s">
        <v>1600</v>
      </c>
      <c r="C466" s="15" t="s">
        <v>4640</v>
      </c>
      <c r="D466" s="15" t="s">
        <v>4641</v>
      </c>
      <c r="E466" s="15" t="s">
        <v>4697</v>
      </c>
    </row>
    <row r="467" spans="1:5" ht="25.5" x14ac:dyDescent="0.2">
      <c r="A467" s="14" t="s">
        <v>4698</v>
      </c>
      <c r="B467" s="15" t="s">
        <v>1386</v>
      </c>
      <c r="C467" s="15" t="s">
        <v>4640</v>
      </c>
      <c r="D467" s="15" t="s">
        <v>4641</v>
      </c>
      <c r="E467" s="15" t="s">
        <v>4699</v>
      </c>
    </row>
    <row r="468" spans="1:5" ht="25.5" x14ac:dyDescent="0.2">
      <c r="A468" s="14" t="s">
        <v>4700</v>
      </c>
      <c r="B468" s="15" t="s">
        <v>4701</v>
      </c>
      <c r="C468" s="15" t="s">
        <v>4640</v>
      </c>
      <c r="D468" s="15" t="s">
        <v>4641</v>
      </c>
      <c r="E468" s="15" t="s">
        <v>4702</v>
      </c>
    </row>
    <row r="469" spans="1:5" ht="25.5" x14ac:dyDescent="0.2">
      <c r="A469" s="14" t="s">
        <v>4703</v>
      </c>
      <c r="B469" s="15" t="s">
        <v>1014</v>
      </c>
      <c r="C469" s="15" t="s">
        <v>4704</v>
      </c>
      <c r="D469" s="15" t="s">
        <v>4705</v>
      </c>
      <c r="E469" s="15" t="s">
        <v>4706</v>
      </c>
    </row>
    <row r="470" spans="1:5" ht="25.5" x14ac:dyDescent="0.2">
      <c r="A470" s="14" t="s">
        <v>4707</v>
      </c>
      <c r="B470" s="15" t="s">
        <v>1561</v>
      </c>
      <c r="C470" s="15" t="s">
        <v>4640</v>
      </c>
      <c r="D470" s="15" t="s">
        <v>4641</v>
      </c>
      <c r="E470" s="15" t="s">
        <v>4708</v>
      </c>
    </row>
    <row r="471" spans="1:5" ht="25.5" x14ac:dyDescent="0.2">
      <c r="A471" s="14" t="s">
        <v>4709</v>
      </c>
      <c r="B471" s="15" t="s">
        <v>4710</v>
      </c>
      <c r="C471" s="15" t="s">
        <v>4654</v>
      </c>
      <c r="D471" s="15" t="s">
        <v>4655</v>
      </c>
      <c r="E471" s="15" t="s">
        <v>4711</v>
      </c>
    </row>
    <row r="472" spans="1:5" ht="25.5" x14ac:dyDescent="0.2">
      <c r="A472" s="14" t="s">
        <v>4712</v>
      </c>
      <c r="B472" s="15" t="s">
        <v>4713</v>
      </c>
      <c r="C472" s="15" t="s">
        <v>4640</v>
      </c>
      <c r="D472" s="15" t="s">
        <v>4641</v>
      </c>
      <c r="E472" s="15" t="s">
        <v>4714</v>
      </c>
    </row>
    <row r="473" spans="1:5" ht="25.5" x14ac:dyDescent="0.2">
      <c r="A473" s="14" t="s">
        <v>4715</v>
      </c>
      <c r="B473" s="15" t="s">
        <v>320</v>
      </c>
      <c r="C473" s="15" t="s">
        <v>4640</v>
      </c>
      <c r="D473" s="15" t="s">
        <v>4641</v>
      </c>
      <c r="E473" s="15" t="s">
        <v>4716</v>
      </c>
    </row>
    <row r="474" spans="1:5" ht="25.5" x14ac:dyDescent="0.2">
      <c r="A474" s="14" t="s">
        <v>4717</v>
      </c>
      <c r="B474" s="15" t="s">
        <v>4718</v>
      </c>
      <c r="C474" s="15" t="s">
        <v>4640</v>
      </c>
      <c r="D474" s="15" t="s">
        <v>4641</v>
      </c>
      <c r="E474" s="15" t="s">
        <v>4719</v>
      </c>
    </row>
    <row r="475" spans="1:5" ht="25.5" x14ac:dyDescent="0.2">
      <c r="A475" s="14" t="s">
        <v>4720</v>
      </c>
      <c r="B475" s="15" t="s">
        <v>4721</v>
      </c>
      <c r="C475" s="15" t="s">
        <v>4640</v>
      </c>
      <c r="D475" s="15" t="s">
        <v>4641</v>
      </c>
      <c r="E475" s="15" t="s">
        <v>4722</v>
      </c>
    </row>
    <row r="476" spans="1:5" ht="25.5" x14ac:dyDescent="0.2">
      <c r="A476" s="14" t="s">
        <v>4723</v>
      </c>
      <c r="B476" s="15" t="s">
        <v>4724</v>
      </c>
      <c r="C476" s="15" t="s">
        <v>4640</v>
      </c>
      <c r="D476" s="15" t="s">
        <v>4641</v>
      </c>
      <c r="E476" s="15" t="s">
        <v>4725</v>
      </c>
    </row>
    <row r="477" spans="1:5" ht="25.5" x14ac:dyDescent="0.2">
      <c r="A477" s="14" t="s">
        <v>4726</v>
      </c>
      <c r="B477" s="15" t="s">
        <v>4727</v>
      </c>
      <c r="C477" s="15" t="s">
        <v>4640</v>
      </c>
      <c r="D477" s="15" t="s">
        <v>4641</v>
      </c>
      <c r="E477" s="15" t="s">
        <v>4728</v>
      </c>
    </row>
    <row r="478" spans="1:5" ht="25.5" x14ac:dyDescent="0.2">
      <c r="A478" s="14" t="s">
        <v>4729</v>
      </c>
      <c r="B478" s="15" t="s">
        <v>1034</v>
      </c>
      <c r="C478" s="15" t="s">
        <v>4640</v>
      </c>
      <c r="D478" s="15" t="s">
        <v>4641</v>
      </c>
      <c r="E478" s="15" t="s">
        <v>4730</v>
      </c>
    </row>
    <row r="479" spans="1:5" ht="25.5" x14ac:dyDescent="0.2">
      <c r="A479" s="14" t="s">
        <v>4731</v>
      </c>
      <c r="B479" s="15" t="s">
        <v>4732</v>
      </c>
      <c r="C479" s="15" t="s">
        <v>4640</v>
      </c>
      <c r="D479" s="15" t="s">
        <v>4641</v>
      </c>
      <c r="E479" s="15" t="s">
        <v>4733</v>
      </c>
    </row>
    <row r="480" spans="1:5" ht="25.5" x14ac:dyDescent="0.2">
      <c r="A480" s="14" t="s">
        <v>4734</v>
      </c>
      <c r="B480" s="15" t="s">
        <v>4735</v>
      </c>
      <c r="C480" s="15" t="s">
        <v>4640</v>
      </c>
      <c r="D480" s="15" t="s">
        <v>4641</v>
      </c>
      <c r="E480" s="15" t="s">
        <v>4736</v>
      </c>
    </row>
    <row r="481" spans="1:5" ht="25.5" x14ac:dyDescent="0.2">
      <c r="A481" s="14" t="s">
        <v>4737</v>
      </c>
      <c r="B481" s="15" t="s">
        <v>1092</v>
      </c>
      <c r="C481" s="15" t="s">
        <v>4640</v>
      </c>
      <c r="D481" s="15" t="s">
        <v>4641</v>
      </c>
      <c r="E481" s="15" t="s">
        <v>4738</v>
      </c>
    </row>
    <row r="482" spans="1:5" ht="25.5" x14ac:dyDescent="0.2">
      <c r="A482" s="14" t="s">
        <v>4739</v>
      </c>
      <c r="B482" s="15" t="s">
        <v>3</v>
      </c>
      <c r="C482" s="15" t="s">
        <v>4640</v>
      </c>
      <c r="D482" s="15" t="s">
        <v>4641</v>
      </c>
      <c r="E482" s="15" t="s">
        <v>4740</v>
      </c>
    </row>
    <row r="483" spans="1:5" ht="25.5" x14ac:dyDescent="0.2">
      <c r="A483" s="14" t="s">
        <v>4741</v>
      </c>
      <c r="B483" s="15" t="s">
        <v>4742</v>
      </c>
      <c r="C483" s="15" t="s">
        <v>4640</v>
      </c>
      <c r="D483" s="15" t="s">
        <v>4641</v>
      </c>
      <c r="E483" s="15" t="s">
        <v>4743</v>
      </c>
    </row>
    <row r="484" spans="1:5" ht="25.5" x14ac:dyDescent="0.2">
      <c r="A484" s="14" t="s">
        <v>4744</v>
      </c>
      <c r="B484" s="15" t="s">
        <v>4745</v>
      </c>
      <c r="C484" s="15" t="s">
        <v>4640</v>
      </c>
      <c r="D484" s="15" t="s">
        <v>4641</v>
      </c>
      <c r="E484" s="15" t="s">
        <v>4746</v>
      </c>
    </row>
    <row r="485" spans="1:5" ht="25.5" x14ac:dyDescent="0.2">
      <c r="A485" s="14" t="s">
        <v>4747</v>
      </c>
      <c r="B485" s="15" t="s">
        <v>4748</v>
      </c>
      <c r="C485" s="15" t="s">
        <v>4640</v>
      </c>
      <c r="D485" s="15" t="s">
        <v>4641</v>
      </c>
      <c r="E485" s="15" t="s">
        <v>4749</v>
      </c>
    </row>
    <row r="486" spans="1:5" ht="25.5" x14ac:dyDescent="0.2">
      <c r="A486" s="14" t="s">
        <v>4750</v>
      </c>
      <c r="B486" s="15" t="s">
        <v>4751</v>
      </c>
      <c r="C486" s="15" t="s">
        <v>4640</v>
      </c>
      <c r="D486" s="15" t="s">
        <v>4641</v>
      </c>
      <c r="E486" s="15" t="s">
        <v>4752</v>
      </c>
    </row>
    <row r="487" spans="1:5" ht="25.5" x14ac:dyDescent="0.2">
      <c r="A487" s="14" t="s">
        <v>4753</v>
      </c>
      <c r="B487" s="15" t="s">
        <v>300</v>
      </c>
      <c r="C487" s="15" t="s">
        <v>4640</v>
      </c>
      <c r="D487" s="15" t="s">
        <v>4641</v>
      </c>
      <c r="E487" s="15" t="s">
        <v>4754</v>
      </c>
    </row>
    <row r="488" spans="1:5" ht="25.5" x14ac:dyDescent="0.2">
      <c r="A488" s="14" t="s">
        <v>4755</v>
      </c>
      <c r="B488" s="15" t="s">
        <v>738</v>
      </c>
      <c r="C488" s="15" t="s">
        <v>4179</v>
      </c>
      <c r="D488" s="15" t="s">
        <v>4180</v>
      </c>
      <c r="E488" s="15" t="s">
        <v>4756</v>
      </c>
    </row>
    <row r="489" spans="1:5" ht="25.5" x14ac:dyDescent="0.2">
      <c r="A489" s="14" t="s">
        <v>4757</v>
      </c>
      <c r="B489" s="15" t="s">
        <v>1217</v>
      </c>
      <c r="C489" s="15" t="s">
        <v>3406</v>
      </c>
      <c r="D489" s="15" t="s">
        <v>3407</v>
      </c>
      <c r="E489" s="15" t="s">
        <v>4758</v>
      </c>
    </row>
    <row r="490" spans="1:5" ht="25.5" x14ac:dyDescent="0.2">
      <c r="A490" s="14" t="s">
        <v>4759</v>
      </c>
      <c r="B490" s="15" t="s">
        <v>4760</v>
      </c>
      <c r="C490" s="15" t="s">
        <v>4640</v>
      </c>
      <c r="D490" s="15" t="s">
        <v>4641</v>
      </c>
      <c r="E490" s="15" t="s">
        <v>4761</v>
      </c>
    </row>
    <row r="491" spans="1:5" ht="25.5" x14ac:dyDescent="0.2">
      <c r="A491" s="14" t="s">
        <v>4762</v>
      </c>
      <c r="B491" s="15" t="s">
        <v>4763</v>
      </c>
      <c r="C491" s="15" t="s">
        <v>4764</v>
      </c>
      <c r="D491" s="15" t="s">
        <v>4765</v>
      </c>
      <c r="E491" s="15" t="s">
        <v>4766</v>
      </c>
    </row>
    <row r="492" spans="1:5" ht="25.5" x14ac:dyDescent="0.2">
      <c r="A492" s="14" t="s">
        <v>4767</v>
      </c>
      <c r="B492" s="15" t="s">
        <v>4768</v>
      </c>
      <c r="C492" s="15" t="s">
        <v>4764</v>
      </c>
      <c r="D492" s="15" t="s">
        <v>4765</v>
      </c>
      <c r="E492" s="15" t="s">
        <v>4769</v>
      </c>
    </row>
    <row r="493" spans="1:5" ht="25.5" x14ac:dyDescent="0.2">
      <c r="A493" s="14" t="s">
        <v>4770</v>
      </c>
      <c r="B493" s="15" t="s">
        <v>4771</v>
      </c>
      <c r="C493" s="15" t="s">
        <v>4764</v>
      </c>
      <c r="D493" s="15" t="s">
        <v>4765</v>
      </c>
      <c r="E493" s="15" t="s">
        <v>4772</v>
      </c>
    </row>
    <row r="494" spans="1:5" ht="25.5" x14ac:dyDescent="0.2">
      <c r="A494" s="14" t="s">
        <v>4773</v>
      </c>
      <c r="B494" s="15" t="s">
        <v>4774</v>
      </c>
      <c r="C494" s="15" t="s">
        <v>4764</v>
      </c>
      <c r="D494" s="15" t="s">
        <v>4765</v>
      </c>
      <c r="E494" s="15" t="s">
        <v>4775</v>
      </c>
    </row>
    <row r="495" spans="1:5" ht="25.5" x14ac:dyDescent="0.2">
      <c r="A495" s="14" t="s">
        <v>4776</v>
      </c>
      <c r="B495" s="15" t="s">
        <v>4777</v>
      </c>
      <c r="C495" s="15" t="s">
        <v>4764</v>
      </c>
      <c r="D495" s="15" t="s">
        <v>4765</v>
      </c>
      <c r="E495" s="15" t="s">
        <v>4778</v>
      </c>
    </row>
    <row r="496" spans="1:5" ht="25.5" x14ac:dyDescent="0.2">
      <c r="A496" s="14" t="s">
        <v>4779</v>
      </c>
      <c r="B496" s="15" t="s">
        <v>4780</v>
      </c>
      <c r="C496" s="15" t="s">
        <v>4764</v>
      </c>
      <c r="D496" s="15" t="s">
        <v>4765</v>
      </c>
      <c r="E496" s="15" t="s">
        <v>4781</v>
      </c>
    </row>
    <row r="497" spans="1:5" ht="38.25" x14ac:dyDescent="0.2">
      <c r="A497" s="14" t="s">
        <v>4782</v>
      </c>
      <c r="B497" s="15" t="s">
        <v>4783</v>
      </c>
      <c r="C497" s="15" t="s">
        <v>3303</v>
      </c>
      <c r="D497" s="15" t="s">
        <v>3304</v>
      </c>
      <c r="E497" s="15" t="s">
        <v>4784</v>
      </c>
    </row>
    <row r="498" spans="1:5" ht="25.5" x14ac:dyDescent="0.2">
      <c r="A498" s="14" t="s">
        <v>4785</v>
      </c>
      <c r="B498" s="15" t="s">
        <v>787</v>
      </c>
      <c r="C498" s="15" t="s">
        <v>4640</v>
      </c>
      <c r="D498" s="15" t="s">
        <v>4641</v>
      </c>
      <c r="E498" s="15" t="s">
        <v>4786</v>
      </c>
    </row>
    <row r="499" spans="1:5" ht="25.5" x14ac:dyDescent="0.2">
      <c r="A499" s="14" t="s">
        <v>4787</v>
      </c>
      <c r="B499" s="15" t="s">
        <v>4788</v>
      </c>
      <c r="C499" s="15" t="s">
        <v>4640</v>
      </c>
      <c r="D499" s="15" t="s">
        <v>4641</v>
      </c>
      <c r="E499" s="15" t="s">
        <v>4789</v>
      </c>
    </row>
    <row r="500" spans="1:5" ht="25.5" x14ac:dyDescent="0.2">
      <c r="A500" s="14" t="s">
        <v>4790</v>
      </c>
      <c r="B500" s="15" t="s">
        <v>4791</v>
      </c>
      <c r="C500" s="15" t="s">
        <v>4792</v>
      </c>
      <c r="D500" s="15" t="s">
        <v>4793</v>
      </c>
      <c r="E500" s="15" t="s">
        <v>4794</v>
      </c>
    </row>
    <row r="501" spans="1:5" ht="25.5" x14ac:dyDescent="0.2">
      <c r="A501" s="14" t="s">
        <v>4795</v>
      </c>
      <c r="B501" s="15" t="s">
        <v>4796</v>
      </c>
      <c r="C501" s="15" t="s">
        <v>3303</v>
      </c>
      <c r="D501" s="15" t="s">
        <v>3304</v>
      </c>
      <c r="E501" s="15" t="s">
        <v>4797</v>
      </c>
    </row>
    <row r="502" spans="1:5" ht="25.5" x14ac:dyDescent="0.2">
      <c r="A502" s="14" t="s">
        <v>4798</v>
      </c>
      <c r="B502" s="15" t="s">
        <v>4799</v>
      </c>
      <c r="C502" s="15" t="s">
        <v>4800</v>
      </c>
      <c r="D502" s="15" t="s">
        <v>4801</v>
      </c>
      <c r="E502" s="15" t="s">
        <v>4802</v>
      </c>
    </row>
    <row r="503" spans="1:5" ht="25.5" x14ac:dyDescent="0.2">
      <c r="A503" s="14" t="s">
        <v>4803</v>
      </c>
      <c r="B503" s="15" t="s">
        <v>648</v>
      </c>
      <c r="C503" s="15" t="s">
        <v>4640</v>
      </c>
      <c r="D503" s="15" t="s">
        <v>4641</v>
      </c>
      <c r="E503" s="15" t="s">
        <v>4804</v>
      </c>
    </row>
    <row r="504" spans="1:5" ht="25.5" x14ac:dyDescent="0.2">
      <c r="A504" s="14" t="s">
        <v>4805</v>
      </c>
      <c r="B504" s="15" t="s">
        <v>4806</v>
      </c>
      <c r="C504" s="15" t="s">
        <v>4640</v>
      </c>
      <c r="D504" s="15" t="s">
        <v>4641</v>
      </c>
      <c r="E504" s="15" t="s">
        <v>4807</v>
      </c>
    </row>
    <row r="505" spans="1:5" ht="25.5" x14ac:dyDescent="0.2">
      <c r="A505" s="14" t="s">
        <v>4808</v>
      </c>
      <c r="B505" s="15" t="s">
        <v>4809</v>
      </c>
      <c r="C505" s="15" t="s">
        <v>4640</v>
      </c>
      <c r="D505" s="15" t="s">
        <v>4641</v>
      </c>
      <c r="E505" s="15" t="s">
        <v>4810</v>
      </c>
    </row>
    <row r="506" spans="1:5" ht="25.5" x14ac:dyDescent="0.2">
      <c r="A506" s="14" t="s">
        <v>4811</v>
      </c>
      <c r="B506" s="15" t="s">
        <v>1220</v>
      </c>
      <c r="C506" s="15" t="s">
        <v>4640</v>
      </c>
      <c r="D506" s="15" t="s">
        <v>4641</v>
      </c>
      <c r="E506" s="15" t="s">
        <v>4812</v>
      </c>
    </row>
    <row r="507" spans="1:5" ht="25.5" x14ac:dyDescent="0.2">
      <c r="A507" s="14" t="s">
        <v>4813</v>
      </c>
      <c r="B507" s="15" t="s">
        <v>1018</v>
      </c>
      <c r="C507" s="15" t="s">
        <v>4640</v>
      </c>
      <c r="D507" s="15" t="s">
        <v>4641</v>
      </c>
      <c r="E507" s="15" t="s">
        <v>4814</v>
      </c>
    </row>
    <row r="508" spans="1:5" ht="25.5" x14ac:dyDescent="0.2">
      <c r="A508" s="14" t="s">
        <v>4815</v>
      </c>
      <c r="B508" s="15" t="s">
        <v>1221</v>
      </c>
      <c r="C508" s="15" t="s">
        <v>4640</v>
      </c>
      <c r="D508" s="15" t="s">
        <v>4641</v>
      </c>
      <c r="E508" s="15" t="s">
        <v>4816</v>
      </c>
    </row>
    <row r="509" spans="1:5" ht="25.5" x14ac:dyDescent="0.2">
      <c r="A509" s="14" t="s">
        <v>4817</v>
      </c>
      <c r="B509" s="15" t="s">
        <v>1017</v>
      </c>
      <c r="C509" s="15" t="s">
        <v>4640</v>
      </c>
      <c r="D509" s="15" t="s">
        <v>4641</v>
      </c>
      <c r="E509" s="15" t="s">
        <v>4818</v>
      </c>
    </row>
    <row r="510" spans="1:5" ht="25.5" x14ac:dyDescent="0.2">
      <c r="A510" s="14" t="s">
        <v>4819</v>
      </c>
      <c r="B510" s="15" t="s">
        <v>699</v>
      </c>
      <c r="C510" s="15" t="s">
        <v>4640</v>
      </c>
      <c r="D510" s="15" t="s">
        <v>4641</v>
      </c>
      <c r="E510" s="15" t="s">
        <v>4820</v>
      </c>
    </row>
    <row r="511" spans="1:5" ht="25.5" x14ac:dyDescent="0.2">
      <c r="A511" s="14" t="s">
        <v>4821</v>
      </c>
      <c r="B511" s="15" t="s">
        <v>4822</v>
      </c>
      <c r="C511" s="15" t="s">
        <v>4654</v>
      </c>
      <c r="D511" s="15" t="s">
        <v>4655</v>
      </c>
      <c r="E511" s="15" t="s">
        <v>4823</v>
      </c>
    </row>
    <row r="512" spans="1:5" ht="38.25" x14ac:dyDescent="0.2">
      <c r="A512" s="14" t="s">
        <v>4824</v>
      </c>
      <c r="B512" s="15" t="s">
        <v>4825</v>
      </c>
      <c r="C512" s="15" t="s">
        <v>4654</v>
      </c>
      <c r="D512" s="15" t="s">
        <v>4655</v>
      </c>
      <c r="E512" s="15" t="s">
        <v>4826</v>
      </c>
    </row>
    <row r="513" spans="1:5" ht="38.25" x14ac:dyDescent="0.2">
      <c r="A513" s="14" t="s">
        <v>4827</v>
      </c>
      <c r="B513" s="15" t="s">
        <v>4828</v>
      </c>
      <c r="C513" s="15" t="s">
        <v>4829</v>
      </c>
      <c r="D513" s="15" t="s">
        <v>4830</v>
      </c>
      <c r="E513" s="15" t="s">
        <v>4831</v>
      </c>
    </row>
    <row r="514" spans="1:5" ht="25.5" x14ac:dyDescent="0.2">
      <c r="A514" s="14" t="s">
        <v>4832</v>
      </c>
      <c r="B514" s="15" t="s">
        <v>4833</v>
      </c>
      <c r="C514" s="15" t="s">
        <v>4764</v>
      </c>
      <c r="D514" s="15" t="s">
        <v>4765</v>
      </c>
      <c r="E514" s="15" t="s">
        <v>4834</v>
      </c>
    </row>
    <row r="515" spans="1:5" ht="25.5" x14ac:dyDescent="0.2">
      <c r="A515" s="14" t="s">
        <v>4835</v>
      </c>
      <c r="B515" s="15" t="s">
        <v>1441</v>
      </c>
      <c r="C515" s="15" t="s">
        <v>4654</v>
      </c>
      <c r="D515" s="15" t="s">
        <v>4655</v>
      </c>
      <c r="E515" s="15" t="s">
        <v>4836</v>
      </c>
    </row>
    <row r="516" spans="1:5" ht="25.5" x14ac:dyDescent="0.2">
      <c r="A516" s="14" t="s">
        <v>4837</v>
      </c>
      <c r="B516" s="15" t="s">
        <v>4838</v>
      </c>
      <c r="C516" s="15" t="s">
        <v>4654</v>
      </c>
      <c r="D516" s="15" t="s">
        <v>4655</v>
      </c>
      <c r="E516" s="15" t="s">
        <v>4839</v>
      </c>
    </row>
    <row r="517" spans="1:5" ht="25.5" x14ac:dyDescent="0.2">
      <c r="A517" s="14" t="s">
        <v>4840</v>
      </c>
      <c r="B517" s="15" t="s">
        <v>4841</v>
      </c>
      <c r="C517" s="15" t="s">
        <v>4640</v>
      </c>
      <c r="D517" s="15" t="s">
        <v>4641</v>
      </c>
      <c r="E517" s="15" t="s">
        <v>4842</v>
      </c>
    </row>
    <row r="518" spans="1:5" ht="25.5" x14ac:dyDescent="0.2">
      <c r="A518" s="14" t="s">
        <v>4843</v>
      </c>
      <c r="B518" s="15" t="s">
        <v>857</v>
      </c>
      <c r="C518" s="15" t="s">
        <v>4764</v>
      </c>
      <c r="D518" s="15" t="s">
        <v>4765</v>
      </c>
      <c r="E518" s="15" t="s">
        <v>4844</v>
      </c>
    </row>
    <row r="519" spans="1:5" ht="38.25" x14ac:dyDescent="0.2">
      <c r="A519" s="14" t="s">
        <v>4845</v>
      </c>
      <c r="B519" s="15" t="s">
        <v>4846</v>
      </c>
      <c r="C519" s="15" t="s">
        <v>4829</v>
      </c>
      <c r="D519" s="15" t="s">
        <v>4830</v>
      </c>
      <c r="E519" s="15" t="s">
        <v>4847</v>
      </c>
    </row>
    <row r="520" spans="1:5" ht="25.5" x14ac:dyDescent="0.2">
      <c r="A520" s="14" t="s">
        <v>4848</v>
      </c>
      <c r="B520" s="15" t="s">
        <v>4849</v>
      </c>
      <c r="C520" s="15" t="s">
        <v>4850</v>
      </c>
      <c r="D520" s="15" t="s">
        <v>4851</v>
      </c>
      <c r="E520" s="15" t="s">
        <v>4852</v>
      </c>
    </row>
    <row r="521" spans="1:5" ht="25.5" x14ac:dyDescent="0.2">
      <c r="A521" s="14" t="s">
        <v>4853</v>
      </c>
      <c r="B521" s="15" t="s">
        <v>4854</v>
      </c>
      <c r="C521" s="15" t="s">
        <v>3339</v>
      </c>
      <c r="D521" s="15" t="s">
        <v>3340</v>
      </c>
      <c r="E521" s="15" t="s">
        <v>4855</v>
      </c>
    </row>
    <row r="522" spans="1:5" ht="25.5" x14ac:dyDescent="0.2">
      <c r="A522" s="14" t="s">
        <v>4856</v>
      </c>
      <c r="B522" s="15" t="s">
        <v>82</v>
      </c>
      <c r="C522" s="15" t="s">
        <v>4857</v>
      </c>
      <c r="D522" s="15" t="s">
        <v>4858</v>
      </c>
      <c r="E522" s="15" t="s">
        <v>4859</v>
      </c>
    </row>
    <row r="523" spans="1:5" ht="25.5" x14ac:dyDescent="0.2">
      <c r="A523" s="14" t="s">
        <v>4860</v>
      </c>
      <c r="B523" s="15" t="s">
        <v>914</v>
      </c>
      <c r="C523" s="15" t="s">
        <v>4861</v>
      </c>
      <c r="D523" s="15" t="s">
        <v>4862</v>
      </c>
      <c r="E523" s="15" t="s">
        <v>4863</v>
      </c>
    </row>
    <row r="524" spans="1:5" ht="25.5" x14ac:dyDescent="0.2">
      <c r="A524" s="14" t="s">
        <v>4864</v>
      </c>
      <c r="B524" s="15" t="s">
        <v>914</v>
      </c>
      <c r="C524" s="15" t="s">
        <v>4861</v>
      </c>
      <c r="D524" s="15" t="s">
        <v>4862</v>
      </c>
      <c r="E524" s="15" t="s">
        <v>4865</v>
      </c>
    </row>
    <row r="525" spans="1:5" ht="25.5" x14ac:dyDescent="0.2">
      <c r="A525" s="14" t="s">
        <v>4866</v>
      </c>
      <c r="B525" s="15" t="s">
        <v>914</v>
      </c>
      <c r="C525" s="15" t="s">
        <v>4861</v>
      </c>
      <c r="D525" s="15" t="s">
        <v>4862</v>
      </c>
      <c r="E525" s="15" t="s">
        <v>4867</v>
      </c>
    </row>
    <row r="526" spans="1:5" ht="25.5" x14ac:dyDescent="0.2">
      <c r="A526" s="14" t="s">
        <v>4868</v>
      </c>
      <c r="B526" s="15" t="s">
        <v>1535</v>
      </c>
      <c r="C526" s="15" t="s">
        <v>4861</v>
      </c>
      <c r="D526" s="15" t="s">
        <v>4862</v>
      </c>
      <c r="E526" s="15" t="s">
        <v>4869</v>
      </c>
    </row>
    <row r="527" spans="1:5" ht="25.5" x14ac:dyDescent="0.2">
      <c r="A527" s="14" t="s">
        <v>4870</v>
      </c>
      <c r="B527" s="15" t="s">
        <v>913</v>
      </c>
      <c r="C527" s="15" t="s">
        <v>3343</v>
      </c>
      <c r="D527" s="15" t="s">
        <v>3344</v>
      </c>
      <c r="E527" s="15" t="s">
        <v>4871</v>
      </c>
    </row>
    <row r="528" spans="1:5" ht="25.5" x14ac:dyDescent="0.2">
      <c r="A528" s="14" t="s">
        <v>4872</v>
      </c>
      <c r="B528" s="15" t="s">
        <v>4873</v>
      </c>
      <c r="C528" s="15" t="s">
        <v>4874</v>
      </c>
      <c r="D528" s="15" t="s">
        <v>4875</v>
      </c>
      <c r="E528" s="15" t="s">
        <v>4876</v>
      </c>
    </row>
    <row r="529" spans="1:5" ht="25.5" x14ac:dyDescent="0.2">
      <c r="A529" s="14" t="s">
        <v>4877</v>
      </c>
      <c r="B529" s="15" t="s">
        <v>325</v>
      </c>
      <c r="C529" s="15" t="s">
        <v>4878</v>
      </c>
      <c r="D529" s="15" t="s">
        <v>4879</v>
      </c>
      <c r="E529" s="15" t="s">
        <v>4880</v>
      </c>
    </row>
    <row r="530" spans="1:5" ht="25.5" x14ac:dyDescent="0.2">
      <c r="A530" s="14" t="s">
        <v>4881</v>
      </c>
      <c r="B530" s="15" t="s">
        <v>993</v>
      </c>
      <c r="C530" s="15" t="s">
        <v>4861</v>
      </c>
      <c r="D530" s="15" t="s">
        <v>4862</v>
      </c>
      <c r="E530" s="15" t="s">
        <v>4882</v>
      </c>
    </row>
    <row r="531" spans="1:5" ht="25.5" x14ac:dyDescent="0.2">
      <c r="A531" s="14" t="s">
        <v>4883</v>
      </c>
      <c r="B531" s="15" t="s">
        <v>1363</v>
      </c>
      <c r="C531" s="15" t="s">
        <v>4861</v>
      </c>
      <c r="D531" s="15" t="s">
        <v>4862</v>
      </c>
      <c r="E531" s="15" t="s">
        <v>4884</v>
      </c>
    </row>
    <row r="532" spans="1:5" ht="25.5" x14ac:dyDescent="0.2">
      <c r="A532" s="14" t="s">
        <v>4885</v>
      </c>
      <c r="B532" s="15" t="s">
        <v>1214</v>
      </c>
      <c r="C532" s="15" t="s">
        <v>4861</v>
      </c>
      <c r="D532" s="15" t="s">
        <v>4862</v>
      </c>
      <c r="E532" s="15" t="s">
        <v>4886</v>
      </c>
    </row>
    <row r="533" spans="1:5" ht="25.5" x14ac:dyDescent="0.2">
      <c r="A533" s="14" t="s">
        <v>4887</v>
      </c>
      <c r="B533" s="15" t="s">
        <v>579</v>
      </c>
      <c r="C533" s="15" t="s">
        <v>4861</v>
      </c>
      <c r="D533" s="15" t="s">
        <v>4862</v>
      </c>
      <c r="E533" s="15" t="s">
        <v>4888</v>
      </c>
    </row>
    <row r="534" spans="1:5" ht="25.5" x14ac:dyDescent="0.2">
      <c r="A534" s="14" t="s">
        <v>4889</v>
      </c>
      <c r="B534" s="15" t="s">
        <v>155</v>
      </c>
      <c r="C534" s="15" t="s">
        <v>4861</v>
      </c>
      <c r="D534" s="15" t="s">
        <v>4862</v>
      </c>
      <c r="E534" s="15" t="s">
        <v>4890</v>
      </c>
    </row>
    <row r="535" spans="1:5" ht="25.5" x14ac:dyDescent="0.2">
      <c r="A535" s="14" t="s">
        <v>4891</v>
      </c>
      <c r="B535" s="15" t="s">
        <v>988</v>
      </c>
      <c r="C535" s="15" t="s">
        <v>4861</v>
      </c>
      <c r="D535" s="15" t="s">
        <v>4862</v>
      </c>
      <c r="E535" s="15" t="s">
        <v>4892</v>
      </c>
    </row>
    <row r="536" spans="1:5" ht="25.5" x14ac:dyDescent="0.2">
      <c r="A536" s="14" t="s">
        <v>4893</v>
      </c>
      <c r="B536" s="15" t="s">
        <v>988</v>
      </c>
      <c r="C536" s="15" t="s">
        <v>4861</v>
      </c>
      <c r="D536" s="15" t="s">
        <v>4862</v>
      </c>
      <c r="E536" s="15" t="s">
        <v>4894</v>
      </c>
    </row>
    <row r="537" spans="1:5" ht="25.5" x14ac:dyDescent="0.2">
      <c r="A537" s="14" t="s">
        <v>4895</v>
      </c>
      <c r="B537" s="15" t="s">
        <v>1213</v>
      </c>
      <c r="C537" s="15" t="s">
        <v>4861</v>
      </c>
      <c r="D537" s="15" t="s">
        <v>4862</v>
      </c>
      <c r="E537" s="15" t="s">
        <v>4896</v>
      </c>
    </row>
    <row r="538" spans="1:5" ht="25.5" x14ac:dyDescent="0.2">
      <c r="A538" s="14" t="s">
        <v>4897</v>
      </c>
      <c r="B538" s="15" t="s">
        <v>4898</v>
      </c>
      <c r="C538" s="15" t="s">
        <v>4899</v>
      </c>
      <c r="D538" s="15" t="s">
        <v>4900</v>
      </c>
      <c r="E538" s="15" t="s">
        <v>4901</v>
      </c>
    </row>
    <row r="539" spans="1:5" ht="25.5" x14ac:dyDescent="0.2">
      <c r="A539" s="14" t="s">
        <v>4902</v>
      </c>
      <c r="B539" s="15" t="s">
        <v>4903</v>
      </c>
      <c r="C539" s="15" t="s">
        <v>4899</v>
      </c>
      <c r="D539" s="15" t="s">
        <v>4900</v>
      </c>
      <c r="E539" s="15" t="s">
        <v>4904</v>
      </c>
    </row>
    <row r="540" spans="1:5" ht="25.5" x14ac:dyDescent="0.2">
      <c r="A540" s="14" t="s">
        <v>4905</v>
      </c>
      <c r="B540" s="15" t="s">
        <v>600</v>
      </c>
      <c r="C540" s="15" t="s">
        <v>4906</v>
      </c>
      <c r="D540" s="15" t="s">
        <v>4907</v>
      </c>
      <c r="E540" s="15" t="s">
        <v>4908</v>
      </c>
    </row>
    <row r="541" spans="1:5" ht="25.5" x14ac:dyDescent="0.2">
      <c r="A541" s="14" t="s">
        <v>4909</v>
      </c>
      <c r="B541" s="15" t="s">
        <v>1210</v>
      </c>
      <c r="C541" s="15" t="s">
        <v>4861</v>
      </c>
      <c r="D541" s="15" t="s">
        <v>4862</v>
      </c>
      <c r="E541" s="15" t="s">
        <v>4910</v>
      </c>
    </row>
    <row r="542" spans="1:5" ht="25.5" x14ac:dyDescent="0.2">
      <c r="A542" s="14" t="s">
        <v>4911</v>
      </c>
      <c r="B542" s="15" t="s">
        <v>1211</v>
      </c>
      <c r="C542" s="15" t="s">
        <v>4861</v>
      </c>
      <c r="D542" s="15" t="s">
        <v>4862</v>
      </c>
      <c r="E542" s="15" t="s">
        <v>4912</v>
      </c>
    </row>
    <row r="543" spans="1:5" ht="25.5" x14ac:dyDescent="0.2">
      <c r="A543" s="14" t="s">
        <v>4913</v>
      </c>
      <c r="B543" s="15" t="s">
        <v>1546</v>
      </c>
      <c r="C543" s="15" t="s">
        <v>4861</v>
      </c>
      <c r="D543" s="15" t="s">
        <v>4862</v>
      </c>
      <c r="E543" s="15" t="s">
        <v>4914</v>
      </c>
    </row>
    <row r="544" spans="1:5" ht="25.5" x14ac:dyDescent="0.2">
      <c r="A544" s="14" t="s">
        <v>4915</v>
      </c>
      <c r="B544" s="15" t="s">
        <v>581</v>
      </c>
      <c r="C544" s="15" t="s">
        <v>4861</v>
      </c>
      <c r="D544" s="15" t="s">
        <v>4862</v>
      </c>
      <c r="E544" s="15" t="s">
        <v>4916</v>
      </c>
    </row>
    <row r="545" spans="1:5" ht="25.5" x14ac:dyDescent="0.2">
      <c r="A545" s="14" t="s">
        <v>4917</v>
      </c>
      <c r="B545" s="15" t="s">
        <v>1545</v>
      </c>
      <c r="C545" s="15" t="s">
        <v>4861</v>
      </c>
      <c r="D545" s="15" t="s">
        <v>4862</v>
      </c>
      <c r="E545" s="15" t="s">
        <v>4918</v>
      </c>
    </row>
    <row r="546" spans="1:5" ht="25.5" x14ac:dyDescent="0.2">
      <c r="A546" s="14" t="s">
        <v>4919</v>
      </c>
      <c r="B546" s="15" t="s">
        <v>1212</v>
      </c>
      <c r="C546" s="15" t="s">
        <v>4861</v>
      </c>
      <c r="D546" s="15" t="s">
        <v>4862</v>
      </c>
      <c r="E546" s="15" t="s">
        <v>4920</v>
      </c>
    </row>
    <row r="547" spans="1:5" ht="25.5" x14ac:dyDescent="0.2">
      <c r="A547" s="14" t="s">
        <v>4921</v>
      </c>
      <c r="B547" s="15" t="s">
        <v>1596</v>
      </c>
      <c r="C547" s="15" t="s">
        <v>4861</v>
      </c>
      <c r="D547" s="15" t="s">
        <v>4862</v>
      </c>
      <c r="E547" s="15" t="s">
        <v>4922</v>
      </c>
    </row>
    <row r="548" spans="1:5" ht="25.5" x14ac:dyDescent="0.2">
      <c r="A548" s="14" t="s">
        <v>4923</v>
      </c>
      <c r="B548" s="15" t="s">
        <v>4924</v>
      </c>
      <c r="C548" s="15" t="s">
        <v>4861</v>
      </c>
      <c r="D548" s="15" t="s">
        <v>4862</v>
      </c>
      <c r="E548" s="15" t="s">
        <v>4925</v>
      </c>
    </row>
    <row r="549" spans="1:5" ht="25.5" x14ac:dyDescent="0.2">
      <c r="A549" s="14" t="s">
        <v>4926</v>
      </c>
      <c r="B549" s="15" t="s">
        <v>94</v>
      </c>
      <c r="C549" s="15" t="s">
        <v>4861</v>
      </c>
      <c r="D549" s="15" t="s">
        <v>4862</v>
      </c>
      <c r="E549" s="15" t="s">
        <v>4927</v>
      </c>
    </row>
    <row r="550" spans="1:5" ht="25.5" x14ac:dyDescent="0.2">
      <c r="A550" s="14" t="s">
        <v>4928</v>
      </c>
      <c r="B550" s="15" t="s">
        <v>4929</v>
      </c>
      <c r="C550" s="15" t="s">
        <v>4861</v>
      </c>
      <c r="D550" s="15" t="s">
        <v>4862</v>
      </c>
      <c r="E550" s="15" t="s">
        <v>4930</v>
      </c>
    </row>
    <row r="551" spans="1:5" ht="25.5" x14ac:dyDescent="0.2">
      <c r="A551" s="14" t="s">
        <v>4931</v>
      </c>
      <c r="B551" s="15" t="s">
        <v>1215</v>
      </c>
      <c r="C551" s="15" t="s">
        <v>4861</v>
      </c>
      <c r="D551" s="15" t="s">
        <v>4862</v>
      </c>
      <c r="E551" s="15" t="s">
        <v>4932</v>
      </c>
    </row>
    <row r="552" spans="1:5" ht="25.5" x14ac:dyDescent="0.2">
      <c r="A552" s="14" t="s">
        <v>4933</v>
      </c>
      <c r="B552" s="15" t="s">
        <v>580</v>
      </c>
      <c r="C552" s="15" t="s">
        <v>4861</v>
      </c>
      <c r="D552" s="15" t="s">
        <v>4862</v>
      </c>
      <c r="E552" s="15" t="s">
        <v>4934</v>
      </c>
    </row>
    <row r="553" spans="1:5" ht="25.5" x14ac:dyDescent="0.2">
      <c r="A553" s="14" t="s">
        <v>4935</v>
      </c>
      <c r="B553" s="15" t="s">
        <v>1544</v>
      </c>
      <c r="C553" s="15" t="s">
        <v>4861</v>
      </c>
      <c r="D553" s="15" t="s">
        <v>4862</v>
      </c>
      <c r="E553" s="15" t="s">
        <v>4936</v>
      </c>
    </row>
    <row r="554" spans="1:5" ht="25.5" x14ac:dyDescent="0.2">
      <c r="A554" s="14" t="s">
        <v>4937</v>
      </c>
      <c r="B554" s="15" t="s">
        <v>1209</v>
      </c>
      <c r="C554" s="15" t="s">
        <v>4861</v>
      </c>
      <c r="D554" s="15" t="s">
        <v>4862</v>
      </c>
      <c r="E554" s="15" t="s">
        <v>4938</v>
      </c>
    </row>
    <row r="555" spans="1:5" ht="25.5" x14ac:dyDescent="0.2">
      <c r="A555" s="14" t="s">
        <v>4939</v>
      </c>
      <c r="B555" s="15" t="s">
        <v>1364</v>
      </c>
      <c r="C555" s="15" t="s">
        <v>4861</v>
      </c>
      <c r="D555" s="15" t="s">
        <v>4862</v>
      </c>
      <c r="E555" s="15" t="s">
        <v>4940</v>
      </c>
    </row>
    <row r="556" spans="1:5" ht="25.5" x14ac:dyDescent="0.2">
      <c r="A556" s="14" t="s">
        <v>4941</v>
      </c>
      <c r="B556" s="15" t="s">
        <v>1365</v>
      </c>
      <c r="C556" s="15" t="s">
        <v>4861</v>
      </c>
      <c r="D556" s="15" t="s">
        <v>4862</v>
      </c>
      <c r="E556" s="15" t="s">
        <v>4942</v>
      </c>
    </row>
    <row r="557" spans="1:5" ht="38.25" x14ac:dyDescent="0.2">
      <c r="A557" s="14" t="s">
        <v>4943</v>
      </c>
      <c r="B557" s="15" t="s">
        <v>1540</v>
      </c>
      <c r="C557" s="15" t="s">
        <v>4861</v>
      </c>
      <c r="D557" s="15" t="s">
        <v>4862</v>
      </c>
      <c r="E557" s="15" t="s">
        <v>4944</v>
      </c>
    </row>
    <row r="558" spans="1:5" ht="25.5" x14ac:dyDescent="0.2">
      <c r="A558" s="14" t="s">
        <v>4945</v>
      </c>
      <c r="B558" s="15" t="s">
        <v>4946</v>
      </c>
      <c r="C558" s="15" t="s">
        <v>4861</v>
      </c>
      <c r="D558" s="15" t="s">
        <v>4862</v>
      </c>
      <c r="E558" s="15" t="s">
        <v>4947</v>
      </c>
    </row>
    <row r="559" spans="1:5" ht="38.25" x14ac:dyDescent="0.2">
      <c r="A559" s="14" t="s">
        <v>4948</v>
      </c>
      <c r="B559" s="15" t="s">
        <v>1541</v>
      </c>
      <c r="C559" s="15" t="s">
        <v>4861</v>
      </c>
      <c r="D559" s="15" t="s">
        <v>4862</v>
      </c>
      <c r="E559" s="15" t="s">
        <v>4949</v>
      </c>
    </row>
    <row r="560" spans="1:5" ht="25.5" x14ac:dyDescent="0.2">
      <c r="A560" s="14" t="s">
        <v>4950</v>
      </c>
      <c r="B560" s="15" t="s">
        <v>4951</v>
      </c>
      <c r="C560" s="15" t="s">
        <v>4861</v>
      </c>
      <c r="D560" s="15" t="s">
        <v>4862</v>
      </c>
      <c r="E560" s="15" t="s">
        <v>4952</v>
      </c>
    </row>
    <row r="561" spans="1:5" ht="25.5" x14ac:dyDescent="0.2">
      <c r="A561" s="14" t="s">
        <v>4953</v>
      </c>
      <c r="B561" s="15" t="s">
        <v>917</v>
      </c>
      <c r="C561" s="15" t="s">
        <v>4861</v>
      </c>
      <c r="D561" s="15" t="s">
        <v>4862</v>
      </c>
      <c r="E561" s="15" t="s">
        <v>4954</v>
      </c>
    </row>
    <row r="562" spans="1:5" ht="25.5" x14ac:dyDescent="0.2">
      <c r="A562" s="14" t="s">
        <v>4955</v>
      </c>
      <c r="B562" s="15" t="s">
        <v>917</v>
      </c>
      <c r="C562" s="15" t="s">
        <v>4861</v>
      </c>
      <c r="D562" s="15" t="s">
        <v>4862</v>
      </c>
      <c r="E562" s="15" t="s">
        <v>4956</v>
      </c>
    </row>
    <row r="563" spans="1:5" ht="25.5" x14ac:dyDescent="0.2">
      <c r="A563" s="14" t="s">
        <v>4957</v>
      </c>
      <c r="B563" s="15" t="s">
        <v>917</v>
      </c>
      <c r="C563" s="15" t="s">
        <v>4861</v>
      </c>
      <c r="D563" s="15" t="s">
        <v>4862</v>
      </c>
      <c r="E563" s="15" t="s">
        <v>4958</v>
      </c>
    </row>
    <row r="564" spans="1:5" ht="25.5" x14ac:dyDescent="0.2">
      <c r="A564" s="14" t="s">
        <v>4959</v>
      </c>
      <c r="B564" s="15" t="s">
        <v>910</v>
      </c>
      <c r="C564" s="15" t="s">
        <v>4861</v>
      </c>
      <c r="D564" s="15" t="s">
        <v>4862</v>
      </c>
      <c r="E564" s="15" t="s">
        <v>4960</v>
      </c>
    </row>
    <row r="565" spans="1:5" ht="25.5" x14ac:dyDescent="0.2">
      <c r="A565" s="14" t="s">
        <v>4961</v>
      </c>
      <c r="B565" s="15" t="s">
        <v>910</v>
      </c>
      <c r="C565" s="15" t="s">
        <v>4861</v>
      </c>
      <c r="D565" s="15" t="s">
        <v>4862</v>
      </c>
      <c r="E565" s="15" t="s">
        <v>4962</v>
      </c>
    </row>
    <row r="566" spans="1:5" ht="25.5" x14ac:dyDescent="0.2">
      <c r="A566" s="14" t="s">
        <v>4963</v>
      </c>
      <c r="B566" s="15" t="s">
        <v>910</v>
      </c>
      <c r="C566" s="15" t="s">
        <v>4861</v>
      </c>
      <c r="D566" s="15" t="s">
        <v>4862</v>
      </c>
      <c r="E566" s="15" t="s">
        <v>4964</v>
      </c>
    </row>
    <row r="567" spans="1:5" ht="25.5" x14ac:dyDescent="0.2">
      <c r="A567" s="14" t="s">
        <v>4965</v>
      </c>
      <c r="B567" s="15" t="s">
        <v>910</v>
      </c>
      <c r="C567" s="15" t="s">
        <v>4861</v>
      </c>
      <c r="D567" s="15" t="s">
        <v>4862</v>
      </c>
      <c r="E567" s="15" t="s">
        <v>4966</v>
      </c>
    </row>
    <row r="568" spans="1:5" ht="25.5" x14ac:dyDescent="0.2">
      <c r="A568" s="14" t="s">
        <v>4967</v>
      </c>
      <c r="B568" s="15" t="s">
        <v>910</v>
      </c>
      <c r="C568" s="15" t="s">
        <v>4861</v>
      </c>
      <c r="D568" s="15" t="s">
        <v>4862</v>
      </c>
      <c r="E568" s="15" t="s">
        <v>4968</v>
      </c>
    </row>
    <row r="569" spans="1:5" ht="38.25" x14ac:dyDescent="0.2">
      <c r="A569" s="14" t="s">
        <v>4969</v>
      </c>
      <c r="B569" s="15" t="s">
        <v>4970</v>
      </c>
      <c r="C569" s="15" t="s">
        <v>4861</v>
      </c>
      <c r="D569" s="15" t="s">
        <v>4862</v>
      </c>
      <c r="E569" s="15" t="s">
        <v>4971</v>
      </c>
    </row>
    <row r="570" spans="1:5" ht="25.5" x14ac:dyDescent="0.2">
      <c r="A570" s="14" t="s">
        <v>4972</v>
      </c>
      <c r="B570" s="15" t="s">
        <v>586</v>
      </c>
      <c r="C570" s="15" t="s">
        <v>4861</v>
      </c>
      <c r="D570" s="15" t="s">
        <v>4862</v>
      </c>
      <c r="E570" s="15" t="s">
        <v>4973</v>
      </c>
    </row>
    <row r="571" spans="1:5" ht="25.5" x14ac:dyDescent="0.2">
      <c r="A571" s="14" t="s">
        <v>4974</v>
      </c>
      <c r="B571" s="15" t="s">
        <v>599</v>
      </c>
      <c r="C571" s="15" t="s">
        <v>4861</v>
      </c>
      <c r="D571" s="15" t="s">
        <v>4862</v>
      </c>
      <c r="E571" s="15" t="s">
        <v>4975</v>
      </c>
    </row>
    <row r="572" spans="1:5" ht="25.5" x14ac:dyDescent="0.2">
      <c r="A572" s="14" t="s">
        <v>4976</v>
      </c>
      <c r="B572" s="15" t="s">
        <v>576</v>
      </c>
      <c r="C572" s="15" t="s">
        <v>4861</v>
      </c>
      <c r="D572" s="15" t="s">
        <v>4862</v>
      </c>
      <c r="E572" s="15" t="s">
        <v>4977</v>
      </c>
    </row>
    <row r="573" spans="1:5" ht="25.5" x14ac:dyDescent="0.2">
      <c r="A573" s="14" t="s">
        <v>4978</v>
      </c>
      <c r="B573" s="15" t="s">
        <v>591</v>
      </c>
      <c r="C573" s="15" t="s">
        <v>4861</v>
      </c>
      <c r="D573" s="15" t="s">
        <v>4862</v>
      </c>
      <c r="E573" s="15" t="s">
        <v>4979</v>
      </c>
    </row>
    <row r="574" spans="1:5" ht="25.5" x14ac:dyDescent="0.2">
      <c r="A574" s="14" t="s">
        <v>4980</v>
      </c>
      <c r="B574" s="15" t="s">
        <v>585</v>
      </c>
      <c r="C574" s="15" t="s">
        <v>4861</v>
      </c>
      <c r="D574" s="15" t="s">
        <v>4862</v>
      </c>
      <c r="E574" s="15" t="s">
        <v>4981</v>
      </c>
    </row>
    <row r="575" spans="1:5" ht="25.5" x14ac:dyDescent="0.2">
      <c r="A575" s="14" t="s">
        <v>4982</v>
      </c>
      <c r="B575" s="15" t="s">
        <v>4983</v>
      </c>
      <c r="C575" s="15" t="s">
        <v>4984</v>
      </c>
      <c r="D575" s="15" t="s">
        <v>4985</v>
      </c>
      <c r="E575" s="15" t="s">
        <v>4986</v>
      </c>
    </row>
    <row r="576" spans="1:5" ht="25.5" x14ac:dyDescent="0.2">
      <c r="A576" s="14" t="s">
        <v>4987</v>
      </c>
      <c r="B576" s="15" t="s">
        <v>4988</v>
      </c>
      <c r="C576" s="15" t="s">
        <v>4984</v>
      </c>
      <c r="D576" s="15" t="s">
        <v>4985</v>
      </c>
      <c r="E576" s="15" t="s">
        <v>4989</v>
      </c>
    </row>
    <row r="577" spans="1:5" ht="25.5" x14ac:dyDescent="0.2">
      <c r="A577" s="14" t="s">
        <v>4990</v>
      </c>
      <c r="B577" s="15" t="s">
        <v>4991</v>
      </c>
      <c r="C577" s="15" t="s">
        <v>4992</v>
      </c>
      <c r="D577" s="15" t="s">
        <v>4993</v>
      </c>
      <c r="E577" s="15" t="s">
        <v>4994</v>
      </c>
    </row>
    <row r="578" spans="1:5" ht="25.5" x14ac:dyDescent="0.2">
      <c r="A578" s="14" t="s">
        <v>4995</v>
      </c>
      <c r="B578" s="15" t="s">
        <v>4991</v>
      </c>
      <c r="C578" s="15" t="s">
        <v>4992</v>
      </c>
      <c r="D578" s="15" t="s">
        <v>4993</v>
      </c>
      <c r="E578" s="15" t="s">
        <v>4996</v>
      </c>
    </row>
    <row r="579" spans="1:5" ht="25.5" x14ac:dyDescent="0.2">
      <c r="A579" s="14" t="s">
        <v>4997</v>
      </c>
      <c r="B579" s="15" t="s">
        <v>4998</v>
      </c>
      <c r="C579" s="15" t="s">
        <v>4992</v>
      </c>
      <c r="D579" s="15" t="s">
        <v>4993</v>
      </c>
      <c r="E579" s="15" t="s">
        <v>4999</v>
      </c>
    </row>
    <row r="580" spans="1:5" ht="25.5" x14ac:dyDescent="0.2">
      <c r="A580" s="14" t="s">
        <v>5000</v>
      </c>
      <c r="B580" s="15" t="s">
        <v>5001</v>
      </c>
      <c r="C580" s="15" t="s">
        <v>4992</v>
      </c>
      <c r="D580" s="15" t="s">
        <v>4993</v>
      </c>
      <c r="E580" s="15" t="s">
        <v>5002</v>
      </c>
    </row>
    <row r="581" spans="1:5" ht="25.5" x14ac:dyDescent="0.2">
      <c r="A581" s="14" t="s">
        <v>5003</v>
      </c>
      <c r="B581" s="15" t="s">
        <v>5004</v>
      </c>
      <c r="C581" s="15" t="s">
        <v>4992</v>
      </c>
      <c r="D581" s="15" t="s">
        <v>4993</v>
      </c>
      <c r="E581" s="15" t="s">
        <v>5005</v>
      </c>
    </row>
    <row r="582" spans="1:5" ht="25.5" x14ac:dyDescent="0.2">
      <c r="A582" s="14" t="s">
        <v>5006</v>
      </c>
      <c r="B582" s="15" t="s">
        <v>5007</v>
      </c>
      <c r="C582" s="15" t="s">
        <v>4984</v>
      </c>
      <c r="D582" s="15" t="s">
        <v>4985</v>
      </c>
      <c r="E582" s="15" t="s">
        <v>5008</v>
      </c>
    </row>
    <row r="583" spans="1:5" ht="25.5" x14ac:dyDescent="0.2">
      <c r="A583" s="14" t="s">
        <v>5009</v>
      </c>
      <c r="B583" s="15" t="s">
        <v>5010</v>
      </c>
      <c r="C583" s="15" t="s">
        <v>4984</v>
      </c>
      <c r="D583" s="15" t="s">
        <v>4985</v>
      </c>
      <c r="E583" s="15" t="s">
        <v>5011</v>
      </c>
    </row>
    <row r="584" spans="1:5" ht="25.5" x14ac:dyDescent="0.2">
      <c r="A584" s="14" t="s">
        <v>5012</v>
      </c>
      <c r="B584" s="15" t="s">
        <v>5013</v>
      </c>
      <c r="C584" s="15" t="s">
        <v>4992</v>
      </c>
      <c r="D584" s="15" t="s">
        <v>4993</v>
      </c>
      <c r="E584" s="15" t="s">
        <v>5014</v>
      </c>
    </row>
    <row r="585" spans="1:5" ht="25.5" x14ac:dyDescent="0.2">
      <c r="A585" s="14" t="s">
        <v>5015</v>
      </c>
      <c r="B585" s="15" t="s">
        <v>5016</v>
      </c>
      <c r="C585" s="15" t="s">
        <v>4992</v>
      </c>
      <c r="D585" s="15" t="s">
        <v>4993</v>
      </c>
      <c r="E585" s="15" t="s">
        <v>5017</v>
      </c>
    </row>
    <row r="586" spans="1:5" ht="25.5" x14ac:dyDescent="0.2">
      <c r="A586" s="14" t="s">
        <v>5018</v>
      </c>
      <c r="B586" s="15" t="s">
        <v>5019</v>
      </c>
      <c r="C586" s="15" t="s">
        <v>4992</v>
      </c>
      <c r="D586" s="15" t="s">
        <v>4993</v>
      </c>
      <c r="E586" s="15" t="s">
        <v>5020</v>
      </c>
    </row>
    <row r="587" spans="1:5" ht="25.5" x14ac:dyDescent="0.2">
      <c r="A587" s="14" t="s">
        <v>5021</v>
      </c>
      <c r="B587" s="15" t="s">
        <v>5022</v>
      </c>
      <c r="C587" s="15" t="s">
        <v>4992</v>
      </c>
      <c r="D587" s="15" t="s">
        <v>4993</v>
      </c>
      <c r="E587" s="15" t="s">
        <v>5023</v>
      </c>
    </row>
    <row r="588" spans="1:5" ht="25.5" x14ac:dyDescent="0.2">
      <c r="A588" s="14" t="s">
        <v>5024</v>
      </c>
      <c r="B588" s="15" t="s">
        <v>5025</v>
      </c>
      <c r="C588" s="15" t="s">
        <v>4992</v>
      </c>
      <c r="D588" s="15" t="s">
        <v>4993</v>
      </c>
      <c r="E588" s="15" t="s">
        <v>5026</v>
      </c>
    </row>
    <row r="589" spans="1:5" ht="25.5" x14ac:dyDescent="0.2">
      <c r="A589" s="14" t="s">
        <v>5027</v>
      </c>
      <c r="B589" s="15" t="s">
        <v>5028</v>
      </c>
      <c r="C589" s="15" t="s">
        <v>4992</v>
      </c>
      <c r="D589" s="15" t="s">
        <v>4993</v>
      </c>
      <c r="E589" s="15" t="s">
        <v>5029</v>
      </c>
    </row>
    <row r="590" spans="1:5" ht="25.5" x14ac:dyDescent="0.2">
      <c r="A590" s="14" t="s">
        <v>5030</v>
      </c>
      <c r="B590" s="15" t="s">
        <v>5031</v>
      </c>
      <c r="C590" s="15" t="s">
        <v>4992</v>
      </c>
      <c r="D590" s="15" t="s">
        <v>4993</v>
      </c>
      <c r="E590" s="15" t="s">
        <v>5032</v>
      </c>
    </row>
    <row r="591" spans="1:5" ht="25.5" x14ac:dyDescent="0.2">
      <c r="A591" s="14" t="s">
        <v>5033</v>
      </c>
      <c r="B591" s="15" t="s">
        <v>5034</v>
      </c>
      <c r="C591" s="15" t="s">
        <v>4984</v>
      </c>
      <c r="D591" s="15" t="s">
        <v>4985</v>
      </c>
      <c r="E591" s="15" t="s">
        <v>5035</v>
      </c>
    </row>
    <row r="592" spans="1:5" ht="25.5" x14ac:dyDescent="0.2">
      <c r="A592" s="14" t="s">
        <v>5036</v>
      </c>
      <c r="B592" s="15" t="s">
        <v>1551</v>
      </c>
      <c r="C592" s="15" t="s">
        <v>4992</v>
      </c>
      <c r="D592" s="15" t="s">
        <v>4993</v>
      </c>
      <c r="E592" s="15" t="s">
        <v>5037</v>
      </c>
    </row>
    <row r="593" spans="1:5" ht="25.5" x14ac:dyDescent="0.2">
      <c r="A593" s="14" t="s">
        <v>5038</v>
      </c>
      <c r="B593" s="15" t="s">
        <v>5039</v>
      </c>
      <c r="C593" s="15" t="s">
        <v>4992</v>
      </c>
      <c r="D593" s="15" t="s">
        <v>4993</v>
      </c>
      <c r="E593" s="15" t="s">
        <v>5040</v>
      </c>
    </row>
    <row r="594" spans="1:5" ht="25.5" x14ac:dyDescent="0.2">
      <c r="A594" s="14" t="s">
        <v>5041</v>
      </c>
      <c r="B594" s="15" t="s">
        <v>5042</v>
      </c>
      <c r="C594" s="15" t="s">
        <v>4992</v>
      </c>
      <c r="D594" s="15" t="s">
        <v>4993</v>
      </c>
      <c r="E594" s="15" t="s">
        <v>5043</v>
      </c>
    </row>
    <row r="595" spans="1:5" ht="25.5" x14ac:dyDescent="0.2">
      <c r="A595" s="14" t="s">
        <v>5044</v>
      </c>
      <c r="B595" s="15" t="s">
        <v>1556</v>
      </c>
      <c r="C595" s="15" t="s">
        <v>4992</v>
      </c>
      <c r="D595" s="15" t="s">
        <v>4993</v>
      </c>
      <c r="E595" s="15" t="s">
        <v>5045</v>
      </c>
    </row>
    <row r="596" spans="1:5" ht="25.5" x14ac:dyDescent="0.2">
      <c r="A596" s="14" t="s">
        <v>5046</v>
      </c>
      <c r="B596" s="15" t="s">
        <v>5047</v>
      </c>
      <c r="C596" s="15" t="s">
        <v>4992</v>
      </c>
      <c r="D596" s="15" t="s">
        <v>4993</v>
      </c>
      <c r="E596" s="15" t="s">
        <v>5048</v>
      </c>
    </row>
    <row r="597" spans="1:5" ht="25.5" x14ac:dyDescent="0.2">
      <c r="A597" s="14" t="s">
        <v>5049</v>
      </c>
      <c r="B597" s="15" t="s">
        <v>5050</v>
      </c>
      <c r="C597" s="15" t="s">
        <v>4992</v>
      </c>
      <c r="D597" s="15" t="s">
        <v>4993</v>
      </c>
      <c r="E597" s="15" t="s">
        <v>5051</v>
      </c>
    </row>
    <row r="598" spans="1:5" ht="25.5" x14ac:dyDescent="0.2">
      <c r="A598" s="14" t="s">
        <v>5052</v>
      </c>
      <c r="B598" s="15" t="s">
        <v>5053</v>
      </c>
      <c r="C598" s="15" t="s">
        <v>4992</v>
      </c>
      <c r="D598" s="15" t="s">
        <v>4993</v>
      </c>
      <c r="E598" s="15" t="s">
        <v>5054</v>
      </c>
    </row>
    <row r="599" spans="1:5" ht="25.5" x14ac:dyDescent="0.2">
      <c r="A599" s="14" t="s">
        <v>5055</v>
      </c>
      <c r="B599" s="15" t="s">
        <v>5056</v>
      </c>
      <c r="C599" s="15" t="s">
        <v>4992</v>
      </c>
      <c r="D599" s="15" t="s">
        <v>4993</v>
      </c>
      <c r="E599" s="15" t="s">
        <v>5057</v>
      </c>
    </row>
    <row r="600" spans="1:5" ht="25.5" x14ac:dyDescent="0.2">
      <c r="A600" s="14" t="s">
        <v>5058</v>
      </c>
      <c r="B600" s="15" t="s">
        <v>5059</v>
      </c>
      <c r="C600" s="15" t="s">
        <v>4992</v>
      </c>
      <c r="D600" s="15" t="s">
        <v>4993</v>
      </c>
      <c r="E600" s="15" t="s">
        <v>5060</v>
      </c>
    </row>
    <row r="601" spans="1:5" ht="25.5" x14ac:dyDescent="0.2">
      <c r="A601" s="14" t="s">
        <v>5061</v>
      </c>
      <c r="B601" s="15" t="s">
        <v>5062</v>
      </c>
      <c r="C601" s="15" t="s">
        <v>4984</v>
      </c>
      <c r="D601" s="15" t="s">
        <v>4985</v>
      </c>
      <c r="E601" s="15" t="s">
        <v>5063</v>
      </c>
    </row>
    <row r="602" spans="1:5" ht="25.5" x14ac:dyDescent="0.2">
      <c r="A602" s="14" t="s">
        <v>5064</v>
      </c>
      <c r="B602" s="15" t="s">
        <v>5065</v>
      </c>
      <c r="C602" s="15" t="s">
        <v>4992</v>
      </c>
      <c r="D602" s="15" t="s">
        <v>4993</v>
      </c>
      <c r="E602" s="15" t="s">
        <v>5066</v>
      </c>
    </row>
    <row r="603" spans="1:5" ht="25.5" x14ac:dyDescent="0.2">
      <c r="A603" s="14" t="s">
        <v>5067</v>
      </c>
      <c r="B603" s="15" t="s">
        <v>72</v>
      </c>
      <c r="C603" s="15" t="s">
        <v>4992</v>
      </c>
      <c r="D603" s="15" t="s">
        <v>4993</v>
      </c>
      <c r="E603" s="15" t="s">
        <v>5068</v>
      </c>
    </row>
    <row r="604" spans="1:5" ht="25.5" x14ac:dyDescent="0.2">
      <c r="A604" s="14" t="s">
        <v>5069</v>
      </c>
      <c r="B604" s="15" t="s">
        <v>5070</v>
      </c>
      <c r="C604" s="15" t="s">
        <v>4992</v>
      </c>
      <c r="D604" s="15" t="s">
        <v>4993</v>
      </c>
      <c r="E604" s="15" t="s">
        <v>5071</v>
      </c>
    </row>
    <row r="605" spans="1:5" ht="25.5" x14ac:dyDescent="0.2">
      <c r="A605" s="14" t="s">
        <v>5072</v>
      </c>
      <c r="B605" s="15" t="s">
        <v>5073</v>
      </c>
      <c r="C605" s="15" t="s">
        <v>5074</v>
      </c>
      <c r="D605" s="15" t="s">
        <v>5075</v>
      </c>
      <c r="E605" s="15" t="s">
        <v>5076</v>
      </c>
    </row>
    <row r="606" spans="1:5" ht="25.5" x14ac:dyDescent="0.2">
      <c r="A606" s="14" t="s">
        <v>5077</v>
      </c>
      <c r="B606" s="15" t="s">
        <v>1553</v>
      </c>
      <c r="C606" s="15" t="s">
        <v>5078</v>
      </c>
      <c r="D606" s="15" t="s">
        <v>5079</v>
      </c>
      <c r="E606" s="15" t="s">
        <v>5080</v>
      </c>
    </row>
    <row r="607" spans="1:5" ht="25.5" x14ac:dyDescent="0.2">
      <c r="A607" s="14" t="s">
        <v>5081</v>
      </c>
      <c r="B607" s="15" t="s">
        <v>5082</v>
      </c>
      <c r="C607" s="15" t="s">
        <v>5074</v>
      </c>
      <c r="D607" s="15" t="s">
        <v>5075</v>
      </c>
      <c r="E607" s="15" t="s">
        <v>5083</v>
      </c>
    </row>
    <row r="608" spans="1:5" ht="25.5" x14ac:dyDescent="0.2">
      <c r="A608" s="14" t="s">
        <v>5084</v>
      </c>
      <c r="B608" s="15" t="s">
        <v>5085</v>
      </c>
      <c r="C608" s="15" t="s">
        <v>5078</v>
      </c>
      <c r="D608" s="15" t="s">
        <v>5079</v>
      </c>
      <c r="E608" s="15" t="s">
        <v>5086</v>
      </c>
    </row>
    <row r="609" spans="1:5" ht="25.5" x14ac:dyDescent="0.2">
      <c r="A609" s="14" t="s">
        <v>5087</v>
      </c>
      <c r="B609" s="15" t="s">
        <v>5088</v>
      </c>
      <c r="C609" s="15" t="s">
        <v>5078</v>
      </c>
      <c r="D609" s="15" t="s">
        <v>5079</v>
      </c>
      <c r="E609" s="15" t="s">
        <v>5089</v>
      </c>
    </row>
    <row r="610" spans="1:5" ht="25.5" x14ac:dyDescent="0.2">
      <c r="A610" s="14" t="s">
        <v>5090</v>
      </c>
      <c r="B610" s="15" t="s">
        <v>5091</v>
      </c>
      <c r="C610" s="15" t="s">
        <v>5074</v>
      </c>
      <c r="D610" s="15" t="s">
        <v>5075</v>
      </c>
      <c r="E610" s="15" t="s">
        <v>5092</v>
      </c>
    </row>
    <row r="611" spans="1:5" ht="25.5" x14ac:dyDescent="0.2">
      <c r="A611" s="14" t="s">
        <v>5093</v>
      </c>
      <c r="B611" s="15" t="s">
        <v>5094</v>
      </c>
      <c r="C611" s="15" t="s">
        <v>5074</v>
      </c>
      <c r="D611" s="15" t="s">
        <v>5075</v>
      </c>
      <c r="E611" s="15" t="s">
        <v>5095</v>
      </c>
    </row>
    <row r="612" spans="1:5" ht="25.5" x14ac:dyDescent="0.2">
      <c r="A612" s="14" t="s">
        <v>5096</v>
      </c>
      <c r="B612" s="15" t="s">
        <v>1552</v>
      </c>
      <c r="C612" s="15" t="s">
        <v>5078</v>
      </c>
      <c r="D612" s="15" t="s">
        <v>5079</v>
      </c>
      <c r="E612" s="15" t="s">
        <v>5097</v>
      </c>
    </row>
    <row r="613" spans="1:5" ht="25.5" x14ac:dyDescent="0.2">
      <c r="A613" s="14" t="s">
        <v>5098</v>
      </c>
      <c r="B613" s="15" t="s">
        <v>1383</v>
      </c>
      <c r="C613" s="15" t="s">
        <v>5074</v>
      </c>
      <c r="D613" s="15" t="s">
        <v>5075</v>
      </c>
      <c r="E613" s="15" t="s">
        <v>5099</v>
      </c>
    </row>
    <row r="614" spans="1:5" ht="25.5" x14ac:dyDescent="0.2">
      <c r="A614" s="14" t="s">
        <v>5100</v>
      </c>
      <c r="B614" s="15" t="s">
        <v>5101</v>
      </c>
      <c r="C614" s="15" t="s">
        <v>5078</v>
      </c>
      <c r="D614" s="15" t="s">
        <v>5079</v>
      </c>
      <c r="E614" s="15" t="s">
        <v>5102</v>
      </c>
    </row>
    <row r="615" spans="1:5" ht="25.5" x14ac:dyDescent="0.2">
      <c r="A615" s="14" t="s">
        <v>5103</v>
      </c>
      <c r="B615" s="15" t="s">
        <v>64</v>
      </c>
      <c r="C615" s="15" t="s">
        <v>5078</v>
      </c>
      <c r="D615" s="15" t="s">
        <v>5079</v>
      </c>
      <c r="E615" s="15" t="s">
        <v>5104</v>
      </c>
    </row>
    <row r="616" spans="1:5" ht="25.5" x14ac:dyDescent="0.2">
      <c r="A616" s="14" t="s">
        <v>5105</v>
      </c>
      <c r="B616" s="15" t="s">
        <v>5106</v>
      </c>
      <c r="C616" s="15" t="s">
        <v>5078</v>
      </c>
      <c r="D616" s="15" t="s">
        <v>5079</v>
      </c>
      <c r="E616" s="15" t="s">
        <v>5107</v>
      </c>
    </row>
    <row r="617" spans="1:5" ht="25.5" x14ac:dyDescent="0.2">
      <c r="A617" s="14" t="s">
        <v>5108</v>
      </c>
      <c r="B617" s="15" t="s">
        <v>358</v>
      </c>
      <c r="C617" s="15" t="s">
        <v>5074</v>
      </c>
      <c r="D617" s="15" t="s">
        <v>5075</v>
      </c>
      <c r="E617" s="15" t="s">
        <v>5109</v>
      </c>
    </row>
    <row r="618" spans="1:5" ht="25.5" x14ac:dyDescent="0.2">
      <c r="A618" s="14" t="s">
        <v>5110</v>
      </c>
      <c r="B618" s="15" t="s">
        <v>5111</v>
      </c>
      <c r="C618" s="15" t="s">
        <v>5112</v>
      </c>
      <c r="D618" s="15" t="s">
        <v>5113</v>
      </c>
      <c r="E618" s="15" t="s">
        <v>5114</v>
      </c>
    </row>
    <row r="619" spans="1:5" ht="25.5" x14ac:dyDescent="0.2">
      <c r="A619" s="14" t="s">
        <v>5115</v>
      </c>
      <c r="B619" s="15" t="s">
        <v>417</v>
      </c>
      <c r="C619" s="15" t="s">
        <v>4857</v>
      </c>
      <c r="D619" s="15" t="s">
        <v>4858</v>
      </c>
      <c r="E619" s="15" t="s">
        <v>5116</v>
      </c>
    </row>
    <row r="620" spans="1:5" ht="25.5" x14ac:dyDescent="0.2">
      <c r="A620" s="14" t="s">
        <v>5117</v>
      </c>
      <c r="B620" s="15" t="s">
        <v>5118</v>
      </c>
      <c r="C620" s="15" t="s">
        <v>4800</v>
      </c>
      <c r="D620" s="15" t="s">
        <v>4801</v>
      </c>
      <c r="E620" s="15" t="s">
        <v>5119</v>
      </c>
    </row>
    <row r="621" spans="1:5" ht="25.5" x14ac:dyDescent="0.2">
      <c r="A621" s="14" t="s">
        <v>5120</v>
      </c>
      <c r="B621" s="15" t="s">
        <v>5121</v>
      </c>
      <c r="C621" s="15" t="s">
        <v>4800</v>
      </c>
      <c r="D621" s="15" t="s">
        <v>4801</v>
      </c>
      <c r="E621" s="15" t="s">
        <v>5122</v>
      </c>
    </row>
    <row r="622" spans="1:5" ht="25.5" x14ac:dyDescent="0.2">
      <c r="A622" s="14" t="s">
        <v>5123</v>
      </c>
      <c r="B622" s="15" t="s">
        <v>5124</v>
      </c>
      <c r="C622" s="15" t="s">
        <v>3318</v>
      </c>
      <c r="D622" s="15" t="s">
        <v>3319</v>
      </c>
      <c r="E622" s="15" t="s">
        <v>5125</v>
      </c>
    </row>
    <row r="623" spans="1:5" ht="25.5" x14ac:dyDescent="0.2">
      <c r="A623" s="14" t="s">
        <v>5126</v>
      </c>
      <c r="B623" s="15" t="s">
        <v>5127</v>
      </c>
      <c r="C623" s="15" t="s">
        <v>4857</v>
      </c>
      <c r="D623" s="15" t="s">
        <v>4858</v>
      </c>
      <c r="E623" s="15" t="s">
        <v>5128</v>
      </c>
    </row>
    <row r="624" spans="1:5" ht="25.5" x14ac:dyDescent="0.2">
      <c r="A624" s="14" t="s">
        <v>5129</v>
      </c>
      <c r="B624" s="15" t="s">
        <v>5130</v>
      </c>
      <c r="C624" s="15" t="s">
        <v>5131</v>
      </c>
      <c r="D624" s="15" t="s">
        <v>5132</v>
      </c>
      <c r="E624" s="15" t="s">
        <v>5133</v>
      </c>
    </row>
    <row r="625" spans="1:5" ht="25.5" x14ac:dyDescent="0.2">
      <c r="A625" s="14" t="s">
        <v>5134</v>
      </c>
      <c r="B625" s="15" t="s">
        <v>461</v>
      </c>
      <c r="C625" s="15" t="s">
        <v>5135</v>
      </c>
      <c r="D625" s="15" t="s">
        <v>5136</v>
      </c>
      <c r="E625" s="15" t="s">
        <v>5137</v>
      </c>
    </row>
    <row r="626" spans="1:5" ht="25.5" x14ac:dyDescent="0.2">
      <c r="A626" s="14" t="s">
        <v>5138</v>
      </c>
      <c r="B626" s="15" t="s">
        <v>782</v>
      </c>
      <c r="C626" s="15" t="s">
        <v>5135</v>
      </c>
      <c r="D626" s="15" t="s">
        <v>5136</v>
      </c>
      <c r="E626" s="15" t="s">
        <v>5139</v>
      </c>
    </row>
    <row r="627" spans="1:5" ht="25.5" x14ac:dyDescent="0.2">
      <c r="A627" s="14" t="s">
        <v>5140</v>
      </c>
      <c r="B627" s="15" t="s">
        <v>5141</v>
      </c>
      <c r="C627" s="15" t="s">
        <v>5135</v>
      </c>
      <c r="D627" s="15" t="s">
        <v>5136</v>
      </c>
      <c r="E627" s="15" t="s">
        <v>5142</v>
      </c>
    </row>
    <row r="628" spans="1:5" ht="25.5" x14ac:dyDescent="0.2">
      <c r="A628" s="14" t="s">
        <v>5143</v>
      </c>
      <c r="B628" s="15" t="s">
        <v>5144</v>
      </c>
      <c r="C628" s="15" t="s">
        <v>5145</v>
      </c>
      <c r="D628" s="15" t="s">
        <v>5146</v>
      </c>
      <c r="E628" s="15" t="s">
        <v>5147</v>
      </c>
    </row>
    <row r="629" spans="1:5" ht="25.5" x14ac:dyDescent="0.2">
      <c r="A629" s="14" t="s">
        <v>5148</v>
      </c>
      <c r="B629" s="15" t="s">
        <v>5149</v>
      </c>
      <c r="C629" s="15" t="s">
        <v>5131</v>
      </c>
      <c r="D629" s="15" t="s">
        <v>5132</v>
      </c>
      <c r="E629" s="15" t="s">
        <v>5150</v>
      </c>
    </row>
    <row r="630" spans="1:5" ht="25.5" x14ac:dyDescent="0.2">
      <c r="A630" s="14" t="s">
        <v>5151</v>
      </c>
      <c r="B630" s="15" t="s">
        <v>1151</v>
      </c>
      <c r="C630" s="15" t="s">
        <v>4069</v>
      </c>
      <c r="D630" s="15" t="s">
        <v>4070</v>
      </c>
      <c r="E630" s="15" t="s">
        <v>5152</v>
      </c>
    </row>
    <row r="631" spans="1:5" ht="25.5" x14ac:dyDescent="0.2">
      <c r="A631" s="14" t="s">
        <v>5153</v>
      </c>
      <c r="B631" s="15" t="s">
        <v>920</v>
      </c>
      <c r="C631" s="15" t="s">
        <v>4069</v>
      </c>
      <c r="D631" s="15" t="s">
        <v>4070</v>
      </c>
      <c r="E631" s="15" t="s">
        <v>5154</v>
      </c>
    </row>
    <row r="632" spans="1:5" ht="25.5" x14ac:dyDescent="0.2">
      <c r="A632" s="14" t="s">
        <v>5155</v>
      </c>
      <c r="B632" s="15" t="s">
        <v>217</v>
      </c>
      <c r="C632" s="15" t="s">
        <v>4069</v>
      </c>
      <c r="D632" s="15" t="s">
        <v>4070</v>
      </c>
      <c r="E632" s="15" t="s">
        <v>5156</v>
      </c>
    </row>
    <row r="633" spans="1:5" ht="25.5" x14ac:dyDescent="0.2">
      <c r="A633" s="14" t="s">
        <v>5157</v>
      </c>
      <c r="B633" s="15" t="s">
        <v>5158</v>
      </c>
      <c r="C633" s="15" t="s">
        <v>3323</v>
      </c>
      <c r="D633" s="15" t="s">
        <v>3324</v>
      </c>
      <c r="E633" s="15" t="s">
        <v>5159</v>
      </c>
    </row>
    <row r="634" spans="1:5" ht="25.5" x14ac:dyDescent="0.2">
      <c r="A634" s="14" t="s">
        <v>5160</v>
      </c>
      <c r="B634" s="15" t="s">
        <v>5161</v>
      </c>
      <c r="C634" s="15" t="s">
        <v>3395</v>
      </c>
      <c r="D634" s="15" t="s">
        <v>3396</v>
      </c>
      <c r="E634" s="15" t="s">
        <v>5162</v>
      </c>
    </row>
    <row r="635" spans="1:5" ht="25.5" x14ac:dyDescent="0.2">
      <c r="A635" s="14" t="s">
        <v>5163</v>
      </c>
      <c r="B635" s="15" t="s">
        <v>5164</v>
      </c>
      <c r="C635" s="15" t="s">
        <v>5165</v>
      </c>
      <c r="D635" s="15" t="s">
        <v>5166</v>
      </c>
      <c r="E635" s="15" t="s">
        <v>5167</v>
      </c>
    </row>
    <row r="636" spans="1:5" ht="25.5" x14ac:dyDescent="0.2">
      <c r="A636" s="14" t="s">
        <v>5168</v>
      </c>
      <c r="B636" s="15" t="s">
        <v>723</v>
      </c>
      <c r="C636" s="15" t="s">
        <v>4226</v>
      </c>
      <c r="D636" s="15" t="s">
        <v>4227</v>
      </c>
      <c r="E636" s="15" t="s">
        <v>5169</v>
      </c>
    </row>
    <row r="637" spans="1:5" ht="25.5" x14ac:dyDescent="0.2">
      <c r="A637" s="14" t="s">
        <v>5170</v>
      </c>
      <c r="B637" s="15" t="s">
        <v>60</v>
      </c>
      <c r="C637" s="15" t="s">
        <v>5171</v>
      </c>
      <c r="D637" s="15" t="s">
        <v>5172</v>
      </c>
      <c r="E637" s="15" t="s">
        <v>5173</v>
      </c>
    </row>
    <row r="638" spans="1:5" ht="25.5" x14ac:dyDescent="0.2">
      <c r="A638" s="14" t="s">
        <v>5174</v>
      </c>
      <c r="B638" s="15" t="s">
        <v>59</v>
      </c>
      <c r="C638" s="15" t="s">
        <v>5171</v>
      </c>
      <c r="D638" s="15" t="s">
        <v>5172</v>
      </c>
      <c r="E638" s="15" t="s">
        <v>5175</v>
      </c>
    </row>
    <row r="639" spans="1:5" ht="25.5" x14ac:dyDescent="0.2">
      <c r="A639" s="14" t="s">
        <v>5176</v>
      </c>
      <c r="B639" s="15" t="s">
        <v>5177</v>
      </c>
      <c r="C639" s="15" t="s">
        <v>5171</v>
      </c>
      <c r="D639" s="15" t="s">
        <v>5172</v>
      </c>
      <c r="E639" s="15" t="s">
        <v>5178</v>
      </c>
    </row>
    <row r="640" spans="1:5" ht="25.5" x14ac:dyDescent="0.2">
      <c r="A640" s="14" t="s">
        <v>5179</v>
      </c>
      <c r="B640" s="15" t="s">
        <v>5180</v>
      </c>
      <c r="C640" s="15" t="s">
        <v>5181</v>
      </c>
      <c r="D640" s="15" t="s">
        <v>5182</v>
      </c>
      <c r="E640" s="15" t="s">
        <v>5183</v>
      </c>
    </row>
    <row r="641" spans="1:5" ht="25.5" x14ac:dyDescent="0.2">
      <c r="A641" s="14" t="s">
        <v>5184</v>
      </c>
      <c r="B641" s="15" t="s">
        <v>5185</v>
      </c>
      <c r="C641" s="15" t="s">
        <v>5171</v>
      </c>
      <c r="D641" s="15" t="s">
        <v>5172</v>
      </c>
      <c r="E641" s="15" t="s">
        <v>5186</v>
      </c>
    </row>
    <row r="642" spans="1:5" ht="25.5" x14ac:dyDescent="0.2">
      <c r="A642" s="14" t="s">
        <v>5187</v>
      </c>
      <c r="B642" s="15" t="s">
        <v>5188</v>
      </c>
      <c r="C642" s="15" t="s">
        <v>5171</v>
      </c>
      <c r="D642" s="15" t="s">
        <v>5172</v>
      </c>
      <c r="E642" s="15" t="s">
        <v>5189</v>
      </c>
    </row>
    <row r="643" spans="1:5" ht="25.5" x14ac:dyDescent="0.2">
      <c r="A643" s="14" t="s">
        <v>5190</v>
      </c>
      <c r="B643" s="15" t="s">
        <v>5191</v>
      </c>
      <c r="C643" s="15" t="s">
        <v>5192</v>
      </c>
      <c r="D643" s="15" t="s">
        <v>5193</v>
      </c>
      <c r="E643" s="15" t="s">
        <v>5194</v>
      </c>
    </row>
    <row r="644" spans="1:5" ht="25.5" x14ac:dyDescent="0.2">
      <c r="A644" s="14" t="s">
        <v>5195</v>
      </c>
      <c r="B644" s="15" t="s">
        <v>5196</v>
      </c>
      <c r="C644" s="15" t="s">
        <v>4273</v>
      </c>
      <c r="D644" s="15" t="s">
        <v>4274</v>
      </c>
      <c r="E644" s="15" t="s">
        <v>5197</v>
      </c>
    </row>
    <row r="645" spans="1:5" ht="25.5" x14ac:dyDescent="0.2">
      <c r="A645" s="14" t="s">
        <v>5198</v>
      </c>
      <c r="B645" s="15" t="s">
        <v>826</v>
      </c>
      <c r="C645" s="15" t="s">
        <v>4273</v>
      </c>
      <c r="D645" s="15" t="s">
        <v>4274</v>
      </c>
      <c r="E645" s="15" t="s">
        <v>5199</v>
      </c>
    </row>
    <row r="646" spans="1:5" ht="25.5" x14ac:dyDescent="0.2">
      <c r="A646" s="14" t="s">
        <v>5200</v>
      </c>
      <c r="B646" s="15" t="s">
        <v>5201</v>
      </c>
      <c r="C646" s="15" t="s">
        <v>5202</v>
      </c>
      <c r="D646" s="15" t="s">
        <v>5203</v>
      </c>
      <c r="E646" s="15" t="s">
        <v>5204</v>
      </c>
    </row>
    <row r="647" spans="1:5" ht="25.5" x14ac:dyDescent="0.2">
      <c r="A647" s="14" t="s">
        <v>5205</v>
      </c>
      <c r="B647" s="15" t="s">
        <v>5206</v>
      </c>
      <c r="C647" s="15" t="s">
        <v>5207</v>
      </c>
      <c r="D647" s="15" t="s">
        <v>5208</v>
      </c>
      <c r="E647" s="15" t="s">
        <v>5209</v>
      </c>
    </row>
    <row r="648" spans="1:5" ht="25.5" x14ac:dyDescent="0.2">
      <c r="A648" s="14" t="s">
        <v>5210</v>
      </c>
      <c r="B648" s="15" t="s">
        <v>523</v>
      </c>
      <c r="C648" s="15" t="s">
        <v>4175</v>
      </c>
      <c r="D648" s="15" t="s">
        <v>4176</v>
      </c>
      <c r="E648" s="15" t="s">
        <v>5211</v>
      </c>
    </row>
    <row r="649" spans="1:5" ht="38.25" x14ac:dyDescent="0.2">
      <c r="A649" s="14" t="s">
        <v>5212</v>
      </c>
      <c r="B649" s="15" t="s">
        <v>147</v>
      </c>
      <c r="C649" s="15" t="s">
        <v>4390</v>
      </c>
      <c r="D649" s="15" t="s">
        <v>4391</v>
      </c>
      <c r="E649" s="15" t="s">
        <v>5213</v>
      </c>
    </row>
    <row r="650" spans="1:5" ht="25.5" x14ac:dyDescent="0.2">
      <c r="A650" s="14" t="s">
        <v>5214</v>
      </c>
      <c r="B650" s="15" t="s">
        <v>1529</v>
      </c>
      <c r="C650" s="15" t="s">
        <v>4226</v>
      </c>
      <c r="D650" s="15" t="s">
        <v>4227</v>
      </c>
      <c r="E650" s="15" t="s">
        <v>5215</v>
      </c>
    </row>
    <row r="651" spans="1:5" ht="25.5" x14ac:dyDescent="0.2">
      <c r="A651" s="14" t="s">
        <v>5216</v>
      </c>
      <c r="B651" s="15" t="s">
        <v>141</v>
      </c>
      <c r="C651" s="15" t="s">
        <v>4226</v>
      </c>
      <c r="D651" s="15" t="s">
        <v>4227</v>
      </c>
      <c r="E651" s="15" t="s">
        <v>5217</v>
      </c>
    </row>
    <row r="652" spans="1:5" ht="25.5" x14ac:dyDescent="0.2">
      <c r="A652" s="14" t="s">
        <v>5218</v>
      </c>
      <c r="B652" s="15" t="s">
        <v>5219</v>
      </c>
      <c r="C652" s="15" t="s">
        <v>4226</v>
      </c>
      <c r="D652" s="15" t="s">
        <v>4227</v>
      </c>
      <c r="E652" s="15" t="s">
        <v>5220</v>
      </c>
    </row>
    <row r="653" spans="1:5" ht="25.5" x14ac:dyDescent="0.2">
      <c r="A653" s="14" t="s">
        <v>5221</v>
      </c>
      <c r="B653" s="15" t="s">
        <v>1525</v>
      </c>
      <c r="C653" s="15" t="s">
        <v>4226</v>
      </c>
      <c r="D653" s="15" t="s">
        <v>4227</v>
      </c>
      <c r="E653" s="15" t="s">
        <v>5222</v>
      </c>
    </row>
    <row r="654" spans="1:5" ht="25.5" x14ac:dyDescent="0.2">
      <c r="A654" s="14" t="s">
        <v>5223</v>
      </c>
      <c r="B654" s="15" t="s">
        <v>5224</v>
      </c>
      <c r="C654" s="15" t="s">
        <v>4226</v>
      </c>
      <c r="D654" s="15" t="s">
        <v>4227</v>
      </c>
      <c r="E654" s="15" t="s">
        <v>5225</v>
      </c>
    </row>
    <row r="655" spans="1:5" ht="25.5" x14ac:dyDescent="0.2">
      <c r="A655" s="14" t="s">
        <v>5226</v>
      </c>
      <c r="B655" s="15" t="s">
        <v>140</v>
      </c>
      <c r="C655" s="15" t="s">
        <v>4226</v>
      </c>
      <c r="D655" s="15" t="s">
        <v>4227</v>
      </c>
      <c r="E655" s="15" t="s">
        <v>5227</v>
      </c>
    </row>
    <row r="656" spans="1:5" ht="25.5" x14ac:dyDescent="0.2">
      <c r="A656" s="14" t="s">
        <v>5228</v>
      </c>
      <c r="B656" s="15" t="s">
        <v>224</v>
      </c>
      <c r="C656" s="15" t="s">
        <v>4226</v>
      </c>
      <c r="D656" s="15" t="s">
        <v>4227</v>
      </c>
      <c r="E656" s="15" t="s">
        <v>5229</v>
      </c>
    </row>
    <row r="657" spans="1:5" ht="25.5" x14ac:dyDescent="0.2">
      <c r="A657" s="14" t="s">
        <v>5230</v>
      </c>
      <c r="B657" s="15" t="s">
        <v>1099</v>
      </c>
      <c r="C657" s="15" t="s">
        <v>5231</v>
      </c>
      <c r="D657" s="15" t="s">
        <v>5232</v>
      </c>
      <c r="E657" s="15" t="s">
        <v>5233</v>
      </c>
    </row>
    <row r="658" spans="1:5" ht="25.5" x14ac:dyDescent="0.2">
      <c r="A658" s="14" t="s">
        <v>5234</v>
      </c>
      <c r="B658" s="15" t="s">
        <v>5235</v>
      </c>
      <c r="C658" s="15" t="s">
        <v>4764</v>
      </c>
      <c r="D658" s="15" t="s">
        <v>4765</v>
      </c>
      <c r="E658" s="15" t="s">
        <v>5236</v>
      </c>
    </row>
    <row r="659" spans="1:5" ht="25.5" x14ac:dyDescent="0.2">
      <c r="A659" s="14" t="s">
        <v>5237</v>
      </c>
      <c r="B659" s="15" t="s">
        <v>5238</v>
      </c>
      <c r="C659" s="15" t="s">
        <v>4764</v>
      </c>
      <c r="D659" s="15" t="s">
        <v>4765</v>
      </c>
      <c r="E659" s="15" t="s">
        <v>5239</v>
      </c>
    </row>
    <row r="660" spans="1:5" ht="25.5" x14ac:dyDescent="0.2">
      <c r="A660" s="14" t="s">
        <v>5240</v>
      </c>
      <c r="B660" s="15" t="s">
        <v>942</v>
      </c>
      <c r="C660" s="15" t="s">
        <v>4069</v>
      </c>
      <c r="D660" s="15" t="s">
        <v>4070</v>
      </c>
      <c r="E660" s="15" t="s">
        <v>5241</v>
      </c>
    </row>
    <row r="661" spans="1:5" ht="25.5" x14ac:dyDescent="0.2">
      <c r="A661" s="14" t="s">
        <v>5242</v>
      </c>
      <c r="B661" s="15" t="s">
        <v>5243</v>
      </c>
      <c r="C661" s="15" t="s">
        <v>5244</v>
      </c>
      <c r="D661" s="15" t="s">
        <v>5245</v>
      </c>
      <c r="E661" s="15" t="s">
        <v>5246</v>
      </c>
    </row>
    <row r="662" spans="1:5" ht="25.5" x14ac:dyDescent="0.2">
      <c r="A662" s="14" t="s">
        <v>5247</v>
      </c>
      <c r="B662" s="15" t="s">
        <v>5248</v>
      </c>
      <c r="C662" s="15" t="s">
        <v>3318</v>
      </c>
      <c r="D662" s="15" t="s">
        <v>3319</v>
      </c>
      <c r="E662" s="15" t="s">
        <v>5249</v>
      </c>
    </row>
    <row r="663" spans="1:5" ht="25.5" x14ac:dyDescent="0.2">
      <c r="A663" s="14" t="s">
        <v>5250</v>
      </c>
      <c r="B663" s="15" t="s">
        <v>5251</v>
      </c>
      <c r="C663" s="15" t="s">
        <v>5252</v>
      </c>
      <c r="D663" s="15" t="s">
        <v>5253</v>
      </c>
      <c r="E663" s="15" t="s">
        <v>5254</v>
      </c>
    </row>
    <row r="664" spans="1:5" ht="25.5" x14ac:dyDescent="0.2">
      <c r="A664" s="14" t="s">
        <v>5255</v>
      </c>
      <c r="B664" s="15" t="s">
        <v>5256</v>
      </c>
      <c r="C664" s="15" t="s">
        <v>4055</v>
      </c>
      <c r="D664" s="15" t="s">
        <v>4056</v>
      </c>
      <c r="E664" s="15" t="s">
        <v>5257</v>
      </c>
    </row>
    <row r="665" spans="1:5" ht="25.5" x14ac:dyDescent="0.2">
      <c r="A665" s="14" t="s">
        <v>5258</v>
      </c>
      <c r="B665" s="15" t="s">
        <v>5259</v>
      </c>
      <c r="C665" s="15" t="s">
        <v>4055</v>
      </c>
      <c r="D665" s="15" t="s">
        <v>4056</v>
      </c>
      <c r="E665" s="15" t="s">
        <v>5260</v>
      </c>
    </row>
    <row r="666" spans="1:5" ht="25.5" x14ac:dyDescent="0.2">
      <c r="A666" s="14" t="s">
        <v>5261</v>
      </c>
      <c r="B666" s="15" t="s">
        <v>5262</v>
      </c>
      <c r="C666" s="15" t="s">
        <v>3318</v>
      </c>
      <c r="D666" s="15" t="s">
        <v>3319</v>
      </c>
      <c r="E666" s="15" t="s">
        <v>5263</v>
      </c>
    </row>
    <row r="667" spans="1:5" ht="25.5" x14ac:dyDescent="0.2">
      <c r="A667" s="14" t="s">
        <v>5264</v>
      </c>
      <c r="B667" s="15" t="s">
        <v>5265</v>
      </c>
      <c r="C667" s="15" t="s">
        <v>4764</v>
      </c>
      <c r="D667" s="15" t="s">
        <v>4765</v>
      </c>
      <c r="E667" s="15" t="s">
        <v>5266</v>
      </c>
    </row>
    <row r="668" spans="1:5" ht="25.5" x14ac:dyDescent="0.2">
      <c r="A668" s="14" t="s">
        <v>5267</v>
      </c>
      <c r="B668" s="15" t="s">
        <v>5268</v>
      </c>
      <c r="C668" s="15" t="s">
        <v>5269</v>
      </c>
      <c r="D668" s="15" t="s">
        <v>5270</v>
      </c>
      <c r="E668" s="15" t="s">
        <v>5271</v>
      </c>
    </row>
    <row r="669" spans="1:5" ht="25.5" x14ac:dyDescent="0.2">
      <c r="A669" s="14" t="s">
        <v>5272</v>
      </c>
      <c r="B669" s="15" t="s">
        <v>40</v>
      </c>
      <c r="C669" s="15" t="s">
        <v>5269</v>
      </c>
      <c r="D669" s="15" t="s">
        <v>5270</v>
      </c>
      <c r="E669" s="15" t="s">
        <v>5273</v>
      </c>
    </row>
    <row r="670" spans="1:5" ht="25.5" x14ac:dyDescent="0.2">
      <c r="A670" s="14" t="s">
        <v>5274</v>
      </c>
      <c r="B670" s="15" t="s">
        <v>5275</v>
      </c>
      <c r="C670" s="15" t="s">
        <v>4029</v>
      </c>
      <c r="D670" s="15" t="s">
        <v>4030</v>
      </c>
      <c r="E670" s="15" t="s">
        <v>5276</v>
      </c>
    </row>
    <row r="671" spans="1:5" ht="25.5" x14ac:dyDescent="0.2">
      <c r="A671" s="14" t="s">
        <v>5277</v>
      </c>
      <c r="B671" s="15" t="s">
        <v>5278</v>
      </c>
      <c r="C671" s="15" t="s">
        <v>4029</v>
      </c>
      <c r="D671" s="15" t="s">
        <v>4030</v>
      </c>
      <c r="E671" s="15" t="s">
        <v>5279</v>
      </c>
    </row>
    <row r="672" spans="1:5" ht="25.5" x14ac:dyDescent="0.2">
      <c r="A672" s="14" t="s">
        <v>5280</v>
      </c>
      <c r="B672" s="15" t="s">
        <v>5281</v>
      </c>
      <c r="C672" s="15" t="s">
        <v>4055</v>
      </c>
      <c r="D672" s="15" t="s">
        <v>4056</v>
      </c>
      <c r="E672" s="15" t="s">
        <v>5282</v>
      </c>
    </row>
    <row r="673" spans="1:5" ht="51" x14ac:dyDescent="0.2">
      <c r="A673" s="14" t="s">
        <v>5283</v>
      </c>
      <c r="B673" s="15" t="s">
        <v>5284</v>
      </c>
      <c r="C673" s="15" t="s">
        <v>4055</v>
      </c>
      <c r="D673" s="15" t="s">
        <v>4056</v>
      </c>
      <c r="E673" s="15" t="s">
        <v>5285</v>
      </c>
    </row>
    <row r="674" spans="1:5" ht="25.5" x14ac:dyDescent="0.2">
      <c r="A674" s="14" t="s">
        <v>5286</v>
      </c>
      <c r="B674" s="15" t="s">
        <v>5287</v>
      </c>
      <c r="C674" s="15" t="s">
        <v>4203</v>
      </c>
      <c r="D674" s="15" t="s">
        <v>4204</v>
      </c>
      <c r="E674" s="15" t="s">
        <v>5288</v>
      </c>
    </row>
    <row r="675" spans="1:5" ht="25.5" x14ac:dyDescent="0.2">
      <c r="A675" s="14" t="s">
        <v>5289</v>
      </c>
      <c r="B675" s="15" t="s">
        <v>5290</v>
      </c>
      <c r="C675" s="15" t="s">
        <v>4203</v>
      </c>
      <c r="D675" s="15" t="s">
        <v>4204</v>
      </c>
      <c r="E675" s="15" t="s">
        <v>5291</v>
      </c>
    </row>
    <row r="676" spans="1:5" ht="25.5" x14ac:dyDescent="0.2">
      <c r="A676" s="14" t="s">
        <v>5292</v>
      </c>
      <c r="B676" s="15" t="s">
        <v>5293</v>
      </c>
      <c r="C676" s="15" t="s">
        <v>4294</v>
      </c>
      <c r="D676" s="15" t="s">
        <v>4295</v>
      </c>
      <c r="E676" s="15" t="s">
        <v>5294</v>
      </c>
    </row>
    <row r="677" spans="1:5" ht="25.5" x14ac:dyDescent="0.2">
      <c r="A677" s="14" t="s">
        <v>5295</v>
      </c>
      <c r="B677" s="15" t="s">
        <v>697</v>
      </c>
      <c r="C677" s="15" t="s">
        <v>3395</v>
      </c>
      <c r="D677" s="15" t="s">
        <v>3396</v>
      </c>
      <c r="E677" s="15" t="s">
        <v>5296</v>
      </c>
    </row>
    <row r="678" spans="1:5" ht="25.5" x14ac:dyDescent="0.2">
      <c r="A678" s="14" t="s">
        <v>5297</v>
      </c>
      <c r="B678" s="15" t="s">
        <v>1216</v>
      </c>
      <c r="C678" s="15" t="s">
        <v>5298</v>
      </c>
      <c r="D678" s="15" t="s">
        <v>5299</v>
      </c>
      <c r="E678" s="15" t="s">
        <v>5300</v>
      </c>
    </row>
    <row r="679" spans="1:5" ht="25.5" x14ac:dyDescent="0.2">
      <c r="A679" s="14" t="s">
        <v>5301</v>
      </c>
      <c r="B679" s="15" t="s">
        <v>5302</v>
      </c>
      <c r="C679" s="15" t="s">
        <v>5298</v>
      </c>
      <c r="D679" s="15" t="s">
        <v>5299</v>
      </c>
      <c r="E679" s="15" t="s">
        <v>5303</v>
      </c>
    </row>
    <row r="680" spans="1:5" ht="25.5" x14ac:dyDescent="0.2">
      <c r="A680" s="14" t="s">
        <v>5304</v>
      </c>
      <c r="B680" s="15" t="s">
        <v>5305</v>
      </c>
      <c r="C680" s="15" t="s">
        <v>5298</v>
      </c>
      <c r="D680" s="15" t="s">
        <v>5299</v>
      </c>
      <c r="E680" s="15" t="s">
        <v>5306</v>
      </c>
    </row>
    <row r="681" spans="1:5" ht="25.5" x14ac:dyDescent="0.2">
      <c r="A681" s="14" t="s">
        <v>5307</v>
      </c>
      <c r="B681" s="15" t="s">
        <v>81</v>
      </c>
      <c r="C681" s="15" t="s">
        <v>5308</v>
      </c>
      <c r="D681" s="15" t="s">
        <v>5309</v>
      </c>
      <c r="E681" s="15" t="s">
        <v>5310</v>
      </c>
    </row>
    <row r="682" spans="1:5" ht="25.5" x14ac:dyDescent="0.2">
      <c r="A682" s="14" t="s">
        <v>5311</v>
      </c>
      <c r="B682" s="15" t="s">
        <v>5312</v>
      </c>
      <c r="C682" s="15" t="s">
        <v>5298</v>
      </c>
      <c r="D682" s="15" t="s">
        <v>5299</v>
      </c>
      <c r="E682" s="15" t="s">
        <v>5313</v>
      </c>
    </row>
    <row r="683" spans="1:5" ht="25.5" x14ac:dyDescent="0.2">
      <c r="A683" s="14" t="s">
        <v>5314</v>
      </c>
      <c r="B683" s="15" t="s">
        <v>5315</v>
      </c>
      <c r="C683" s="15" t="s">
        <v>5308</v>
      </c>
      <c r="D683" s="15" t="s">
        <v>5309</v>
      </c>
      <c r="E683" s="15" t="s">
        <v>5316</v>
      </c>
    </row>
    <row r="684" spans="1:5" ht="25.5" x14ac:dyDescent="0.2">
      <c r="A684" s="14" t="s">
        <v>5317</v>
      </c>
      <c r="B684" s="15" t="s">
        <v>76</v>
      </c>
      <c r="C684" s="15" t="s">
        <v>5308</v>
      </c>
      <c r="D684" s="15" t="s">
        <v>5309</v>
      </c>
      <c r="E684" s="15" t="s">
        <v>5318</v>
      </c>
    </row>
    <row r="685" spans="1:5" ht="25.5" x14ac:dyDescent="0.2">
      <c r="A685" s="14" t="s">
        <v>5319</v>
      </c>
      <c r="B685" s="15" t="s">
        <v>5320</v>
      </c>
      <c r="C685" s="15" t="s">
        <v>5298</v>
      </c>
      <c r="D685" s="15" t="s">
        <v>5299</v>
      </c>
      <c r="E685" s="15" t="s">
        <v>5321</v>
      </c>
    </row>
    <row r="686" spans="1:5" ht="25.5" x14ac:dyDescent="0.2">
      <c r="A686" s="14" t="s">
        <v>5322</v>
      </c>
      <c r="B686" s="15" t="s">
        <v>5323</v>
      </c>
      <c r="C686" s="15" t="s">
        <v>5298</v>
      </c>
      <c r="D686" s="15" t="s">
        <v>5299</v>
      </c>
      <c r="E686" s="15" t="s">
        <v>5324</v>
      </c>
    </row>
    <row r="687" spans="1:5" ht="25.5" x14ac:dyDescent="0.2">
      <c r="A687" s="14" t="s">
        <v>5325</v>
      </c>
      <c r="B687" s="15" t="s">
        <v>5326</v>
      </c>
      <c r="C687" s="15" t="s">
        <v>5308</v>
      </c>
      <c r="D687" s="15" t="s">
        <v>5309</v>
      </c>
      <c r="E687" s="15" t="s">
        <v>5327</v>
      </c>
    </row>
    <row r="688" spans="1:5" ht="25.5" x14ac:dyDescent="0.2">
      <c r="A688" s="14" t="s">
        <v>5328</v>
      </c>
      <c r="B688" s="15" t="s">
        <v>77</v>
      </c>
      <c r="C688" s="15" t="s">
        <v>5308</v>
      </c>
      <c r="D688" s="15" t="s">
        <v>5309</v>
      </c>
      <c r="E688" s="15" t="s">
        <v>5329</v>
      </c>
    </row>
    <row r="689" spans="1:5" ht="25.5" x14ac:dyDescent="0.2">
      <c r="A689" s="14" t="s">
        <v>5330</v>
      </c>
      <c r="B689" s="15" t="s">
        <v>78</v>
      </c>
      <c r="C689" s="15" t="s">
        <v>5308</v>
      </c>
      <c r="D689" s="15" t="s">
        <v>5309</v>
      </c>
      <c r="E689" s="15" t="s">
        <v>5331</v>
      </c>
    </row>
    <row r="690" spans="1:5" ht="25.5" x14ac:dyDescent="0.2">
      <c r="A690" s="14" t="s">
        <v>5332</v>
      </c>
      <c r="B690" s="15" t="s">
        <v>79</v>
      </c>
      <c r="C690" s="15" t="s">
        <v>5308</v>
      </c>
      <c r="D690" s="15" t="s">
        <v>5309</v>
      </c>
      <c r="E690" s="15" t="s">
        <v>5333</v>
      </c>
    </row>
    <row r="691" spans="1:5" ht="25.5" x14ac:dyDescent="0.2">
      <c r="A691" s="14" t="s">
        <v>5334</v>
      </c>
      <c r="B691" s="15" t="s">
        <v>5335</v>
      </c>
      <c r="C691" s="15" t="s">
        <v>5298</v>
      </c>
      <c r="D691" s="15" t="s">
        <v>5299</v>
      </c>
      <c r="E691" s="15" t="s">
        <v>5336</v>
      </c>
    </row>
    <row r="692" spans="1:5" ht="25.5" x14ac:dyDescent="0.2">
      <c r="A692" s="14" t="s">
        <v>5337</v>
      </c>
      <c r="B692" s="15" t="s">
        <v>750</v>
      </c>
      <c r="C692" s="15" t="s">
        <v>5298</v>
      </c>
      <c r="D692" s="15" t="s">
        <v>5299</v>
      </c>
      <c r="E692" s="15" t="s">
        <v>5338</v>
      </c>
    </row>
    <row r="693" spans="1:5" ht="25.5" x14ac:dyDescent="0.2">
      <c r="A693" s="14" t="s">
        <v>5339</v>
      </c>
      <c r="B693" s="15" t="s">
        <v>680</v>
      </c>
      <c r="C693" s="15" t="s">
        <v>5298</v>
      </c>
      <c r="D693" s="15" t="s">
        <v>5299</v>
      </c>
      <c r="E693" s="15" t="s">
        <v>5340</v>
      </c>
    </row>
    <row r="694" spans="1:5" ht="25.5" x14ac:dyDescent="0.2">
      <c r="A694" s="14" t="s">
        <v>5341</v>
      </c>
      <c r="B694" s="15" t="s">
        <v>5342</v>
      </c>
      <c r="C694" s="15" t="s">
        <v>5298</v>
      </c>
      <c r="D694" s="15" t="s">
        <v>5299</v>
      </c>
      <c r="E694" s="15" t="s">
        <v>5343</v>
      </c>
    </row>
    <row r="695" spans="1:5" ht="25.5" x14ac:dyDescent="0.2">
      <c r="A695" s="14" t="s">
        <v>5344</v>
      </c>
      <c r="B695" s="15" t="s">
        <v>5345</v>
      </c>
      <c r="C695" s="15" t="s">
        <v>5298</v>
      </c>
      <c r="D695" s="15" t="s">
        <v>5299</v>
      </c>
      <c r="E695" s="15" t="s">
        <v>5346</v>
      </c>
    </row>
    <row r="696" spans="1:5" ht="25.5" x14ac:dyDescent="0.2">
      <c r="A696" s="14" t="s">
        <v>5347</v>
      </c>
      <c r="B696" s="15" t="s">
        <v>80</v>
      </c>
      <c r="C696" s="15" t="s">
        <v>5308</v>
      </c>
      <c r="D696" s="15" t="s">
        <v>5309</v>
      </c>
      <c r="E696" s="15" t="s">
        <v>5348</v>
      </c>
    </row>
    <row r="697" spans="1:5" ht="25.5" x14ac:dyDescent="0.2">
      <c r="A697" s="14" t="s">
        <v>5349</v>
      </c>
      <c r="B697" s="15" t="s">
        <v>8</v>
      </c>
      <c r="C697" s="15" t="s">
        <v>4764</v>
      </c>
      <c r="D697" s="15" t="s">
        <v>4765</v>
      </c>
      <c r="E697" s="15" t="s">
        <v>5350</v>
      </c>
    </row>
    <row r="698" spans="1:5" ht="25.5" x14ac:dyDescent="0.2">
      <c r="A698" s="14" t="s">
        <v>5351</v>
      </c>
      <c r="B698" s="15" t="s">
        <v>74</v>
      </c>
      <c r="C698" s="15" t="s">
        <v>5352</v>
      </c>
      <c r="D698" s="15" t="s">
        <v>5353</v>
      </c>
      <c r="E698" s="15" t="s">
        <v>5354</v>
      </c>
    </row>
    <row r="699" spans="1:5" ht="25.5" x14ac:dyDescent="0.2">
      <c r="A699" s="14" t="s">
        <v>5355</v>
      </c>
      <c r="B699" s="15" t="s">
        <v>73</v>
      </c>
      <c r="C699" s="15" t="s">
        <v>5352</v>
      </c>
      <c r="D699" s="15" t="s">
        <v>5353</v>
      </c>
      <c r="E699" s="15" t="s">
        <v>5356</v>
      </c>
    </row>
    <row r="700" spans="1:5" ht="25.5" x14ac:dyDescent="0.2">
      <c r="A700" s="14" t="s">
        <v>5357</v>
      </c>
      <c r="B700" s="15" t="s">
        <v>5358</v>
      </c>
      <c r="C700" s="15" t="s">
        <v>3318</v>
      </c>
      <c r="D700" s="15" t="s">
        <v>3319</v>
      </c>
      <c r="E700" s="15" t="s">
        <v>5359</v>
      </c>
    </row>
    <row r="701" spans="1:5" ht="25.5" x14ac:dyDescent="0.2">
      <c r="A701" s="14" t="s">
        <v>5360</v>
      </c>
      <c r="B701" s="15" t="s">
        <v>5361</v>
      </c>
      <c r="C701" s="15" t="s">
        <v>3318</v>
      </c>
      <c r="D701" s="15" t="s">
        <v>3319</v>
      </c>
      <c r="E701" s="15" t="s">
        <v>5362</v>
      </c>
    </row>
    <row r="702" spans="1:5" ht="25.5" x14ac:dyDescent="0.2">
      <c r="A702" s="14" t="s">
        <v>5363</v>
      </c>
      <c r="B702" s="15" t="s">
        <v>5364</v>
      </c>
      <c r="C702" s="15" t="s">
        <v>3318</v>
      </c>
      <c r="D702" s="15" t="s">
        <v>3319</v>
      </c>
      <c r="E702" s="15" t="s">
        <v>5365</v>
      </c>
    </row>
    <row r="703" spans="1:5" ht="25.5" x14ac:dyDescent="0.2">
      <c r="A703" s="14" t="s">
        <v>5366</v>
      </c>
      <c r="B703" s="15" t="s">
        <v>5367</v>
      </c>
      <c r="C703" s="15" t="s">
        <v>3318</v>
      </c>
      <c r="D703" s="15" t="s">
        <v>3319</v>
      </c>
      <c r="E703" s="15" t="s">
        <v>5368</v>
      </c>
    </row>
    <row r="704" spans="1:5" ht="25.5" x14ac:dyDescent="0.2">
      <c r="A704" s="14" t="s">
        <v>5369</v>
      </c>
      <c r="B704" s="15" t="s">
        <v>5370</v>
      </c>
      <c r="C704" s="15" t="s">
        <v>3318</v>
      </c>
      <c r="D704" s="15" t="s">
        <v>3319</v>
      </c>
      <c r="E704" s="15" t="s">
        <v>5371</v>
      </c>
    </row>
    <row r="705" spans="1:5" ht="25.5" x14ac:dyDescent="0.2">
      <c r="A705" s="14" t="s">
        <v>5372</v>
      </c>
      <c r="B705" s="15" t="s">
        <v>5373</v>
      </c>
      <c r="C705" s="15" t="s">
        <v>5231</v>
      </c>
      <c r="D705" s="15" t="s">
        <v>5232</v>
      </c>
      <c r="E705" s="15" t="s">
        <v>5374</v>
      </c>
    </row>
    <row r="706" spans="1:5" ht="25.5" x14ac:dyDescent="0.2">
      <c r="A706" s="14" t="s">
        <v>5375</v>
      </c>
      <c r="B706" s="15" t="s">
        <v>1515</v>
      </c>
      <c r="C706" s="15" t="s">
        <v>3303</v>
      </c>
      <c r="D706" s="15" t="s">
        <v>3304</v>
      </c>
      <c r="E706" s="15" t="s">
        <v>5376</v>
      </c>
    </row>
    <row r="707" spans="1:5" ht="25.5" x14ac:dyDescent="0.2">
      <c r="A707" s="14" t="s">
        <v>5377</v>
      </c>
      <c r="B707" s="15" t="s">
        <v>498</v>
      </c>
      <c r="C707" s="15" t="s">
        <v>3303</v>
      </c>
      <c r="D707" s="15" t="s">
        <v>3304</v>
      </c>
      <c r="E707" s="15" t="s">
        <v>5378</v>
      </c>
    </row>
    <row r="708" spans="1:5" ht="25.5" x14ac:dyDescent="0.2">
      <c r="A708" s="14" t="s">
        <v>5379</v>
      </c>
      <c r="B708" s="15" t="s">
        <v>495</v>
      </c>
      <c r="C708" s="15" t="s">
        <v>3303</v>
      </c>
      <c r="D708" s="15" t="s">
        <v>3304</v>
      </c>
      <c r="E708" s="15" t="s">
        <v>5380</v>
      </c>
    </row>
    <row r="709" spans="1:5" ht="25.5" x14ac:dyDescent="0.2">
      <c r="A709" s="14" t="s">
        <v>5381</v>
      </c>
      <c r="B709" s="15" t="s">
        <v>5382</v>
      </c>
      <c r="C709" s="15" t="s">
        <v>3303</v>
      </c>
      <c r="D709" s="15" t="s">
        <v>3304</v>
      </c>
      <c r="E709" s="15" t="s">
        <v>5383</v>
      </c>
    </row>
    <row r="710" spans="1:5" ht="25.5" x14ac:dyDescent="0.2">
      <c r="A710" s="14" t="s">
        <v>5384</v>
      </c>
      <c r="B710" s="15" t="s">
        <v>562</v>
      </c>
      <c r="C710" s="15" t="s">
        <v>3303</v>
      </c>
      <c r="D710" s="15" t="s">
        <v>3304</v>
      </c>
      <c r="E710" s="15" t="s">
        <v>5385</v>
      </c>
    </row>
    <row r="711" spans="1:5" ht="25.5" x14ac:dyDescent="0.2">
      <c r="A711" s="14" t="s">
        <v>5386</v>
      </c>
      <c r="B711" s="15" t="s">
        <v>5387</v>
      </c>
      <c r="C711" s="15" t="s">
        <v>3303</v>
      </c>
      <c r="D711" s="15" t="s">
        <v>3304</v>
      </c>
      <c r="E711" s="15" t="s">
        <v>5388</v>
      </c>
    </row>
    <row r="712" spans="1:5" ht="25.5" x14ac:dyDescent="0.2">
      <c r="A712" s="14" t="s">
        <v>5389</v>
      </c>
      <c r="B712" s="15" t="s">
        <v>123</v>
      </c>
      <c r="C712" s="15" t="s">
        <v>5390</v>
      </c>
      <c r="D712" s="15" t="s">
        <v>5391</v>
      </c>
      <c r="E712" s="15" t="s">
        <v>5392</v>
      </c>
    </row>
    <row r="713" spans="1:5" ht="25.5" x14ac:dyDescent="0.2">
      <c r="A713" s="14" t="s">
        <v>5393</v>
      </c>
      <c r="B713" s="15" t="s">
        <v>5394</v>
      </c>
      <c r="C713" s="15" t="s">
        <v>5395</v>
      </c>
      <c r="D713" s="15" t="s">
        <v>5396</v>
      </c>
      <c r="E713" s="15" t="s">
        <v>5397</v>
      </c>
    </row>
    <row r="714" spans="1:5" ht="25.5" x14ac:dyDescent="0.2">
      <c r="A714" s="14" t="s">
        <v>5398</v>
      </c>
      <c r="B714" s="15" t="s">
        <v>1570</v>
      </c>
      <c r="C714" s="15" t="s">
        <v>4345</v>
      </c>
      <c r="D714" s="15" t="s">
        <v>4346</v>
      </c>
      <c r="E714" s="15" t="s">
        <v>5399</v>
      </c>
    </row>
    <row r="715" spans="1:5" ht="25.5" x14ac:dyDescent="0.2">
      <c r="A715" s="14" t="s">
        <v>5400</v>
      </c>
      <c r="B715" s="15" t="s">
        <v>5401</v>
      </c>
      <c r="C715" s="15" t="s">
        <v>5252</v>
      </c>
      <c r="D715" s="15" t="s">
        <v>5253</v>
      </c>
      <c r="E715" s="15" t="s">
        <v>5402</v>
      </c>
    </row>
    <row r="716" spans="1:5" ht="25.5" x14ac:dyDescent="0.2">
      <c r="A716" s="14" t="s">
        <v>5403</v>
      </c>
      <c r="B716" s="15" t="s">
        <v>834</v>
      </c>
      <c r="C716" s="15" t="s">
        <v>5404</v>
      </c>
      <c r="D716" s="15" t="s">
        <v>5405</v>
      </c>
      <c r="E716" s="15" t="s">
        <v>5406</v>
      </c>
    </row>
    <row r="717" spans="1:5" ht="25.5" x14ac:dyDescent="0.2">
      <c r="A717" s="14" t="s">
        <v>5407</v>
      </c>
      <c r="B717" s="15" t="s">
        <v>5408</v>
      </c>
      <c r="C717" s="15" t="s">
        <v>5409</v>
      </c>
      <c r="D717" s="15" t="s">
        <v>5410</v>
      </c>
      <c r="E717" s="15" t="s">
        <v>5411</v>
      </c>
    </row>
    <row r="718" spans="1:5" ht="25.5" x14ac:dyDescent="0.2">
      <c r="A718" s="14" t="s">
        <v>5412</v>
      </c>
      <c r="B718" s="15" t="s">
        <v>5413</v>
      </c>
      <c r="C718" s="15" t="s">
        <v>5409</v>
      </c>
      <c r="D718" s="15" t="s">
        <v>5410</v>
      </c>
      <c r="E718" s="15" t="s">
        <v>5414</v>
      </c>
    </row>
    <row r="719" spans="1:5" ht="25.5" x14ac:dyDescent="0.2">
      <c r="A719" s="14" t="s">
        <v>5415</v>
      </c>
      <c r="B719" s="15" t="s">
        <v>5416</v>
      </c>
      <c r="C719" s="15" t="s">
        <v>5417</v>
      </c>
      <c r="D719" s="15" t="s">
        <v>5418</v>
      </c>
      <c r="E719" s="15" t="s">
        <v>5419</v>
      </c>
    </row>
    <row r="720" spans="1:5" ht="25.5" x14ac:dyDescent="0.2">
      <c r="A720" s="14" t="s">
        <v>5420</v>
      </c>
      <c r="B720" s="15" t="s">
        <v>5421</v>
      </c>
      <c r="C720" s="15" t="s">
        <v>5422</v>
      </c>
      <c r="D720" s="15" t="s">
        <v>5423</v>
      </c>
      <c r="E720" s="15" t="s">
        <v>5424</v>
      </c>
    </row>
    <row r="721" spans="1:5" ht="25.5" x14ac:dyDescent="0.2">
      <c r="A721" s="14" t="s">
        <v>5425</v>
      </c>
      <c r="B721" s="15" t="s">
        <v>1447</v>
      </c>
      <c r="C721" s="15" t="s">
        <v>5426</v>
      </c>
      <c r="D721" s="15" t="s">
        <v>5427</v>
      </c>
      <c r="E721" s="15" t="s">
        <v>5428</v>
      </c>
    </row>
    <row r="722" spans="1:5" ht="25.5" x14ac:dyDescent="0.2">
      <c r="A722" s="14" t="s">
        <v>5429</v>
      </c>
      <c r="B722" s="15" t="s">
        <v>5430</v>
      </c>
      <c r="C722" s="15" t="s">
        <v>5426</v>
      </c>
      <c r="D722" s="15" t="s">
        <v>5427</v>
      </c>
      <c r="E722" s="15" t="s">
        <v>5431</v>
      </c>
    </row>
    <row r="723" spans="1:5" ht="25.5" x14ac:dyDescent="0.2">
      <c r="A723" s="14" t="s">
        <v>5432</v>
      </c>
      <c r="B723" s="15" t="s">
        <v>53</v>
      </c>
      <c r="C723" s="15" t="s">
        <v>5426</v>
      </c>
      <c r="D723" s="15" t="s">
        <v>5427</v>
      </c>
      <c r="E723" s="15" t="s">
        <v>5433</v>
      </c>
    </row>
    <row r="724" spans="1:5" ht="25.5" x14ac:dyDescent="0.2">
      <c r="A724" s="14" t="s">
        <v>5434</v>
      </c>
      <c r="B724" s="15" t="s">
        <v>1554</v>
      </c>
      <c r="C724" s="15" t="s">
        <v>5426</v>
      </c>
      <c r="D724" s="15" t="s">
        <v>5427</v>
      </c>
      <c r="E724" s="15" t="s">
        <v>5435</v>
      </c>
    </row>
    <row r="725" spans="1:5" ht="25.5" x14ac:dyDescent="0.2">
      <c r="A725" s="14" t="s">
        <v>5436</v>
      </c>
      <c r="B725" s="15" t="s">
        <v>1444</v>
      </c>
      <c r="C725" s="15" t="s">
        <v>5426</v>
      </c>
      <c r="D725" s="15" t="s">
        <v>5427</v>
      </c>
      <c r="E725" s="15" t="s">
        <v>5437</v>
      </c>
    </row>
    <row r="726" spans="1:5" ht="25.5" x14ac:dyDescent="0.2">
      <c r="A726" s="14" t="s">
        <v>5438</v>
      </c>
      <c r="B726" s="15" t="s">
        <v>1557</v>
      </c>
      <c r="C726" s="15" t="s">
        <v>5422</v>
      </c>
      <c r="D726" s="15" t="s">
        <v>5423</v>
      </c>
      <c r="E726" s="15" t="s">
        <v>5439</v>
      </c>
    </row>
    <row r="727" spans="1:5" ht="25.5" x14ac:dyDescent="0.2">
      <c r="A727" s="14" t="s">
        <v>5440</v>
      </c>
      <c r="B727" s="15" t="s">
        <v>5441</v>
      </c>
      <c r="C727" s="15" t="s">
        <v>5426</v>
      </c>
      <c r="D727" s="15" t="s">
        <v>5427</v>
      </c>
      <c r="E727" s="15" t="s">
        <v>5442</v>
      </c>
    </row>
    <row r="728" spans="1:5" ht="25.5" x14ac:dyDescent="0.2">
      <c r="A728" s="14" t="s">
        <v>5443</v>
      </c>
      <c r="B728" s="15" t="s">
        <v>7</v>
      </c>
      <c r="C728" s="15" t="s">
        <v>5422</v>
      </c>
      <c r="D728" s="15" t="s">
        <v>5423</v>
      </c>
      <c r="E728" s="15" t="s">
        <v>5444</v>
      </c>
    </row>
    <row r="729" spans="1:5" ht="25.5" x14ac:dyDescent="0.2">
      <c r="A729" s="14" t="s">
        <v>5445</v>
      </c>
      <c r="B729" s="15" t="s">
        <v>1335</v>
      </c>
      <c r="C729" s="15" t="s">
        <v>5446</v>
      </c>
      <c r="D729" s="15" t="s">
        <v>5447</v>
      </c>
      <c r="E729" s="15" t="s">
        <v>5448</v>
      </c>
    </row>
    <row r="730" spans="1:5" ht="25.5" x14ac:dyDescent="0.2">
      <c r="A730" s="14" t="s">
        <v>5449</v>
      </c>
      <c r="B730" s="15" t="s">
        <v>1326</v>
      </c>
      <c r="C730" s="15" t="s">
        <v>5446</v>
      </c>
      <c r="D730" s="15" t="s">
        <v>5447</v>
      </c>
      <c r="E730" s="15" t="s">
        <v>5450</v>
      </c>
    </row>
    <row r="731" spans="1:5" ht="25.5" x14ac:dyDescent="0.2">
      <c r="A731" s="14" t="s">
        <v>5451</v>
      </c>
      <c r="B731" s="15" t="s">
        <v>1327</v>
      </c>
      <c r="C731" s="15" t="s">
        <v>5446</v>
      </c>
      <c r="D731" s="15" t="s">
        <v>5447</v>
      </c>
      <c r="E731" s="15" t="s">
        <v>5452</v>
      </c>
    </row>
    <row r="732" spans="1:5" ht="25.5" x14ac:dyDescent="0.2">
      <c r="A732" s="14" t="s">
        <v>5453</v>
      </c>
      <c r="B732" s="15" t="s">
        <v>1333</v>
      </c>
      <c r="C732" s="15" t="s">
        <v>5446</v>
      </c>
      <c r="D732" s="15" t="s">
        <v>5447</v>
      </c>
      <c r="E732" s="15" t="s">
        <v>5454</v>
      </c>
    </row>
    <row r="733" spans="1:5" ht="25.5" x14ac:dyDescent="0.2">
      <c r="A733" s="14" t="s">
        <v>5455</v>
      </c>
      <c r="B733" s="15" t="s">
        <v>1334</v>
      </c>
      <c r="C733" s="15" t="s">
        <v>5446</v>
      </c>
      <c r="D733" s="15" t="s">
        <v>5447</v>
      </c>
      <c r="E733" s="15" t="s">
        <v>5456</v>
      </c>
    </row>
    <row r="734" spans="1:5" ht="25.5" x14ac:dyDescent="0.2">
      <c r="A734" s="14" t="s">
        <v>5457</v>
      </c>
      <c r="B734" s="15" t="s">
        <v>5458</v>
      </c>
      <c r="C734" s="15" t="s">
        <v>5459</v>
      </c>
      <c r="D734" s="15" t="s">
        <v>5460</v>
      </c>
      <c r="E734" s="15" t="s">
        <v>5461</v>
      </c>
    </row>
    <row r="735" spans="1:5" ht="25.5" x14ac:dyDescent="0.2">
      <c r="A735" s="14" t="s">
        <v>5462</v>
      </c>
      <c r="B735" s="15" t="s">
        <v>5463</v>
      </c>
      <c r="C735" s="15" t="s">
        <v>3303</v>
      </c>
      <c r="D735" s="15" t="s">
        <v>3304</v>
      </c>
      <c r="E735" s="15" t="s">
        <v>5464</v>
      </c>
    </row>
    <row r="736" spans="1:5" ht="25.5" x14ac:dyDescent="0.2">
      <c r="A736" s="14" t="s">
        <v>5465</v>
      </c>
      <c r="B736" s="15" t="s">
        <v>5466</v>
      </c>
      <c r="C736" s="15" t="s">
        <v>5202</v>
      </c>
      <c r="D736" s="15" t="s">
        <v>5203</v>
      </c>
      <c r="E736" s="15" t="s">
        <v>5467</v>
      </c>
    </row>
    <row r="737" spans="1:5" ht="25.5" x14ac:dyDescent="0.2">
      <c r="A737" s="14" t="s">
        <v>5468</v>
      </c>
      <c r="B737" s="15" t="s">
        <v>1654</v>
      </c>
      <c r="C737" s="15" t="s">
        <v>4253</v>
      </c>
      <c r="D737" s="15" t="s">
        <v>4254</v>
      </c>
      <c r="E737" s="15" t="s">
        <v>5469</v>
      </c>
    </row>
    <row r="738" spans="1:5" ht="25.5" x14ac:dyDescent="0.2">
      <c r="A738" s="14" t="s">
        <v>5470</v>
      </c>
      <c r="B738" s="15" t="s">
        <v>1523</v>
      </c>
      <c r="C738" s="15" t="s">
        <v>5145</v>
      </c>
      <c r="D738" s="15" t="s">
        <v>5146</v>
      </c>
      <c r="E738" s="15" t="s">
        <v>5471</v>
      </c>
    </row>
    <row r="739" spans="1:5" ht="25.5" x14ac:dyDescent="0.2">
      <c r="A739" s="14" t="s">
        <v>5472</v>
      </c>
      <c r="B739" s="15" t="s">
        <v>5473</v>
      </c>
      <c r="C739" s="15" t="s">
        <v>4097</v>
      </c>
      <c r="D739" s="15" t="s">
        <v>4098</v>
      </c>
      <c r="E739" s="15" t="s">
        <v>5474</v>
      </c>
    </row>
    <row r="740" spans="1:5" ht="25.5" x14ac:dyDescent="0.2">
      <c r="A740" s="14" t="s">
        <v>5475</v>
      </c>
      <c r="B740" s="15" t="s">
        <v>5476</v>
      </c>
      <c r="C740" s="15" t="s">
        <v>4097</v>
      </c>
      <c r="D740" s="15" t="s">
        <v>4098</v>
      </c>
      <c r="E740" s="15" t="s">
        <v>5477</v>
      </c>
    </row>
    <row r="741" spans="1:5" ht="25.5" x14ac:dyDescent="0.2">
      <c r="A741" s="14" t="s">
        <v>5478</v>
      </c>
      <c r="B741" s="15" t="s">
        <v>5479</v>
      </c>
      <c r="C741" s="15" t="s">
        <v>4097</v>
      </c>
      <c r="D741" s="15" t="s">
        <v>4098</v>
      </c>
      <c r="E741" s="15" t="s">
        <v>5480</v>
      </c>
    </row>
    <row r="742" spans="1:5" ht="25.5" x14ac:dyDescent="0.2">
      <c r="A742" s="14" t="s">
        <v>5481</v>
      </c>
      <c r="B742" s="15" t="s">
        <v>5482</v>
      </c>
      <c r="C742" s="15" t="s">
        <v>4097</v>
      </c>
      <c r="D742" s="15" t="s">
        <v>4098</v>
      </c>
      <c r="E742" s="15" t="s">
        <v>5483</v>
      </c>
    </row>
    <row r="743" spans="1:5" ht="25.5" x14ac:dyDescent="0.2">
      <c r="A743" s="14" t="s">
        <v>5484</v>
      </c>
      <c r="B743" s="15" t="s">
        <v>5485</v>
      </c>
      <c r="C743" s="15" t="s">
        <v>4097</v>
      </c>
      <c r="D743" s="15" t="s">
        <v>4098</v>
      </c>
      <c r="E743" s="15" t="s">
        <v>5486</v>
      </c>
    </row>
    <row r="744" spans="1:5" ht="25.5" x14ac:dyDescent="0.2">
      <c r="A744" s="14" t="s">
        <v>5487</v>
      </c>
      <c r="B744" s="15" t="s">
        <v>5488</v>
      </c>
      <c r="C744" s="15" t="s">
        <v>4097</v>
      </c>
      <c r="D744" s="15" t="s">
        <v>4098</v>
      </c>
      <c r="E744" s="15" t="s">
        <v>5489</v>
      </c>
    </row>
    <row r="745" spans="1:5" ht="25.5" x14ac:dyDescent="0.2">
      <c r="A745" s="14" t="s">
        <v>5490</v>
      </c>
      <c r="B745" s="15" t="s">
        <v>5491</v>
      </c>
      <c r="C745" s="15" t="s">
        <v>4097</v>
      </c>
      <c r="D745" s="15" t="s">
        <v>4098</v>
      </c>
      <c r="E745" s="15" t="s">
        <v>5492</v>
      </c>
    </row>
    <row r="746" spans="1:5" ht="25.5" x14ac:dyDescent="0.2">
      <c r="A746" s="14" t="s">
        <v>5493</v>
      </c>
      <c r="B746" s="15" t="s">
        <v>5494</v>
      </c>
      <c r="C746" s="15" t="s">
        <v>4246</v>
      </c>
      <c r="D746" s="15" t="s">
        <v>4247</v>
      </c>
      <c r="E746" s="15" t="s">
        <v>5495</v>
      </c>
    </row>
    <row r="747" spans="1:5" ht="25.5" x14ac:dyDescent="0.2">
      <c r="A747" s="14" t="s">
        <v>5496</v>
      </c>
      <c r="B747" s="15" t="s">
        <v>5497</v>
      </c>
      <c r="C747" s="15" t="s">
        <v>5498</v>
      </c>
      <c r="D747" s="15" t="s">
        <v>5499</v>
      </c>
      <c r="E747" s="15" t="s">
        <v>5500</v>
      </c>
    </row>
    <row r="748" spans="1:5" ht="25.5" x14ac:dyDescent="0.2">
      <c r="A748" s="14" t="s">
        <v>5501</v>
      </c>
      <c r="B748" s="15" t="s">
        <v>537</v>
      </c>
      <c r="C748" s="15" t="s">
        <v>5502</v>
      </c>
      <c r="D748" s="15" t="s">
        <v>5503</v>
      </c>
      <c r="E748" s="15" t="s">
        <v>5504</v>
      </c>
    </row>
    <row r="749" spans="1:5" ht="25.5" x14ac:dyDescent="0.2">
      <c r="A749" s="14" t="s">
        <v>5505</v>
      </c>
      <c r="B749" s="15" t="s">
        <v>5506</v>
      </c>
      <c r="C749" s="15" t="s">
        <v>5507</v>
      </c>
      <c r="D749" s="15" t="s">
        <v>5508</v>
      </c>
      <c r="E749" s="15" t="s">
        <v>5509</v>
      </c>
    </row>
    <row r="750" spans="1:5" ht="25.5" x14ac:dyDescent="0.2">
      <c r="A750" s="14" t="s">
        <v>5510</v>
      </c>
      <c r="B750" s="15" t="s">
        <v>5511</v>
      </c>
      <c r="C750" s="15" t="s">
        <v>4097</v>
      </c>
      <c r="D750" s="15" t="s">
        <v>4098</v>
      </c>
      <c r="E750" s="15" t="s">
        <v>5512</v>
      </c>
    </row>
    <row r="751" spans="1:5" ht="25.5" x14ac:dyDescent="0.2">
      <c r="A751" s="14" t="s">
        <v>5513</v>
      </c>
      <c r="B751" s="15" t="s">
        <v>5514</v>
      </c>
      <c r="C751" s="15" t="s">
        <v>5515</v>
      </c>
      <c r="D751" s="15" t="s">
        <v>5516</v>
      </c>
      <c r="E751" s="15" t="s">
        <v>5517</v>
      </c>
    </row>
    <row r="752" spans="1:5" ht="25.5" x14ac:dyDescent="0.2">
      <c r="A752" s="14" t="s">
        <v>5518</v>
      </c>
      <c r="B752" s="15" t="s">
        <v>5519</v>
      </c>
      <c r="C752" s="15" t="s">
        <v>4097</v>
      </c>
      <c r="D752" s="15" t="s">
        <v>4098</v>
      </c>
      <c r="E752" s="15" t="s">
        <v>5520</v>
      </c>
    </row>
    <row r="753" spans="1:5" ht="38.25" x14ac:dyDescent="0.2">
      <c r="A753" s="14" t="s">
        <v>5521</v>
      </c>
      <c r="B753" s="15" t="s">
        <v>5522</v>
      </c>
      <c r="C753" s="15" t="s">
        <v>4349</v>
      </c>
      <c r="D753" s="15" t="s">
        <v>4350</v>
      </c>
      <c r="E753" s="15" t="s">
        <v>5523</v>
      </c>
    </row>
    <row r="754" spans="1:5" ht="25.5" x14ac:dyDescent="0.2">
      <c r="A754" s="14" t="s">
        <v>5524</v>
      </c>
      <c r="B754" s="15" t="s">
        <v>1097</v>
      </c>
      <c r="C754" s="15" t="s">
        <v>4349</v>
      </c>
      <c r="D754" s="15" t="s">
        <v>4350</v>
      </c>
      <c r="E754" s="15" t="s">
        <v>5525</v>
      </c>
    </row>
    <row r="755" spans="1:5" ht="25.5" x14ac:dyDescent="0.2">
      <c r="A755" s="14" t="s">
        <v>5526</v>
      </c>
      <c r="B755" s="15" t="s">
        <v>5527</v>
      </c>
      <c r="C755" s="15" t="s">
        <v>4349</v>
      </c>
      <c r="D755" s="15" t="s">
        <v>4350</v>
      </c>
      <c r="E755" s="15" t="s">
        <v>5528</v>
      </c>
    </row>
    <row r="756" spans="1:5" ht="25.5" x14ac:dyDescent="0.2">
      <c r="A756" s="14" t="s">
        <v>5529</v>
      </c>
      <c r="B756" s="15" t="s">
        <v>5530</v>
      </c>
      <c r="C756" s="15" t="s">
        <v>4104</v>
      </c>
      <c r="D756" s="15" t="s">
        <v>4105</v>
      </c>
      <c r="E756" s="15" t="s">
        <v>5531</v>
      </c>
    </row>
    <row r="757" spans="1:5" ht="25.5" x14ac:dyDescent="0.2">
      <c r="A757" s="14" t="s">
        <v>5532</v>
      </c>
      <c r="B757" s="15" t="s">
        <v>5533</v>
      </c>
      <c r="C757" s="15" t="s">
        <v>4104</v>
      </c>
      <c r="D757" s="15" t="s">
        <v>4105</v>
      </c>
      <c r="E757" s="15" t="s">
        <v>5534</v>
      </c>
    </row>
    <row r="758" spans="1:5" ht="25.5" x14ac:dyDescent="0.2">
      <c r="A758" s="14" t="s">
        <v>5535</v>
      </c>
      <c r="B758" s="15" t="s">
        <v>5536</v>
      </c>
      <c r="C758" s="15" t="s">
        <v>4104</v>
      </c>
      <c r="D758" s="15" t="s">
        <v>4105</v>
      </c>
      <c r="E758" s="15" t="s">
        <v>5537</v>
      </c>
    </row>
    <row r="759" spans="1:5" ht="25.5" x14ac:dyDescent="0.2">
      <c r="A759" s="14" t="s">
        <v>5538</v>
      </c>
      <c r="B759" s="15" t="s">
        <v>5539</v>
      </c>
      <c r="C759" s="15" t="s">
        <v>4104</v>
      </c>
      <c r="D759" s="15" t="s">
        <v>4105</v>
      </c>
      <c r="E759" s="15" t="s">
        <v>5540</v>
      </c>
    </row>
    <row r="760" spans="1:5" ht="25.5" x14ac:dyDescent="0.2">
      <c r="A760" s="14" t="s">
        <v>5541</v>
      </c>
      <c r="B760" s="15" t="s">
        <v>5542</v>
      </c>
      <c r="C760" s="15" t="s">
        <v>4104</v>
      </c>
      <c r="D760" s="15" t="s">
        <v>4105</v>
      </c>
      <c r="E760" s="15" t="s">
        <v>5543</v>
      </c>
    </row>
    <row r="761" spans="1:5" ht="25.5" x14ac:dyDescent="0.2">
      <c r="A761" s="14" t="s">
        <v>5544</v>
      </c>
      <c r="B761" s="15" t="s">
        <v>5545</v>
      </c>
      <c r="C761" s="15" t="s">
        <v>5546</v>
      </c>
      <c r="D761" s="15" t="s">
        <v>5547</v>
      </c>
      <c r="E761" s="15" t="s">
        <v>5548</v>
      </c>
    </row>
    <row r="762" spans="1:5" ht="25.5" x14ac:dyDescent="0.2">
      <c r="A762" s="14" t="s">
        <v>5549</v>
      </c>
      <c r="B762" s="15" t="s">
        <v>5550</v>
      </c>
      <c r="C762" s="15" t="s">
        <v>5546</v>
      </c>
      <c r="D762" s="15" t="s">
        <v>5547</v>
      </c>
      <c r="E762" s="15" t="s">
        <v>5551</v>
      </c>
    </row>
    <row r="763" spans="1:5" ht="25.5" x14ac:dyDescent="0.2">
      <c r="A763" s="14" t="s">
        <v>5552</v>
      </c>
      <c r="B763" s="15" t="s">
        <v>5553</v>
      </c>
      <c r="C763" s="15" t="s">
        <v>5546</v>
      </c>
      <c r="D763" s="15" t="s">
        <v>5547</v>
      </c>
      <c r="E763" s="15" t="s">
        <v>5554</v>
      </c>
    </row>
    <row r="764" spans="1:5" ht="25.5" x14ac:dyDescent="0.2">
      <c r="A764" s="14" t="s">
        <v>5555</v>
      </c>
      <c r="B764" s="15" t="s">
        <v>5556</v>
      </c>
      <c r="C764" s="15" t="s">
        <v>5557</v>
      </c>
      <c r="D764" s="15" t="s">
        <v>5558</v>
      </c>
      <c r="E764" s="15" t="s">
        <v>5559</v>
      </c>
    </row>
    <row r="765" spans="1:5" ht="25.5" x14ac:dyDescent="0.2">
      <c r="A765" s="14" t="s">
        <v>5560</v>
      </c>
      <c r="B765" s="15" t="s">
        <v>5561</v>
      </c>
      <c r="C765" s="15" t="s">
        <v>5557</v>
      </c>
      <c r="D765" s="15" t="s">
        <v>5558</v>
      </c>
      <c r="E765" s="15" t="s">
        <v>5562</v>
      </c>
    </row>
    <row r="766" spans="1:5" ht="25.5" x14ac:dyDescent="0.2">
      <c r="A766" s="14" t="s">
        <v>5563</v>
      </c>
      <c r="B766" s="15" t="s">
        <v>714</v>
      </c>
      <c r="C766" s="15" t="s">
        <v>4273</v>
      </c>
      <c r="D766" s="15" t="s">
        <v>4274</v>
      </c>
      <c r="E766" s="15" t="s">
        <v>5564</v>
      </c>
    </row>
    <row r="767" spans="1:5" ht="25.5" x14ac:dyDescent="0.2">
      <c r="A767" s="14" t="s">
        <v>5565</v>
      </c>
      <c r="B767" s="15" t="s">
        <v>5566</v>
      </c>
      <c r="C767" s="15" t="s">
        <v>4253</v>
      </c>
      <c r="D767" s="15" t="s">
        <v>4254</v>
      </c>
      <c r="E767" s="15" t="s">
        <v>5567</v>
      </c>
    </row>
    <row r="768" spans="1:5" ht="25.5" x14ac:dyDescent="0.2">
      <c r="A768" s="14" t="s">
        <v>5568</v>
      </c>
      <c r="B768" s="15" t="s">
        <v>5569</v>
      </c>
      <c r="C768" s="15" t="s">
        <v>4253</v>
      </c>
      <c r="D768" s="15" t="s">
        <v>4254</v>
      </c>
      <c r="E768" s="15" t="s">
        <v>5570</v>
      </c>
    </row>
    <row r="769" spans="1:5" ht="25.5" x14ac:dyDescent="0.2">
      <c r="A769" s="14" t="s">
        <v>5571</v>
      </c>
      <c r="B769" s="15" t="s">
        <v>5572</v>
      </c>
      <c r="C769" s="15" t="s">
        <v>4253</v>
      </c>
      <c r="D769" s="15" t="s">
        <v>4254</v>
      </c>
      <c r="E769" s="15" t="s">
        <v>5573</v>
      </c>
    </row>
    <row r="770" spans="1:5" ht="25.5" x14ac:dyDescent="0.2">
      <c r="A770" s="14" t="s">
        <v>5574</v>
      </c>
      <c r="B770" s="15" t="s">
        <v>1613</v>
      </c>
      <c r="C770" s="15" t="s">
        <v>4390</v>
      </c>
      <c r="D770" s="15" t="s">
        <v>4391</v>
      </c>
      <c r="E770" s="15" t="s">
        <v>5575</v>
      </c>
    </row>
    <row r="771" spans="1:5" ht="25.5" x14ac:dyDescent="0.2">
      <c r="A771" s="14" t="s">
        <v>5576</v>
      </c>
      <c r="B771" s="15" t="s">
        <v>459</v>
      </c>
      <c r="C771" s="15" t="s">
        <v>5577</v>
      </c>
      <c r="D771" s="15" t="s">
        <v>5578</v>
      </c>
      <c r="E771" s="15" t="s">
        <v>5579</v>
      </c>
    </row>
    <row r="772" spans="1:5" ht="25.5" x14ac:dyDescent="0.2">
      <c r="A772" s="14" t="s">
        <v>5580</v>
      </c>
      <c r="B772" s="15" t="s">
        <v>16</v>
      </c>
      <c r="C772" s="15" t="s">
        <v>5231</v>
      </c>
      <c r="D772" s="15" t="s">
        <v>5232</v>
      </c>
      <c r="E772" s="15" t="s">
        <v>5581</v>
      </c>
    </row>
    <row r="773" spans="1:5" ht="25.5" x14ac:dyDescent="0.2">
      <c r="A773" s="14" t="s">
        <v>5582</v>
      </c>
      <c r="B773" s="15" t="s">
        <v>1296</v>
      </c>
      <c r="C773" s="15" t="s">
        <v>5583</v>
      </c>
      <c r="D773" s="15" t="s">
        <v>5584</v>
      </c>
      <c r="E773" s="15" t="s">
        <v>5585</v>
      </c>
    </row>
    <row r="774" spans="1:5" ht="25.5" x14ac:dyDescent="0.2">
      <c r="A774" s="14" t="s">
        <v>5586</v>
      </c>
      <c r="B774" s="15" t="s">
        <v>619</v>
      </c>
      <c r="C774" s="15" t="s">
        <v>5583</v>
      </c>
      <c r="D774" s="15" t="s">
        <v>5584</v>
      </c>
      <c r="E774" s="15" t="s">
        <v>5587</v>
      </c>
    </row>
    <row r="775" spans="1:5" ht="25.5" x14ac:dyDescent="0.2">
      <c r="A775" s="14" t="s">
        <v>5588</v>
      </c>
      <c r="B775" s="15" t="s">
        <v>1572</v>
      </c>
      <c r="C775" s="15" t="s">
        <v>5583</v>
      </c>
      <c r="D775" s="15" t="s">
        <v>5584</v>
      </c>
      <c r="E775" s="15" t="s">
        <v>5589</v>
      </c>
    </row>
    <row r="776" spans="1:5" ht="25.5" x14ac:dyDescent="0.2">
      <c r="A776" s="14" t="s">
        <v>5590</v>
      </c>
      <c r="B776" s="15" t="s">
        <v>1295</v>
      </c>
      <c r="C776" s="15" t="s">
        <v>5583</v>
      </c>
      <c r="D776" s="15" t="s">
        <v>5584</v>
      </c>
      <c r="E776" s="15" t="s">
        <v>5591</v>
      </c>
    </row>
    <row r="777" spans="1:5" ht="25.5" x14ac:dyDescent="0.2">
      <c r="A777" s="14" t="s">
        <v>5592</v>
      </c>
      <c r="B777" s="15" t="s">
        <v>411</v>
      </c>
      <c r="C777" s="15" t="s">
        <v>5583</v>
      </c>
      <c r="D777" s="15" t="s">
        <v>5584</v>
      </c>
      <c r="E777" s="15" t="s">
        <v>5593</v>
      </c>
    </row>
    <row r="778" spans="1:5" ht="25.5" x14ac:dyDescent="0.2">
      <c r="A778" s="14" t="s">
        <v>5594</v>
      </c>
      <c r="B778" s="15" t="s">
        <v>5595</v>
      </c>
      <c r="C778" s="15" t="s">
        <v>5583</v>
      </c>
      <c r="D778" s="15" t="s">
        <v>5584</v>
      </c>
      <c r="E778" s="15" t="s">
        <v>5596</v>
      </c>
    </row>
    <row r="779" spans="1:5" ht="25.5" x14ac:dyDescent="0.2">
      <c r="A779" s="14" t="s">
        <v>5597</v>
      </c>
      <c r="B779" s="15" t="s">
        <v>1095</v>
      </c>
      <c r="C779" s="15" t="s">
        <v>5583</v>
      </c>
      <c r="D779" s="15" t="s">
        <v>5584</v>
      </c>
      <c r="E779" s="15" t="s">
        <v>5598</v>
      </c>
    </row>
    <row r="780" spans="1:5" ht="25.5" x14ac:dyDescent="0.2">
      <c r="A780" s="14" t="s">
        <v>5599</v>
      </c>
      <c r="B780" s="15" t="s">
        <v>704</v>
      </c>
      <c r="C780" s="15" t="s">
        <v>5583</v>
      </c>
      <c r="D780" s="15" t="s">
        <v>5584</v>
      </c>
      <c r="E780" s="15" t="s">
        <v>5600</v>
      </c>
    </row>
    <row r="781" spans="1:5" ht="25.5" x14ac:dyDescent="0.2">
      <c r="A781" s="14" t="s">
        <v>5601</v>
      </c>
      <c r="B781" s="15" t="s">
        <v>819</v>
      </c>
      <c r="C781" s="15" t="s">
        <v>5583</v>
      </c>
      <c r="D781" s="15" t="s">
        <v>5584</v>
      </c>
      <c r="E781" s="15" t="s">
        <v>5602</v>
      </c>
    </row>
    <row r="782" spans="1:5" ht="25.5" x14ac:dyDescent="0.2">
      <c r="A782" s="14" t="s">
        <v>5603</v>
      </c>
      <c r="B782" s="15" t="s">
        <v>412</v>
      </c>
      <c r="C782" s="15" t="s">
        <v>5583</v>
      </c>
      <c r="D782" s="15" t="s">
        <v>5584</v>
      </c>
      <c r="E782" s="15" t="s">
        <v>5604</v>
      </c>
    </row>
    <row r="783" spans="1:5" ht="25.5" x14ac:dyDescent="0.2">
      <c r="A783" s="14" t="s">
        <v>5605</v>
      </c>
      <c r="B783" s="15" t="s">
        <v>143</v>
      </c>
      <c r="C783" s="15" t="s">
        <v>5583</v>
      </c>
      <c r="D783" s="15" t="s">
        <v>5584</v>
      </c>
      <c r="E783" s="15" t="s">
        <v>5606</v>
      </c>
    </row>
    <row r="784" spans="1:5" ht="25.5" x14ac:dyDescent="0.2">
      <c r="A784" s="14" t="s">
        <v>5607</v>
      </c>
      <c r="B784" s="15" t="s">
        <v>5608</v>
      </c>
      <c r="C784" s="15" t="s">
        <v>5583</v>
      </c>
      <c r="D784" s="15" t="s">
        <v>5584</v>
      </c>
      <c r="E784" s="15" t="s">
        <v>5609</v>
      </c>
    </row>
    <row r="785" spans="1:5" ht="25.5" x14ac:dyDescent="0.2">
      <c r="A785" s="14" t="s">
        <v>5610</v>
      </c>
      <c r="B785" s="15" t="s">
        <v>753</v>
      </c>
      <c r="C785" s="15" t="s">
        <v>5583</v>
      </c>
      <c r="D785" s="15" t="s">
        <v>5584</v>
      </c>
      <c r="E785" s="15" t="s">
        <v>5611</v>
      </c>
    </row>
    <row r="786" spans="1:5" ht="25.5" x14ac:dyDescent="0.2">
      <c r="A786" s="14" t="s">
        <v>5612</v>
      </c>
      <c r="B786" s="15" t="s">
        <v>5613</v>
      </c>
      <c r="C786" s="15" t="s">
        <v>5583</v>
      </c>
      <c r="D786" s="15" t="s">
        <v>5584</v>
      </c>
      <c r="E786" s="15" t="s">
        <v>5614</v>
      </c>
    </row>
    <row r="787" spans="1:5" ht="25.5" x14ac:dyDescent="0.2">
      <c r="A787" s="14" t="s">
        <v>5615</v>
      </c>
      <c r="B787" s="15" t="s">
        <v>478</v>
      </c>
      <c r="C787" s="15" t="s">
        <v>5583</v>
      </c>
      <c r="D787" s="15" t="s">
        <v>5584</v>
      </c>
      <c r="E787" s="15" t="s">
        <v>5616</v>
      </c>
    </row>
    <row r="788" spans="1:5" ht="25.5" x14ac:dyDescent="0.2">
      <c r="A788" s="14" t="s">
        <v>5617</v>
      </c>
      <c r="B788" s="15" t="s">
        <v>447</v>
      </c>
      <c r="C788" s="15" t="s">
        <v>5618</v>
      </c>
      <c r="D788" s="15" t="s">
        <v>5619</v>
      </c>
      <c r="E788" s="15" t="s">
        <v>5620</v>
      </c>
    </row>
    <row r="789" spans="1:5" ht="25.5" x14ac:dyDescent="0.2">
      <c r="A789" s="14" t="s">
        <v>5621</v>
      </c>
      <c r="B789" s="15" t="s">
        <v>413</v>
      </c>
      <c r="C789" s="15" t="s">
        <v>5231</v>
      </c>
      <c r="D789" s="15" t="s">
        <v>5232</v>
      </c>
      <c r="E789" s="15" t="s">
        <v>5622</v>
      </c>
    </row>
    <row r="790" spans="1:5" ht="25.5" x14ac:dyDescent="0.2">
      <c r="A790" s="14" t="s">
        <v>5623</v>
      </c>
      <c r="B790" s="15" t="s">
        <v>1603</v>
      </c>
      <c r="C790" s="15" t="s">
        <v>5231</v>
      </c>
      <c r="D790" s="15" t="s">
        <v>5232</v>
      </c>
      <c r="E790" s="15" t="s">
        <v>5624</v>
      </c>
    </row>
    <row r="791" spans="1:5" ht="25.5" x14ac:dyDescent="0.2">
      <c r="A791" s="14" t="s">
        <v>5625</v>
      </c>
      <c r="B791" s="15" t="s">
        <v>5626</v>
      </c>
      <c r="C791" s="15" t="s">
        <v>5618</v>
      </c>
      <c r="D791" s="15" t="s">
        <v>5619</v>
      </c>
      <c r="E791" s="15" t="s">
        <v>5627</v>
      </c>
    </row>
    <row r="792" spans="1:5" ht="25.5" x14ac:dyDescent="0.2">
      <c r="A792" s="14" t="s">
        <v>5628</v>
      </c>
      <c r="B792" s="15" t="s">
        <v>490</v>
      </c>
      <c r="C792" s="15" t="s">
        <v>5629</v>
      </c>
      <c r="D792" s="15" t="s">
        <v>5630</v>
      </c>
      <c r="E792" s="15" t="s">
        <v>5631</v>
      </c>
    </row>
    <row r="793" spans="1:5" ht="25.5" x14ac:dyDescent="0.2">
      <c r="A793" s="14" t="s">
        <v>5632</v>
      </c>
      <c r="B793" s="15" t="s">
        <v>968</v>
      </c>
      <c r="C793" s="15" t="s">
        <v>5633</v>
      </c>
      <c r="D793" s="15" t="s">
        <v>5634</v>
      </c>
      <c r="E793" s="15" t="s">
        <v>5635</v>
      </c>
    </row>
    <row r="794" spans="1:5" ht="25.5" x14ac:dyDescent="0.2">
      <c r="A794" s="14" t="s">
        <v>5636</v>
      </c>
      <c r="B794" s="15" t="s">
        <v>5637</v>
      </c>
      <c r="C794" s="15" t="s">
        <v>4226</v>
      </c>
      <c r="D794" s="15" t="s">
        <v>4227</v>
      </c>
      <c r="E794" s="15" t="s">
        <v>5638</v>
      </c>
    </row>
    <row r="795" spans="1:5" ht="25.5" x14ac:dyDescent="0.2">
      <c r="A795" s="14" t="s">
        <v>5639</v>
      </c>
      <c r="B795" s="15" t="s">
        <v>1439</v>
      </c>
      <c r="C795" s="15" t="s">
        <v>4764</v>
      </c>
      <c r="D795" s="15" t="s">
        <v>4765</v>
      </c>
      <c r="E795" s="15" t="s">
        <v>5640</v>
      </c>
    </row>
    <row r="796" spans="1:5" ht="25.5" x14ac:dyDescent="0.2">
      <c r="A796" s="14" t="s">
        <v>5641</v>
      </c>
      <c r="B796" s="15" t="s">
        <v>1549</v>
      </c>
      <c r="C796" s="15" t="s">
        <v>4829</v>
      </c>
      <c r="D796" s="15" t="s">
        <v>4830</v>
      </c>
      <c r="E796" s="15" t="s">
        <v>5642</v>
      </c>
    </row>
    <row r="797" spans="1:5" ht="25.5" x14ac:dyDescent="0.2">
      <c r="A797" s="14" t="s">
        <v>5643</v>
      </c>
      <c r="B797" s="15" t="s">
        <v>5644</v>
      </c>
      <c r="C797" s="15" t="s">
        <v>4829</v>
      </c>
      <c r="D797" s="15" t="s">
        <v>4830</v>
      </c>
      <c r="E797" s="15" t="s">
        <v>5645</v>
      </c>
    </row>
    <row r="798" spans="1:5" ht="25.5" x14ac:dyDescent="0.2">
      <c r="A798" s="14" t="s">
        <v>5646</v>
      </c>
      <c r="B798" s="15" t="s">
        <v>5647</v>
      </c>
      <c r="C798" s="15" t="s">
        <v>4764</v>
      </c>
      <c r="D798" s="15" t="s">
        <v>4765</v>
      </c>
      <c r="E798" s="15" t="s">
        <v>5648</v>
      </c>
    </row>
    <row r="799" spans="1:5" ht="38.25" x14ac:dyDescent="0.2">
      <c r="A799" s="14" t="s">
        <v>5649</v>
      </c>
      <c r="B799" s="15" t="s">
        <v>5650</v>
      </c>
      <c r="C799" s="15" t="s">
        <v>4829</v>
      </c>
      <c r="D799" s="15" t="s">
        <v>4830</v>
      </c>
      <c r="E799" s="15" t="s">
        <v>5651</v>
      </c>
    </row>
    <row r="800" spans="1:5" ht="25.5" x14ac:dyDescent="0.2">
      <c r="A800" s="14" t="s">
        <v>5652</v>
      </c>
      <c r="B800" s="15" t="s">
        <v>5653</v>
      </c>
      <c r="C800" s="15" t="s">
        <v>5654</v>
      </c>
      <c r="D800" s="15" t="s">
        <v>5655</v>
      </c>
      <c r="E800" s="15" t="s">
        <v>5656</v>
      </c>
    </row>
    <row r="801" spans="1:5" ht="25.5" x14ac:dyDescent="0.2">
      <c r="A801" s="14" t="s">
        <v>5657</v>
      </c>
      <c r="B801" s="15" t="s">
        <v>5658</v>
      </c>
      <c r="C801" s="15" t="s">
        <v>5654</v>
      </c>
      <c r="D801" s="15" t="s">
        <v>5655</v>
      </c>
      <c r="E801" s="15" t="s">
        <v>5659</v>
      </c>
    </row>
    <row r="802" spans="1:5" ht="25.5" x14ac:dyDescent="0.2">
      <c r="A802" s="14" t="s">
        <v>5660</v>
      </c>
      <c r="B802" s="15" t="s">
        <v>425</v>
      </c>
      <c r="C802" s="15" t="s">
        <v>5654</v>
      </c>
      <c r="D802" s="15" t="s">
        <v>5655</v>
      </c>
      <c r="E802" s="15" t="s">
        <v>5661</v>
      </c>
    </row>
    <row r="803" spans="1:5" ht="25.5" x14ac:dyDescent="0.2">
      <c r="A803" s="14" t="s">
        <v>5662</v>
      </c>
      <c r="B803" s="15" t="s">
        <v>91</v>
      </c>
      <c r="C803" s="15" t="s">
        <v>5654</v>
      </c>
      <c r="D803" s="15" t="s">
        <v>5655</v>
      </c>
      <c r="E803" s="15" t="s">
        <v>5663</v>
      </c>
    </row>
    <row r="804" spans="1:5" ht="25.5" x14ac:dyDescent="0.2">
      <c r="A804" s="14" t="s">
        <v>5664</v>
      </c>
      <c r="B804" s="15" t="s">
        <v>1358</v>
      </c>
      <c r="C804" s="15" t="s">
        <v>5654</v>
      </c>
      <c r="D804" s="15" t="s">
        <v>5655</v>
      </c>
      <c r="E804" s="15" t="s">
        <v>5665</v>
      </c>
    </row>
    <row r="805" spans="1:5" ht="25.5" x14ac:dyDescent="0.2">
      <c r="A805" s="14" t="s">
        <v>5666</v>
      </c>
      <c r="B805" s="15" t="s">
        <v>1357</v>
      </c>
      <c r="C805" s="15" t="s">
        <v>5654</v>
      </c>
      <c r="D805" s="15" t="s">
        <v>5655</v>
      </c>
      <c r="E805" s="15" t="s">
        <v>5667</v>
      </c>
    </row>
    <row r="806" spans="1:5" ht="25.5" x14ac:dyDescent="0.2">
      <c r="A806" s="14" t="s">
        <v>5668</v>
      </c>
      <c r="B806" s="15" t="s">
        <v>1371</v>
      </c>
      <c r="C806" s="15" t="s">
        <v>5654</v>
      </c>
      <c r="D806" s="15" t="s">
        <v>5655</v>
      </c>
      <c r="E806" s="15" t="s">
        <v>5669</v>
      </c>
    </row>
    <row r="807" spans="1:5" ht="38.25" x14ac:dyDescent="0.2">
      <c r="A807" s="14" t="s">
        <v>5670</v>
      </c>
      <c r="B807" s="15" t="s">
        <v>1608</v>
      </c>
      <c r="C807" s="15" t="s">
        <v>5671</v>
      </c>
      <c r="D807" s="15" t="s">
        <v>5672</v>
      </c>
      <c r="E807" s="15" t="s">
        <v>5673</v>
      </c>
    </row>
    <row r="808" spans="1:5" ht="25.5" x14ac:dyDescent="0.2">
      <c r="A808" s="14" t="s">
        <v>5674</v>
      </c>
      <c r="B808" s="15" t="s">
        <v>1438</v>
      </c>
      <c r="C808" s="15" t="s">
        <v>4764</v>
      </c>
      <c r="D808" s="15" t="s">
        <v>4765</v>
      </c>
      <c r="E808" s="15" t="s">
        <v>5675</v>
      </c>
    </row>
    <row r="809" spans="1:5" ht="25.5" x14ac:dyDescent="0.2">
      <c r="A809" s="14" t="s">
        <v>5676</v>
      </c>
      <c r="B809" s="15" t="s">
        <v>5677</v>
      </c>
      <c r="C809" s="15" t="s">
        <v>5231</v>
      </c>
      <c r="D809" s="15" t="s">
        <v>5232</v>
      </c>
      <c r="E809" s="15" t="s">
        <v>5678</v>
      </c>
    </row>
    <row r="810" spans="1:5" ht="25.5" x14ac:dyDescent="0.2">
      <c r="A810" s="14" t="s">
        <v>5679</v>
      </c>
      <c r="B810" s="15" t="s">
        <v>198</v>
      </c>
      <c r="C810" s="15" t="s">
        <v>5680</v>
      </c>
      <c r="D810" s="15" t="s">
        <v>5681</v>
      </c>
      <c r="E810" s="15" t="s">
        <v>5682</v>
      </c>
    </row>
    <row r="811" spans="1:5" ht="25.5" x14ac:dyDescent="0.2">
      <c r="A811" s="14" t="s">
        <v>5683</v>
      </c>
      <c r="B811" s="15" t="s">
        <v>50</v>
      </c>
      <c r="C811" s="15" t="s">
        <v>5680</v>
      </c>
      <c r="D811" s="15" t="s">
        <v>5681</v>
      </c>
      <c r="E811" s="15" t="s">
        <v>5684</v>
      </c>
    </row>
    <row r="812" spans="1:5" ht="25.5" x14ac:dyDescent="0.2">
      <c r="A812" s="14" t="s">
        <v>5685</v>
      </c>
      <c r="B812" s="15" t="s">
        <v>363</v>
      </c>
      <c r="C812" s="15" t="s">
        <v>5680</v>
      </c>
      <c r="D812" s="15" t="s">
        <v>5681</v>
      </c>
      <c r="E812" s="15" t="s">
        <v>5686</v>
      </c>
    </row>
    <row r="813" spans="1:5" ht="25.5" x14ac:dyDescent="0.2">
      <c r="A813" s="14" t="s">
        <v>5687</v>
      </c>
      <c r="B813" s="15" t="s">
        <v>48</v>
      </c>
      <c r="C813" s="15" t="s">
        <v>5680</v>
      </c>
      <c r="D813" s="15" t="s">
        <v>5681</v>
      </c>
      <c r="E813" s="15" t="s">
        <v>5688</v>
      </c>
    </row>
    <row r="814" spans="1:5" ht="25.5" x14ac:dyDescent="0.2">
      <c r="A814" s="14" t="s">
        <v>5689</v>
      </c>
      <c r="B814" s="15" t="s">
        <v>1100</v>
      </c>
      <c r="C814" s="15" t="s">
        <v>5680</v>
      </c>
      <c r="D814" s="15" t="s">
        <v>5681</v>
      </c>
      <c r="E814" s="15" t="s">
        <v>5690</v>
      </c>
    </row>
    <row r="815" spans="1:5" ht="25.5" x14ac:dyDescent="0.2">
      <c r="A815" s="14" t="s">
        <v>5691</v>
      </c>
      <c r="B815" s="15" t="s">
        <v>5692</v>
      </c>
      <c r="C815" s="15" t="s">
        <v>5680</v>
      </c>
      <c r="D815" s="15" t="s">
        <v>5681</v>
      </c>
      <c r="E815" s="15" t="s">
        <v>5693</v>
      </c>
    </row>
    <row r="816" spans="1:5" ht="25.5" x14ac:dyDescent="0.2">
      <c r="A816" s="14" t="s">
        <v>5694</v>
      </c>
      <c r="B816" s="15" t="s">
        <v>701</v>
      </c>
      <c r="C816" s="15" t="s">
        <v>5680</v>
      </c>
      <c r="D816" s="15" t="s">
        <v>5681</v>
      </c>
      <c r="E816" s="15" t="s">
        <v>5695</v>
      </c>
    </row>
    <row r="817" spans="1:5" ht="25.5" x14ac:dyDescent="0.2">
      <c r="A817" s="14" t="s">
        <v>5696</v>
      </c>
      <c r="B817" s="15" t="s">
        <v>1578</v>
      </c>
      <c r="C817" s="15" t="s">
        <v>5680</v>
      </c>
      <c r="D817" s="15" t="s">
        <v>5681</v>
      </c>
      <c r="E817" s="15" t="s">
        <v>5697</v>
      </c>
    </row>
    <row r="818" spans="1:5" ht="25.5" x14ac:dyDescent="0.2">
      <c r="A818" s="14" t="s">
        <v>5698</v>
      </c>
      <c r="B818" s="15" t="s">
        <v>5699</v>
      </c>
      <c r="C818" s="15" t="s">
        <v>3370</v>
      </c>
      <c r="D818" s="15" t="s">
        <v>3371</v>
      </c>
      <c r="E818" s="15" t="s">
        <v>5700</v>
      </c>
    </row>
    <row r="819" spans="1:5" ht="25.5" x14ac:dyDescent="0.2">
      <c r="A819" s="14" t="s">
        <v>5701</v>
      </c>
      <c r="B819" s="15" t="s">
        <v>489</v>
      </c>
      <c r="C819" s="15" t="s">
        <v>5702</v>
      </c>
      <c r="D819" s="15" t="s">
        <v>5703</v>
      </c>
      <c r="E819" s="15" t="s">
        <v>5704</v>
      </c>
    </row>
    <row r="820" spans="1:5" ht="25.5" x14ac:dyDescent="0.2">
      <c r="A820" s="14" t="s">
        <v>5705</v>
      </c>
      <c r="B820" s="15" t="s">
        <v>89</v>
      </c>
      <c r="C820" s="15" t="s">
        <v>5702</v>
      </c>
      <c r="D820" s="15" t="s">
        <v>5703</v>
      </c>
      <c r="E820" s="15" t="s">
        <v>5706</v>
      </c>
    </row>
    <row r="821" spans="1:5" ht="25.5" x14ac:dyDescent="0.2">
      <c r="A821" s="14" t="s">
        <v>5707</v>
      </c>
      <c r="B821" s="15" t="s">
        <v>1231</v>
      </c>
      <c r="C821" s="15" t="s">
        <v>5702</v>
      </c>
      <c r="D821" s="15" t="s">
        <v>5703</v>
      </c>
      <c r="E821" s="15" t="s">
        <v>5708</v>
      </c>
    </row>
    <row r="822" spans="1:5" ht="38.25" x14ac:dyDescent="0.2">
      <c r="A822" s="14" t="s">
        <v>5709</v>
      </c>
      <c r="B822" s="15" t="s">
        <v>144</v>
      </c>
      <c r="C822" s="15" t="s">
        <v>5702</v>
      </c>
      <c r="D822" s="15" t="s">
        <v>5703</v>
      </c>
      <c r="E822" s="15" t="s">
        <v>5710</v>
      </c>
    </row>
    <row r="823" spans="1:5" ht="25.5" x14ac:dyDescent="0.2">
      <c r="A823" s="14" t="s">
        <v>5711</v>
      </c>
      <c r="B823" s="15" t="s">
        <v>5712</v>
      </c>
      <c r="C823" s="15" t="s">
        <v>5702</v>
      </c>
      <c r="D823" s="15" t="s">
        <v>5703</v>
      </c>
      <c r="E823" s="15" t="s">
        <v>5713</v>
      </c>
    </row>
    <row r="824" spans="1:5" ht="25.5" x14ac:dyDescent="0.2">
      <c r="A824" s="14" t="s">
        <v>5714</v>
      </c>
      <c r="B824" s="15" t="s">
        <v>689</v>
      </c>
      <c r="C824" s="15" t="s">
        <v>5702</v>
      </c>
      <c r="D824" s="15" t="s">
        <v>5703</v>
      </c>
      <c r="E824" s="15" t="s">
        <v>5715</v>
      </c>
    </row>
    <row r="825" spans="1:5" ht="25.5" x14ac:dyDescent="0.2">
      <c r="A825" s="14" t="s">
        <v>5716</v>
      </c>
      <c r="B825" s="15" t="s">
        <v>36</v>
      </c>
      <c r="C825" s="15" t="s">
        <v>5702</v>
      </c>
      <c r="D825" s="15" t="s">
        <v>5703</v>
      </c>
      <c r="E825" s="15" t="s">
        <v>5717</v>
      </c>
    </row>
    <row r="826" spans="1:5" ht="25.5" x14ac:dyDescent="0.2">
      <c r="A826" s="14" t="s">
        <v>5718</v>
      </c>
      <c r="B826" s="15" t="s">
        <v>1002</v>
      </c>
      <c r="C826" s="15" t="s">
        <v>5702</v>
      </c>
      <c r="D826" s="15" t="s">
        <v>5703</v>
      </c>
      <c r="E826" s="15" t="s">
        <v>5719</v>
      </c>
    </row>
    <row r="827" spans="1:5" ht="25.5" x14ac:dyDescent="0.2">
      <c r="A827" s="14" t="s">
        <v>5720</v>
      </c>
      <c r="B827" s="15" t="s">
        <v>868</v>
      </c>
      <c r="C827" s="15" t="s">
        <v>5702</v>
      </c>
      <c r="D827" s="15" t="s">
        <v>5703</v>
      </c>
      <c r="E827" s="15" t="s">
        <v>5721</v>
      </c>
    </row>
    <row r="828" spans="1:5" ht="25.5" x14ac:dyDescent="0.2">
      <c r="A828" s="14" t="s">
        <v>5722</v>
      </c>
      <c r="B828" s="15" t="s">
        <v>83</v>
      </c>
      <c r="C828" s="15" t="s">
        <v>5702</v>
      </c>
      <c r="D828" s="15" t="s">
        <v>5703</v>
      </c>
      <c r="E828" s="15" t="s">
        <v>5723</v>
      </c>
    </row>
    <row r="829" spans="1:5" ht="25.5" x14ac:dyDescent="0.2">
      <c r="A829" s="14" t="s">
        <v>5724</v>
      </c>
      <c r="B829" s="15" t="s">
        <v>5725</v>
      </c>
      <c r="C829" s="15" t="s">
        <v>5702</v>
      </c>
      <c r="D829" s="15" t="s">
        <v>5703</v>
      </c>
      <c r="E829" s="15" t="s">
        <v>5726</v>
      </c>
    </row>
    <row r="830" spans="1:5" ht="25.5" x14ac:dyDescent="0.2">
      <c r="A830" s="14" t="s">
        <v>5727</v>
      </c>
      <c r="B830" s="15" t="s">
        <v>15</v>
      </c>
      <c r="C830" s="15" t="s">
        <v>5702</v>
      </c>
      <c r="D830" s="15" t="s">
        <v>5703</v>
      </c>
      <c r="E830" s="15" t="s">
        <v>5728</v>
      </c>
    </row>
    <row r="831" spans="1:5" ht="25.5" x14ac:dyDescent="0.2">
      <c r="A831" s="14" t="s">
        <v>5729</v>
      </c>
      <c r="B831" s="15" t="s">
        <v>353</v>
      </c>
      <c r="C831" s="15" t="s">
        <v>5702</v>
      </c>
      <c r="D831" s="15" t="s">
        <v>5703</v>
      </c>
      <c r="E831" s="15" t="s">
        <v>5730</v>
      </c>
    </row>
    <row r="832" spans="1:5" ht="25.5" x14ac:dyDescent="0.2">
      <c r="A832" s="14" t="s">
        <v>5731</v>
      </c>
      <c r="B832" s="15" t="s">
        <v>5732</v>
      </c>
      <c r="C832" s="15" t="s">
        <v>5702</v>
      </c>
      <c r="D832" s="15" t="s">
        <v>5703</v>
      </c>
      <c r="E832" s="15" t="s">
        <v>5733</v>
      </c>
    </row>
    <row r="833" spans="1:5" ht="25.5" x14ac:dyDescent="0.2">
      <c r="A833" s="14" t="s">
        <v>5734</v>
      </c>
      <c r="B833" s="15" t="s">
        <v>5735</v>
      </c>
      <c r="C833" s="15" t="s">
        <v>5702</v>
      </c>
      <c r="D833" s="15" t="s">
        <v>5703</v>
      </c>
      <c r="E833" s="15" t="s">
        <v>5736</v>
      </c>
    </row>
    <row r="834" spans="1:5" ht="25.5" x14ac:dyDescent="0.2">
      <c r="A834" s="14" t="s">
        <v>5737</v>
      </c>
      <c r="B834" s="15" t="s">
        <v>808</v>
      </c>
      <c r="C834" s="15" t="s">
        <v>5702</v>
      </c>
      <c r="D834" s="15" t="s">
        <v>5703</v>
      </c>
      <c r="E834" s="15" t="s">
        <v>5738</v>
      </c>
    </row>
    <row r="835" spans="1:5" ht="25.5" x14ac:dyDescent="0.2">
      <c r="A835" s="14" t="s">
        <v>5739</v>
      </c>
      <c r="B835" s="15" t="s">
        <v>5740</v>
      </c>
      <c r="C835" s="15" t="s">
        <v>5702</v>
      </c>
      <c r="D835" s="15" t="s">
        <v>5703</v>
      </c>
      <c r="E835" s="15" t="s">
        <v>5741</v>
      </c>
    </row>
    <row r="836" spans="1:5" ht="25.5" x14ac:dyDescent="0.2">
      <c r="A836" s="14" t="s">
        <v>5742</v>
      </c>
      <c r="B836" s="15" t="s">
        <v>14</v>
      </c>
      <c r="C836" s="15" t="s">
        <v>5702</v>
      </c>
      <c r="D836" s="15" t="s">
        <v>5703</v>
      </c>
      <c r="E836" s="15" t="s">
        <v>5743</v>
      </c>
    </row>
    <row r="837" spans="1:5" ht="25.5" x14ac:dyDescent="0.2">
      <c r="A837" s="14" t="s">
        <v>5744</v>
      </c>
      <c r="B837" s="15" t="s">
        <v>635</v>
      </c>
      <c r="C837" s="15" t="s">
        <v>5702</v>
      </c>
      <c r="D837" s="15" t="s">
        <v>5703</v>
      </c>
      <c r="E837" s="15" t="s">
        <v>5745</v>
      </c>
    </row>
    <row r="838" spans="1:5" ht="25.5" x14ac:dyDescent="0.2">
      <c r="A838" s="14" t="s">
        <v>5746</v>
      </c>
      <c r="B838" s="15" t="s">
        <v>5747</v>
      </c>
      <c r="C838" s="15" t="s">
        <v>5702</v>
      </c>
      <c r="D838" s="15" t="s">
        <v>5703</v>
      </c>
      <c r="E838" s="15" t="s">
        <v>5748</v>
      </c>
    </row>
    <row r="839" spans="1:5" ht="25.5" x14ac:dyDescent="0.2">
      <c r="A839" s="14" t="s">
        <v>5749</v>
      </c>
      <c r="B839" s="15" t="s">
        <v>5750</v>
      </c>
      <c r="C839" s="15" t="s">
        <v>5702</v>
      </c>
      <c r="D839" s="15" t="s">
        <v>5703</v>
      </c>
      <c r="E839" s="15" t="s">
        <v>5751</v>
      </c>
    </row>
    <row r="840" spans="1:5" ht="25.5" x14ac:dyDescent="0.2">
      <c r="A840" s="14" t="s">
        <v>5752</v>
      </c>
      <c r="B840" s="15" t="s">
        <v>5753</v>
      </c>
      <c r="C840" s="15" t="s">
        <v>5702</v>
      </c>
      <c r="D840" s="15" t="s">
        <v>5703</v>
      </c>
      <c r="E840" s="15" t="s">
        <v>5754</v>
      </c>
    </row>
    <row r="841" spans="1:5" ht="25.5" x14ac:dyDescent="0.2">
      <c r="A841" s="14" t="s">
        <v>5755</v>
      </c>
      <c r="B841" s="15" t="s">
        <v>5756</v>
      </c>
      <c r="C841" s="15" t="s">
        <v>5702</v>
      </c>
      <c r="D841" s="15" t="s">
        <v>5703</v>
      </c>
      <c r="E841" s="15" t="s">
        <v>5757</v>
      </c>
    </row>
    <row r="842" spans="1:5" ht="25.5" x14ac:dyDescent="0.2">
      <c r="A842" s="14" t="s">
        <v>5758</v>
      </c>
      <c r="B842" s="15" t="s">
        <v>5759</v>
      </c>
      <c r="C842" s="15" t="s">
        <v>5702</v>
      </c>
      <c r="D842" s="15" t="s">
        <v>5703</v>
      </c>
      <c r="E842" s="15" t="s">
        <v>5760</v>
      </c>
    </row>
    <row r="843" spans="1:5" ht="25.5" x14ac:dyDescent="0.2">
      <c r="A843" s="14" t="s">
        <v>5761</v>
      </c>
      <c r="B843" s="15" t="s">
        <v>1513</v>
      </c>
      <c r="C843" s="15" t="s">
        <v>5702</v>
      </c>
      <c r="D843" s="15" t="s">
        <v>5703</v>
      </c>
      <c r="E843" s="15" t="s">
        <v>5762</v>
      </c>
    </row>
    <row r="844" spans="1:5" ht="25.5" x14ac:dyDescent="0.2">
      <c r="A844" s="14" t="s">
        <v>5763</v>
      </c>
      <c r="B844" s="15" t="s">
        <v>5764</v>
      </c>
      <c r="C844" s="15" t="s">
        <v>5702</v>
      </c>
      <c r="D844" s="15" t="s">
        <v>5703</v>
      </c>
      <c r="E844" s="15" t="s">
        <v>5765</v>
      </c>
    </row>
    <row r="845" spans="1:5" ht="25.5" x14ac:dyDescent="0.2">
      <c r="A845" s="14" t="s">
        <v>5766</v>
      </c>
      <c r="B845" s="15" t="s">
        <v>5767</v>
      </c>
      <c r="C845" s="15" t="s">
        <v>5702</v>
      </c>
      <c r="D845" s="15" t="s">
        <v>5703</v>
      </c>
      <c r="E845" s="15" t="s">
        <v>5768</v>
      </c>
    </row>
    <row r="846" spans="1:5" ht="25.5" x14ac:dyDescent="0.2">
      <c r="A846" s="14" t="s">
        <v>5769</v>
      </c>
      <c r="B846" s="15" t="s">
        <v>5770</v>
      </c>
      <c r="C846" s="15" t="s">
        <v>5702</v>
      </c>
      <c r="D846" s="15" t="s">
        <v>5703</v>
      </c>
      <c r="E846" s="15" t="s">
        <v>5771</v>
      </c>
    </row>
    <row r="847" spans="1:5" ht="25.5" x14ac:dyDescent="0.2">
      <c r="A847" s="14" t="s">
        <v>5772</v>
      </c>
      <c r="B847" s="15" t="s">
        <v>1350</v>
      </c>
      <c r="C847" s="15" t="s">
        <v>5702</v>
      </c>
      <c r="D847" s="15" t="s">
        <v>5703</v>
      </c>
      <c r="E847" s="15" t="s">
        <v>5773</v>
      </c>
    </row>
    <row r="848" spans="1:5" ht="25.5" x14ac:dyDescent="0.2">
      <c r="A848" s="14" t="s">
        <v>5774</v>
      </c>
      <c r="B848" s="15" t="s">
        <v>5775</v>
      </c>
      <c r="C848" s="15" t="s">
        <v>5702</v>
      </c>
      <c r="D848" s="15" t="s">
        <v>5703</v>
      </c>
      <c r="E848" s="15" t="s">
        <v>5776</v>
      </c>
    </row>
    <row r="849" spans="1:5" ht="25.5" x14ac:dyDescent="0.2">
      <c r="A849" s="14" t="s">
        <v>5777</v>
      </c>
      <c r="B849" s="15" t="s">
        <v>32</v>
      </c>
      <c r="C849" s="15" t="s">
        <v>5702</v>
      </c>
      <c r="D849" s="15" t="s">
        <v>5703</v>
      </c>
      <c r="E849" s="15" t="s">
        <v>5778</v>
      </c>
    </row>
    <row r="850" spans="1:5" ht="25.5" x14ac:dyDescent="0.2">
      <c r="A850" s="14" t="s">
        <v>5779</v>
      </c>
      <c r="B850" s="15" t="s">
        <v>5780</v>
      </c>
      <c r="C850" s="15" t="s">
        <v>5702</v>
      </c>
      <c r="D850" s="15" t="s">
        <v>5703</v>
      </c>
      <c r="E850" s="15" t="s">
        <v>5781</v>
      </c>
    </row>
    <row r="851" spans="1:5" ht="25.5" x14ac:dyDescent="0.2">
      <c r="A851" s="14" t="s">
        <v>5782</v>
      </c>
      <c r="B851" s="15" t="s">
        <v>5783</v>
      </c>
      <c r="C851" s="15" t="s">
        <v>5702</v>
      </c>
      <c r="D851" s="15" t="s">
        <v>5703</v>
      </c>
      <c r="E851" s="15" t="s">
        <v>5784</v>
      </c>
    </row>
    <row r="852" spans="1:5" ht="25.5" x14ac:dyDescent="0.2">
      <c r="A852" s="14" t="s">
        <v>5785</v>
      </c>
      <c r="B852" s="15" t="s">
        <v>5786</v>
      </c>
      <c r="C852" s="15" t="s">
        <v>5702</v>
      </c>
      <c r="D852" s="15" t="s">
        <v>5703</v>
      </c>
      <c r="E852" s="15" t="s">
        <v>5787</v>
      </c>
    </row>
    <row r="853" spans="1:5" ht="25.5" x14ac:dyDescent="0.2">
      <c r="A853" s="14" t="s">
        <v>5788</v>
      </c>
      <c r="B853" s="15" t="s">
        <v>1431</v>
      </c>
      <c r="C853" s="15" t="s">
        <v>5702</v>
      </c>
      <c r="D853" s="15" t="s">
        <v>5703</v>
      </c>
      <c r="E853" s="15" t="s">
        <v>5789</v>
      </c>
    </row>
    <row r="854" spans="1:5" ht="25.5" x14ac:dyDescent="0.2">
      <c r="A854" s="14" t="s">
        <v>5790</v>
      </c>
      <c r="B854" s="15" t="s">
        <v>404</v>
      </c>
      <c r="C854" s="15" t="s">
        <v>5702</v>
      </c>
      <c r="D854" s="15" t="s">
        <v>5703</v>
      </c>
      <c r="E854" s="15" t="s">
        <v>5791</v>
      </c>
    </row>
    <row r="855" spans="1:5" ht="25.5" x14ac:dyDescent="0.2">
      <c r="A855" s="14" t="s">
        <v>5792</v>
      </c>
      <c r="B855" s="15" t="s">
        <v>5793</v>
      </c>
      <c r="C855" s="15" t="s">
        <v>5702</v>
      </c>
      <c r="D855" s="15" t="s">
        <v>5703</v>
      </c>
      <c r="E855" s="15" t="s">
        <v>5794</v>
      </c>
    </row>
    <row r="856" spans="1:5" ht="25.5" x14ac:dyDescent="0.2">
      <c r="A856" s="14" t="s">
        <v>5795</v>
      </c>
      <c r="B856" s="15" t="s">
        <v>428</v>
      </c>
      <c r="C856" s="15" t="s">
        <v>4764</v>
      </c>
      <c r="D856" s="15" t="s">
        <v>4765</v>
      </c>
      <c r="E856" s="15" t="s">
        <v>5796</v>
      </c>
    </row>
    <row r="857" spans="1:5" ht="25.5" x14ac:dyDescent="0.2">
      <c r="A857" s="14" t="s">
        <v>5797</v>
      </c>
      <c r="B857" s="15" t="s">
        <v>669</v>
      </c>
      <c r="C857" s="15" t="s">
        <v>5633</v>
      </c>
      <c r="D857" s="15" t="s">
        <v>5634</v>
      </c>
      <c r="E857" s="15" t="s">
        <v>5798</v>
      </c>
    </row>
    <row r="858" spans="1:5" ht="25.5" x14ac:dyDescent="0.2">
      <c r="A858" s="14" t="s">
        <v>5799</v>
      </c>
      <c r="B858" s="15" t="s">
        <v>196</v>
      </c>
      <c r="C858" s="15" t="s">
        <v>5633</v>
      </c>
      <c r="D858" s="15" t="s">
        <v>5634</v>
      </c>
      <c r="E858" s="15" t="s">
        <v>5800</v>
      </c>
    </row>
    <row r="859" spans="1:5" ht="25.5" x14ac:dyDescent="0.2">
      <c r="A859" s="14" t="s">
        <v>5801</v>
      </c>
      <c r="B859" s="15" t="s">
        <v>381</v>
      </c>
      <c r="C859" s="15" t="s">
        <v>5633</v>
      </c>
      <c r="D859" s="15" t="s">
        <v>5634</v>
      </c>
      <c r="E859" s="15" t="s">
        <v>5802</v>
      </c>
    </row>
    <row r="860" spans="1:5" ht="25.5" x14ac:dyDescent="0.2">
      <c r="A860" s="14" t="s">
        <v>5803</v>
      </c>
      <c r="B860" s="15" t="s">
        <v>5804</v>
      </c>
      <c r="C860" s="15" t="s">
        <v>5633</v>
      </c>
      <c r="D860" s="15" t="s">
        <v>5634</v>
      </c>
      <c r="E860" s="15" t="s">
        <v>5805</v>
      </c>
    </row>
    <row r="861" spans="1:5" ht="25.5" x14ac:dyDescent="0.2">
      <c r="A861" s="14" t="s">
        <v>5806</v>
      </c>
      <c r="B861" s="15" t="s">
        <v>35</v>
      </c>
      <c r="C861" s="15" t="s">
        <v>5633</v>
      </c>
      <c r="D861" s="15" t="s">
        <v>5634</v>
      </c>
      <c r="E861" s="15" t="s">
        <v>5807</v>
      </c>
    </row>
    <row r="862" spans="1:5" ht="25.5" x14ac:dyDescent="0.2">
      <c r="A862" s="14" t="s">
        <v>5808</v>
      </c>
      <c r="B862" s="15" t="s">
        <v>33</v>
      </c>
      <c r="C862" s="15" t="s">
        <v>5633</v>
      </c>
      <c r="D862" s="15" t="s">
        <v>5634</v>
      </c>
      <c r="E862" s="15" t="s">
        <v>5809</v>
      </c>
    </row>
    <row r="863" spans="1:5" ht="25.5" x14ac:dyDescent="0.2">
      <c r="A863" s="14" t="s">
        <v>5810</v>
      </c>
      <c r="B863" s="15" t="s">
        <v>88</v>
      </c>
      <c r="C863" s="15" t="s">
        <v>5633</v>
      </c>
      <c r="D863" s="15" t="s">
        <v>5634</v>
      </c>
      <c r="E863" s="15" t="s">
        <v>5811</v>
      </c>
    </row>
    <row r="864" spans="1:5" ht="25.5" x14ac:dyDescent="0.2">
      <c r="A864" s="14" t="s">
        <v>5812</v>
      </c>
      <c r="B864" s="15" t="s">
        <v>838</v>
      </c>
      <c r="C864" s="15" t="s">
        <v>5633</v>
      </c>
      <c r="D864" s="15" t="s">
        <v>5634</v>
      </c>
      <c r="E864" s="15" t="s">
        <v>5813</v>
      </c>
    </row>
    <row r="865" spans="1:5" ht="25.5" x14ac:dyDescent="0.2">
      <c r="A865" s="14" t="s">
        <v>5814</v>
      </c>
      <c r="B865" s="15" t="s">
        <v>5815</v>
      </c>
      <c r="C865" s="15" t="s">
        <v>5231</v>
      </c>
      <c r="D865" s="15" t="s">
        <v>5232</v>
      </c>
      <c r="E865" s="15" t="s">
        <v>5816</v>
      </c>
    </row>
    <row r="866" spans="1:5" ht="25.5" x14ac:dyDescent="0.2">
      <c r="A866" s="14" t="s">
        <v>5817</v>
      </c>
      <c r="B866" s="15" t="s">
        <v>919</v>
      </c>
      <c r="C866" s="15" t="s">
        <v>4764</v>
      </c>
      <c r="D866" s="15" t="s">
        <v>4765</v>
      </c>
      <c r="E866" s="15" t="s">
        <v>5818</v>
      </c>
    </row>
    <row r="867" spans="1:5" ht="25.5" x14ac:dyDescent="0.2">
      <c r="A867" s="14" t="s">
        <v>5819</v>
      </c>
      <c r="B867" s="15" t="s">
        <v>265</v>
      </c>
      <c r="C867" s="15" t="s">
        <v>5680</v>
      </c>
      <c r="D867" s="15" t="s">
        <v>5681</v>
      </c>
      <c r="E867" s="15" t="s">
        <v>5820</v>
      </c>
    </row>
    <row r="868" spans="1:5" ht="25.5" x14ac:dyDescent="0.2">
      <c r="A868" s="14" t="s">
        <v>5821</v>
      </c>
      <c r="B868" s="15" t="s">
        <v>49</v>
      </c>
      <c r="C868" s="15" t="s">
        <v>5680</v>
      </c>
      <c r="D868" s="15" t="s">
        <v>5681</v>
      </c>
      <c r="E868" s="15" t="s">
        <v>5822</v>
      </c>
    </row>
    <row r="869" spans="1:5" ht="25.5" x14ac:dyDescent="0.2">
      <c r="A869" s="14" t="s">
        <v>5823</v>
      </c>
      <c r="B869" s="15" t="s">
        <v>69</v>
      </c>
      <c r="C869" s="15" t="s">
        <v>5680</v>
      </c>
      <c r="D869" s="15" t="s">
        <v>5681</v>
      </c>
      <c r="E869" s="15" t="s">
        <v>5824</v>
      </c>
    </row>
    <row r="870" spans="1:5" ht="25.5" x14ac:dyDescent="0.2">
      <c r="A870" s="14" t="s">
        <v>5825</v>
      </c>
      <c r="B870" s="15" t="s">
        <v>249</v>
      </c>
      <c r="C870" s="15" t="s">
        <v>5680</v>
      </c>
      <c r="D870" s="15" t="s">
        <v>5681</v>
      </c>
      <c r="E870" s="15" t="s">
        <v>5826</v>
      </c>
    </row>
    <row r="871" spans="1:5" ht="25.5" x14ac:dyDescent="0.2">
      <c r="A871" s="14" t="s">
        <v>5827</v>
      </c>
      <c r="B871" s="15" t="s">
        <v>5828</v>
      </c>
      <c r="C871" s="15" t="s">
        <v>5829</v>
      </c>
      <c r="D871" s="15" t="s">
        <v>5830</v>
      </c>
      <c r="E871" s="15" t="s">
        <v>5831</v>
      </c>
    </row>
    <row r="872" spans="1:5" ht="25.5" x14ac:dyDescent="0.2">
      <c r="A872" s="14" t="s">
        <v>5832</v>
      </c>
      <c r="B872" s="15" t="s">
        <v>5833</v>
      </c>
      <c r="C872" s="15" t="s">
        <v>3318</v>
      </c>
      <c r="D872" s="15" t="s">
        <v>3319</v>
      </c>
      <c r="E872" s="15" t="s">
        <v>5834</v>
      </c>
    </row>
    <row r="873" spans="1:5" ht="25.5" x14ac:dyDescent="0.2">
      <c r="A873" s="14" t="s">
        <v>5835</v>
      </c>
      <c r="B873" s="15" t="s">
        <v>5836</v>
      </c>
      <c r="C873" s="15" t="s">
        <v>3318</v>
      </c>
      <c r="D873" s="15" t="s">
        <v>3319</v>
      </c>
      <c r="E873" s="15" t="s">
        <v>5837</v>
      </c>
    </row>
    <row r="874" spans="1:5" ht="25.5" x14ac:dyDescent="0.2">
      <c r="A874" s="14" t="s">
        <v>5838</v>
      </c>
      <c r="B874" s="15" t="s">
        <v>5839</v>
      </c>
      <c r="C874" s="15" t="s">
        <v>5840</v>
      </c>
      <c r="D874" s="15" t="s">
        <v>5841</v>
      </c>
      <c r="E874" s="15" t="s">
        <v>5842</v>
      </c>
    </row>
    <row r="875" spans="1:5" ht="25.5" x14ac:dyDescent="0.2">
      <c r="A875" s="14" t="s">
        <v>5843</v>
      </c>
      <c r="B875" s="15" t="s">
        <v>5844</v>
      </c>
      <c r="C875" s="15" t="s">
        <v>5840</v>
      </c>
      <c r="D875" s="15" t="s">
        <v>5841</v>
      </c>
      <c r="E875" s="15" t="s">
        <v>5845</v>
      </c>
    </row>
    <row r="876" spans="1:5" ht="25.5" x14ac:dyDescent="0.2">
      <c r="A876" s="14" t="s">
        <v>5846</v>
      </c>
      <c r="B876" s="15" t="s">
        <v>5847</v>
      </c>
      <c r="C876" s="15" t="s">
        <v>5840</v>
      </c>
      <c r="D876" s="15" t="s">
        <v>5841</v>
      </c>
      <c r="E876" s="15" t="s">
        <v>5848</v>
      </c>
    </row>
    <row r="877" spans="1:5" ht="25.5" x14ac:dyDescent="0.2">
      <c r="A877" s="14" t="s">
        <v>5849</v>
      </c>
      <c r="B877" s="15" t="s">
        <v>5850</v>
      </c>
      <c r="C877" s="15" t="s">
        <v>5851</v>
      </c>
      <c r="D877" s="15" t="s">
        <v>5852</v>
      </c>
      <c r="E877" s="15" t="s">
        <v>5853</v>
      </c>
    </row>
    <row r="878" spans="1:5" ht="25.5" x14ac:dyDescent="0.2">
      <c r="A878" s="14" t="s">
        <v>5854</v>
      </c>
      <c r="B878" s="15" t="s">
        <v>1614</v>
      </c>
      <c r="C878" s="15" t="s">
        <v>5851</v>
      </c>
      <c r="D878" s="15" t="s">
        <v>5852</v>
      </c>
      <c r="E878" s="15" t="s">
        <v>5855</v>
      </c>
    </row>
    <row r="879" spans="1:5" ht="25.5" x14ac:dyDescent="0.2">
      <c r="A879" s="14" t="s">
        <v>5856</v>
      </c>
      <c r="B879" s="15" t="s">
        <v>5857</v>
      </c>
      <c r="C879" s="15" t="s">
        <v>5858</v>
      </c>
      <c r="D879" s="15" t="s">
        <v>5859</v>
      </c>
      <c r="E879" s="15" t="s">
        <v>5860</v>
      </c>
    </row>
    <row r="880" spans="1:5" ht="25.5" x14ac:dyDescent="0.2">
      <c r="A880" s="14" t="s">
        <v>5861</v>
      </c>
      <c r="B880" s="15" t="s">
        <v>1388</v>
      </c>
      <c r="C880" s="15" t="s">
        <v>4226</v>
      </c>
      <c r="D880" s="15" t="s">
        <v>4227</v>
      </c>
      <c r="E880" s="15" t="s">
        <v>5862</v>
      </c>
    </row>
    <row r="881" spans="1:5" ht="25.5" x14ac:dyDescent="0.2">
      <c r="A881" s="14" t="s">
        <v>5863</v>
      </c>
      <c r="B881" s="15" t="s">
        <v>5864</v>
      </c>
      <c r="C881" s="15" t="s">
        <v>4857</v>
      </c>
      <c r="D881" s="15" t="s">
        <v>4858</v>
      </c>
      <c r="E881" s="15" t="s">
        <v>5865</v>
      </c>
    </row>
    <row r="882" spans="1:5" ht="25.5" x14ac:dyDescent="0.2">
      <c r="A882" s="14" t="s">
        <v>5866</v>
      </c>
      <c r="B882" s="15" t="s">
        <v>731</v>
      </c>
      <c r="C882" s="15" t="s">
        <v>5867</v>
      </c>
      <c r="D882" s="15" t="s">
        <v>5868</v>
      </c>
      <c r="E882" s="15" t="s">
        <v>5869</v>
      </c>
    </row>
    <row r="883" spans="1:5" ht="25.5" x14ac:dyDescent="0.2">
      <c r="A883" s="14" t="s">
        <v>5870</v>
      </c>
      <c r="B883" s="15" t="s">
        <v>5871</v>
      </c>
      <c r="C883" s="15" t="s">
        <v>5867</v>
      </c>
      <c r="D883" s="15" t="s">
        <v>5868</v>
      </c>
      <c r="E883" s="15" t="s">
        <v>5872</v>
      </c>
    </row>
    <row r="884" spans="1:5" ht="25.5" x14ac:dyDescent="0.2">
      <c r="A884" s="14" t="s">
        <v>5873</v>
      </c>
      <c r="B884" s="15" t="s">
        <v>1091</v>
      </c>
      <c r="C884" s="15" t="s">
        <v>5867</v>
      </c>
      <c r="D884" s="15" t="s">
        <v>5868</v>
      </c>
      <c r="E884" s="15" t="s">
        <v>5874</v>
      </c>
    </row>
    <row r="885" spans="1:5" ht="25.5" x14ac:dyDescent="0.2">
      <c r="A885" s="14" t="s">
        <v>5875</v>
      </c>
      <c r="B885" s="15" t="s">
        <v>1141</v>
      </c>
      <c r="C885" s="15" t="s">
        <v>5867</v>
      </c>
      <c r="D885" s="15" t="s">
        <v>5868</v>
      </c>
      <c r="E885" s="15" t="s">
        <v>5876</v>
      </c>
    </row>
    <row r="886" spans="1:5" ht="25.5" x14ac:dyDescent="0.2">
      <c r="A886" s="14" t="s">
        <v>5877</v>
      </c>
      <c r="B886" s="15" t="s">
        <v>730</v>
      </c>
      <c r="C886" s="15" t="s">
        <v>5867</v>
      </c>
      <c r="D886" s="15" t="s">
        <v>5868</v>
      </c>
      <c r="E886" s="15" t="s">
        <v>5878</v>
      </c>
    </row>
    <row r="887" spans="1:5" ht="25.5" x14ac:dyDescent="0.2">
      <c r="A887" s="14" t="s">
        <v>5879</v>
      </c>
      <c r="B887" s="15" t="s">
        <v>1286</v>
      </c>
      <c r="C887" s="15" t="s">
        <v>5867</v>
      </c>
      <c r="D887" s="15" t="s">
        <v>5868</v>
      </c>
      <c r="E887" s="15" t="s">
        <v>5880</v>
      </c>
    </row>
    <row r="888" spans="1:5" ht="25.5" x14ac:dyDescent="0.2">
      <c r="A888" s="14" t="s">
        <v>5881</v>
      </c>
      <c r="B888" s="15" t="s">
        <v>179</v>
      </c>
      <c r="C888" s="15" t="s">
        <v>5867</v>
      </c>
      <c r="D888" s="15" t="s">
        <v>5868</v>
      </c>
      <c r="E888" s="15" t="s">
        <v>5882</v>
      </c>
    </row>
    <row r="889" spans="1:5" ht="25.5" x14ac:dyDescent="0.2">
      <c r="A889" s="14" t="s">
        <v>5883</v>
      </c>
      <c r="B889" s="15" t="s">
        <v>179</v>
      </c>
      <c r="C889" s="15" t="s">
        <v>5867</v>
      </c>
      <c r="D889" s="15" t="s">
        <v>5868</v>
      </c>
      <c r="E889" s="15" t="s">
        <v>5884</v>
      </c>
    </row>
    <row r="890" spans="1:5" ht="25.5" x14ac:dyDescent="0.2">
      <c r="A890" s="14" t="s">
        <v>5885</v>
      </c>
      <c r="B890" s="15" t="s">
        <v>374</v>
      </c>
      <c r="C890" s="15" t="s">
        <v>5867</v>
      </c>
      <c r="D890" s="15" t="s">
        <v>5868</v>
      </c>
      <c r="E890" s="15" t="s">
        <v>5886</v>
      </c>
    </row>
    <row r="891" spans="1:5" ht="25.5" x14ac:dyDescent="0.2">
      <c r="A891" s="14" t="s">
        <v>5887</v>
      </c>
      <c r="B891" s="15" t="s">
        <v>242</v>
      </c>
      <c r="C891" s="15" t="s">
        <v>3395</v>
      </c>
      <c r="D891" s="15" t="s">
        <v>3396</v>
      </c>
      <c r="E891" s="15" t="s">
        <v>5888</v>
      </c>
    </row>
    <row r="892" spans="1:5" ht="25.5" x14ac:dyDescent="0.2">
      <c r="A892" s="14" t="s">
        <v>5889</v>
      </c>
      <c r="B892" s="15" t="s">
        <v>824</v>
      </c>
      <c r="C892" s="15" t="s">
        <v>4132</v>
      </c>
      <c r="D892" s="15" t="s">
        <v>4133</v>
      </c>
      <c r="E892" s="15" t="s">
        <v>5890</v>
      </c>
    </row>
    <row r="893" spans="1:5" ht="25.5" x14ac:dyDescent="0.2">
      <c r="A893" s="14" t="s">
        <v>5891</v>
      </c>
      <c r="B893" s="15" t="s">
        <v>978</v>
      </c>
      <c r="C893" s="15" t="s">
        <v>4132</v>
      </c>
      <c r="D893" s="15" t="s">
        <v>4133</v>
      </c>
      <c r="E893" s="15" t="s">
        <v>5892</v>
      </c>
    </row>
    <row r="894" spans="1:5" ht="25.5" x14ac:dyDescent="0.2">
      <c r="A894" s="14" t="s">
        <v>5893</v>
      </c>
      <c r="B894" s="15" t="s">
        <v>1139</v>
      </c>
      <c r="C894" s="15" t="s">
        <v>4132</v>
      </c>
      <c r="D894" s="15" t="s">
        <v>4133</v>
      </c>
      <c r="E894" s="15" t="s">
        <v>5894</v>
      </c>
    </row>
    <row r="895" spans="1:5" ht="25.5" x14ac:dyDescent="0.2">
      <c r="A895" s="14" t="s">
        <v>5895</v>
      </c>
      <c r="B895" s="15" t="s">
        <v>678</v>
      </c>
      <c r="C895" s="15" t="s">
        <v>4132</v>
      </c>
      <c r="D895" s="15" t="s">
        <v>4133</v>
      </c>
      <c r="E895" s="15" t="s">
        <v>5896</v>
      </c>
    </row>
    <row r="896" spans="1:5" ht="25.5" x14ac:dyDescent="0.2">
      <c r="A896" s="14" t="s">
        <v>5897</v>
      </c>
      <c r="B896" s="15" t="s">
        <v>570</v>
      </c>
      <c r="C896" s="15" t="s">
        <v>4132</v>
      </c>
      <c r="D896" s="15" t="s">
        <v>4133</v>
      </c>
      <c r="E896" s="15" t="s">
        <v>5898</v>
      </c>
    </row>
    <row r="897" spans="1:5" ht="25.5" x14ac:dyDescent="0.2">
      <c r="A897" s="14" t="s">
        <v>5899</v>
      </c>
      <c r="B897" s="15" t="s">
        <v>570</v>
      </c>
      <c r="C897" s="15" t="s">
        <v>4132</v>
      </c>
      <c r="D897" s="15" t="s">
        <v>4133</v>
      </c>
      <c r="E897" s="15" t="s">
        <v>5900</v>
      </c>
    </row>
    <row r="898" spans="1:5" ht="25.5" x14ac:dyDescent="0.2">
      <c r="A898" s="14" t="s">
        <v>5901</v>
      </c>
      <c r="B898" s="15" t="s">
        <v>893</v>
      </c>
      <c r="C898" s="15" t="s">
        <v>4132</v>
      </c>
      <c r="D898" s="15" t="s">
        <v>4133</v>
      </c>
      <c r="E898" s="15" t="s">
        <v>5902</v>
      </c>
    </row>
    <row r="899" spans="1:5" ht="25.5" x14ac:dyDescent="0.2">
      <c r="A899" s="14" t="s">
        <v>5903</v>
      </c>
      <c r="B899" s="15" t="s">
        <v>629</v>
      </c>
      <c r="C899" s="15" t="s">
        <v>4132</v>
      </c>
      <c r="D899" s="15" t="s">
        <v>4133</v>
      </c>
      <c r="E899" s="15" t="s">
        <v>5904</v>
      </c>
    </row>
    <row r="900" spans="1:5" ht="25.5" x14ac:dyDescent="0.2">
      <c r="A900" s="14" t="s">
        <v>5905</v>
      </c>
      <c r="B900" s="15" t="s">
        <v>1496</v>
      </c>
      <c r="C900" s="15" t="s">
        <v>4132</v>
      </c>
      <c r="D900" s="15" t="s">
        <v>4133</v>
      </c>
      <c r="E900" s="15" t="s">
        <v>5906</v>
      </c>
    </row>
    <row r="901" spans="1:5" ht="25.5" x14ac:dyDescent="0.2">
      <c r="A901" s="14" t="s">
        <v>5907</v>
      </c>
      <c r="B901" s="15" t="s">
        <v>659</v>
      </c>
      <c r="C901" s="15" t="s">
        <v>4132</v>
      </c>
      <c r="D901" s="15" t="s">
        <v>4133</v>
      </c>
      <c r="E901" s="15" t="s">
        <v>5908</v>
      </c>
    </row>
    <row r="902" spans="1:5" ht="25.5" x14ac:dyDescent="0.2">
      <c r="A902" s="14" t="s">
        <v>5909</v>
      </c>
      <c r="B902" s="15" t="s">
        <v>95</v>
      </c>
      <c r="C902" s="15" t="s">
        <v>4262</v>
      </c>
      <c r="D902" s="15" t="s">
        <v>4263</v>
      </c>
      <c r="E902" s="15" t="s">
        <v>5910</v>
      </c>
    </row>
    <row r="903" spans="1:5" ht="25.5" x14ac:dyDescent="0.2">
      <c r="A903" s="14" t="s">
        <v>5911</v>
      </c>
      <c r="B903" s="15" t="s">
        <v>5912</v>
      </c>
      <c r="C903" s="15" t="s">
        <v>4262</v>
      </c>
      <c r="D903" s="15" t="s">
        <v>4263</v>
      </c>
      <c r="E903" s="15" t="s">
        <v>5913</v>
      </c>
    </row>
    <row r="904" spans="1:5" ht="25.5" x14ac:dyDescent="0.2">
      <c r="A904" s="14" t="s">
        <v>5914</v>
      </c>
      <c r="B904" s="15" t="s">
        <v>5915</v>
      </c>
      <c r="C904" s="15" t="s">
        <v>4262</v>
      </c>
      <c r="D904" s="15" t="s">
        <v>4263</v>
      </c>
      <c r="E904" s="15" t="s">
        <v>5916</v>
      </c>
    </row>
    <row r="905" spans="1:5" ht="25.5" x14ac:dyDescent="0.2">
      <c r="A905" s="14" t="s">
        <v>5917</v>
      </c>
      <c r="B905" s="15" t="s">
        <v>445</v>
      </c>
      <c r="C905" s="15" t="s">
        <v>5918</v>
      </c>
      <c r="D905" s="15" t="s">
        <v>5919</v>
      </c>
      <c r="E905" s="15" t="s">
        <v>5920</v>
      </c>
    </row>
    <row r="906" spans="1:5" ht="25.5" x14ac:dyDescent="0.2">
      <c r="A906" s="14" t="s">
        <v>5921</v>
      </c>
      <c r="B906" s="15" t="s">
        <v>5922</v>
      </c>
      <c r="C906" s="15" t="s">
        <v>4171</v>
      </c>
      <c r="D906" s="15" t="s">
        <v>4172</v>
      </c>
      <c r="E906" s="15" t="s">
        <v>5923</v>
      </c>
    </row>
    <row r="907" spans="1:5" ht="25.5" x14ac:dyDescent="0.2">
      <c r="A907" s="14" t="s">
        <v>5924</v>
      </c>
      <c r="B907" s="15" t="s">
        <v>9</v>
      </c>
      <c r="C907" s="15" t="s">
        <v>4082</v>
      </c>
      <c r="D907" s="15" t="s">
        <v>4083</v>
      </c>
      <c r="E907" s="15" t="s">
        <v>5925</v>
      </c>
    </row>
    <row r="908" spans="1:5" ht="25.5" x14ac:dyDescent="0.2">
      <c r="A908" s="14" t="s">
        <v>5926</v>
      </c>
      <c r="B908" s="15" t="s">
        <v>572</v>
      </c>
      <c r="C908" s="15" t="s">
        <v>4800</v>
      </c>
      <c r="D908" s="15" t="s">
        <v>4801</v>
      </c>
      <c r="E908" s="15" t="s">
        <v>5927</v>
      </c>
    </row>
    <row r="909" spans="1:5" ht="25.5" x14ac:dyDescent="0.2">
      <c r="A909" s="14" t="s">
        <v>5928</v>
      </c>
      <c r="B909" s="15" t="s">
        <v>789</v>
      </c>
      <c r="C909" s="15" t="s">
        <v>4800</v>
      </c>
      <c r="D909" s="15" t="s">
        <v>4801</v>
      </c>
      <c r="E909" s="15" t="s">
        <v>5929</v>
      </c>
    </row>
    <row r="910" spans="1:5" ht="25.5" x14ac:dyDescent="0.2">
      <c r="A910" s="14" t="s">
        <v>5930</v>
      </c>
      <c r="B910" s="15" t="s">
        <v>370</v>
      </c>
      <c r="C910" s="15" t="s">
        <v>4800</v>
      </c>
      <c r="D910" s="15" t="s">
        <v>4801</v>
      </c>
      <c r="E910" s="15" t="s">
        <v>5931</v>
      </c>
    </row>
    <row r="911" spans="1:5" ht="25.5" x14ac:dyDescent="0.2">
      <c r="A911" s="14" t="s">
        <v>5932</v>
      </c>
      <c r="B911" s="15" t="s">
        <v>190</v>
      </c>
      <c r="C911" s="15" t="s">
        <v>4800</v>
      </c>
      <c r="D911" s="15" t="s">
        <v>4801</v>
      </c>
      <c r="E911" s="15" t="s">
        <v>5933</v>
      </c>
    </row>
    <row r="912" spans="1:5" ht="25.5" x14ac:dyDescent="0.2">
      <c r="A912" s="14" t="s">
        <v>5934</v>
      </c>
      <c r="B912" s="15" t="s">
        <v>5935</v>
      </c>
      <c r="C912" s="15" t="s">
        <v>4800</v>
      </c>
      <c r="D912" s="15" t="s">
        <v>4801</v>
      </c>
      <c r="E912" s="15" t="s">
        <v>5936</v>
      </c>
    </row>
    <row r="913" spans="1:5" ht="25.5" x14ac:dyDescent="0.2">
      <c r="A913" s="14" t="s">
        <v>5937</v>
      </c>
      <c r="B913" s="15" t="s">
        <v>302</v>
      </c>
      <c r="C913" s="15" t="s">
        <v>4764</v>
      </c>
      <c r="D913" s="15" t="s">
        <v>4765</v>
      </c>
      <c r="E913" s="15" t="s">
        <v>5938</v>
      </c>
    </row>
    <row r="914" spans="1:5" ht="25.5" x14ac:dyDescent="0.2">
      <c r="A914" s="14" t="s">
        <v>5939</v>
      </c>
      <c r="B914" s="15" t="s">
        <v>522</v>
      </c>
      <c r="C914" s="15" t="s">
        <v>4764</v>
      </c>
      <c r="D914" s="15" t="s">
        <v>4765</v>
      </c>
      <c r="E914" s="15" t="s">
        <v>5940</v>
      </c>
    </row>
    <row r="915" spans="1:5" ht="25.5" x14ac:dyDescent="0.2">
      <c r="A915" s="14" t="s">
        <v>5941</v>
      </c>
      <c r="B915" s="15" t="s">
        <v>272</v>
      </c>
      <c r="C915" s="15" t="s">
        <v>4764</v>
      </c>
      <c r="D915" s="15" t="s">
        <v>4765</v>
      </c>
      <c r="E915" s="15" t="s">
        <v>5942</v>
      </c>
    </row>
    <row r="916" spans="1:5" ht="25.5" x14ac:dyDescent="0.2">
      <c r="A916" s="14" t="s">
        <v>5943</v>
      </c>
      <c r="B916" s="15" t="s">
        <v>5944</v>
      </c>
      <c r="C916" s="15" t="s">
        <v>5945</v>
      </c>
      <c r="D916" s="15" t="s">
        <v>5946</v>
      </c>
      <c r="E916" s="15" t="s">
        <v>5947</v>
      </c>
    </row>
    <row r="917" spans="1:5" ht="25.5" x14ac:dyDescent="0.2">
      <c r="A917" s="14"/>
      <c r="B917" s="15" t="s">
        <v>5948</v>
      </c>
      <c r="C917" s="15" t="s">
        <v>3339</v>
      </c>
      <c r="D917" s="15" t="s">
        <v>3340</v>
      </c>
      <c r="E917" s="15" t="s">
        <v>5949</v>
      </c>
    </row>
    <row r="918" spans="1:5" ht="25.5" x14ac:dyDescent="0.2">
      <c r="A918" s="14" t="s">
        <v>5950</v>
      </c>
      <c r="B918" s="15" t="s">
        <v>791</v>
      </c>
      <c r="C918" s="15" t="s">
        <v>4878</v>
      </c>
      <c r="D918" s="15" t="s">
        <v>4879</v>
      </c>
      <c r="E918" s="15" t="s">
        <v>5951</v>
      </c>
    </row>
    <row r="919" spans="1:5" ht="25.5" x14ac:dyDescent="0.2">
      <c r="A919" s="14" t="s">
        <v>5952</v>
      </c>
      <c r="B919" s="15" t="s">
        <v>5953</v>
      </c>
      <c r="C919" s="15" t="s">
        <v>4878</v>
      </c>
      <c r="D919" s="15" t="s">
        <v>4879</v>
      </c>
      <c r="E919" s="15" t="s">
        <v>5954</v>
      </c>
    </row>
    <row r="920" spans="1:5" ht="25.5" x14ac:dyDescent="0.2">
      <c r="A920" s="14" t="s">
        <v>5955</v>
      </c>
      <c r="B920" s="15" t="s">
        <v>5956</v>
      </c>
      <c r="C920" s="15" t="s">
        <v>4878</v>
      </c>
      <c r="D920" s="15" t="s">
        <v>4879</v>
      </c>
      <c r="E920" s="15" t="s">
        <v>5957</v>
      </c>
    </row>
    <row r="921" spans="1:5" ht="25.5" x14ac:dyDescent="0.2">
      <c r="A921" s="14" t="s">
        <v>5958</v>
      </c>
      <c r="B921" s="15" t="s">
        <v>5959</v>
      </c>
      <c r="C921" s="15" t="s">
        <v>4262</v>
      </c>
      <c r="D921" s="15" t="s">
        <v>4263</v>
      </c>
      <c r="E921" s="15" t="s">
        <v>5960</v>
      </c>
    </row>
    <row r="922" spans="1:5" ht="25.5" x14ac:dyDescent="0.2">
      <c r="A922" s="14" t="s">
        <v>5961</v>
      </c>
      <c r="B922" s="15" t="s">
        <v>608</v>
      </c>
      <c r="C922" s="15" t="s">
        <v>4132</v>
      </c>
      <c r="D922" s="15" t="s">
        <v>4133</v>
      </c>
      <c r="E922" s="15" t="s">
        <v>5962</v>
      </c>
    </row>
    <row r="923" spans="1:5" ht="25.5" x14ac:dyDescent="0.2">
      <c r="A923" s="14" t="s">
        <v>5963</v>
      </c>
      <c r="B923" s="15" t="s">
        <v>607</v>
      </c>
      <c r="C923" s="15" t="s">
        <v>4132</v>
      </c>
      <c r="D923" s="15" t="s">
        <v>4133</v>
      </c>
      <c r="E923" s="15" t="s">
        <v>5964</v>
      </c>
    </row>
    <row r="924" spans="1:5" ht="25.5" x14ac:dyDescent="0.2">
      <c r="A924" s="14" t="s">
        <v>5965</v>
      </c>
      <c r="B924" s="15" t="s">
        <v>901</v>
      </c>
      <c r="C924" s="15" t="s">
        <v>4132</v>
      </c>
      <c r="D924" s="15" t="s">
        <v>4133</v>
      </c>
      <c r="E924" s="15" t="s">
        <v>5966</v>
      </c>
    </row>
    <row r="925" spans="1:5" ht="25.5" x14ac:dyDescent="0.2">
      <c r="A925" s="14" t="s">
        <v>5967</v>
      </c>
      <c r="B925" s="15" t="s">
        <v>1116</v>
      </c>
      <c r="C925" s="15" t="s">
        <v>4132</v>
      </c>
      <c r="D925" s="15" t="s">
        <v>4133</v>
      </c>
      <c r="E925" s="15" t="s">
        <v>5968</v>
      </c>
    </row>
    <row r="926" spans="1:5" ht="25.5" x14ac:dyDescent="0.2">
      <c r="A926" s="14" t="s">
        <v>5969</v>
      </c>
      <c r="B926" s="15" t="s">
        <v>5970</v>
      </c>
      <c r="C926" s="15" t="s">
        <v>4132</v>
      </c>
      <c r="D926" s="15" t="s">
        <v>4133</v>
      </c>
      <c r="E926" s="15" t="s">
        <v>5971</v>
      </c>
    </row>
    <row r="927" spans="1:5" ht="25.5" x14ac:dyDescent="0.2">
      <c r="A927" s="14" t="s">
        <v>5972</v>
      </c>
      <c r="B927" s="15" t="s">
        <v>682</v>
      </c>
      <c r="C927" s="15" t="s">
        <v>4132</v>
      </c>
      <c r="D927" s="15" t="s">
        <v>4133</v>
      </c>
      <c r="E927" s="15" t="s">
        <v>5973</v>
      </c>
    </row>
    <row r="928" spans="1:5" ht="25.5" x14ac:dyDescent="0.2">
      <c r="A928" s="14" t="s">
        <v>5974</v>
      </c>
      <c r="B928" s="15" t="s">
        <v>1178</v>
      </c>
      <c r="C928" s="15" t="s">
        <v>4132</v>
      </c>
      <c r="D928" s="15" t="s">
        <v>4133</v>
      </c>
      <c r="E928" s="15" t="s">
        <v>5975</v>
      </c>
    </row>
    <row r="929" spans="1:5" ht="25.5" x14ac:dyDescent="0.2">
      <c r="A929" s="14" t="s">
        <v>5976</v>
      </c>
      <c r="B929" s="15" t="s">
        <v>1114</v>
      </c>
      <c r="C929" s="15" t="s">
        <v>4132</v>
      </c>
      <c r="D929" s="15" t="s">
        <v>4133</v>
      </c>
      <c r="E929" s="15" t="s">
        <v>5977</v>
      </c>
    </row>
    <row r="930" spans="1:5" ht="25.5" x14ac:dyDescent="0.2">
      <c r="A930" s="14" t="s">
        <v>5978</v>
      </c>
      <c r="B930" s="15" t="s">
        <v>1115</v>
      </c>
      <c r="C930" s="15" t="s">
        <v>4132</v>
      </c>
      <c r="D930" s="15" t="s">
        <v>4133</v>
      </c>
      <c r="E930" s="15" t="s">
        <v>5979</v>
      </c>
    </row>
    <row r="931" spans="1:5" ht="25.5" x14ac:dyDescent="0.2">
      <c r="A931" s="14" t="s">
        <v>5980</v>
      </c>
      <c r="B931" s="15" t="s">
        <v>573</v>
      </c>
      <c r="C931" s="15" t="s">
        <v>4132</v>
      </c>
      <c r="D931" s="15" t="s">
        <v>4133</v>
      </c>
      <c r="E931" s="15" t="s">
        <v>5981</v>
      </c>
    </row>
    <row r="932" spans="1:5" ht="25.5" x14ac:dyDescent="0.2">
      <c r="A932" s="14" t="s">
        <v>5982</v>
      </c>
      <c r="B932" s="15" t="s">
        <v>5983</v>
      </c>
      <c r="C932" s="15" t="s">
        <v>4132</v>
      </c>
      <c r="D932" s="15" t="s">
        <v>4133</v>
      </c>
      <c r="E932" s="15" t="s">
        <v>5984</v>
      </c>
    </row>
    <row r="933" spans="1:5" ht="25.5" x14ac:dyDescent="0.2">
      <c r="A933" s="14" t="s">
        <v>5985</v>
      </c>
      <c r="B933" s="15" t="s">
        <v>385</v>
      </c>
      <c r="C933" s="15" t="s">
        <v>4132</v>
      </c>
      <c r="D933" s="15" t="s">
        <v>4133</v>
      </c>
      <c r="E933" s="15" t="s">
        <v>5986</v>
      </c>
    </row>
    <row r="934" spans="1:5" ht="25.5" x14ac:dyDescent="0.2">
      <c r="A934" s="14" t="s">
        <v>5987</v>
      </c>
      <c r="B934" s="15" t="s">
        <v>5988</v>
      </c>
      <c r="C934" s="15" t="s">
        <v>4132</v>
      </c>
      <c r="D934" s="15" t="s">
        <v>4133</v>
      </c>
      <c r="E934" s="15" t="s">
        <v>5989</v>
      </c>
    </row>
    <row r="935" spans="1:5" ht="25.5" x14ac:dyDescent="0.2">
      <c r="A935" s="14" t="s">
        <v>5990</v>
      </c>
      <c r="B935" s="15" t="s">
        <v>5991</v>
      </c>
      <c r="C935" s="15" t="s">
        <v>4132</v>
      </c>
      <c r="D935" s="15" t="s">
        <v>4133</v>
      </c>
      <c r="E935" s="15" t="s">
        <v>5992</v>
      </c>
    </row>
    <row r="936" spans="1:5" ht="25.5" x14ac:dyDescent="0.2">
      <c r="A936" s="14" t="s">
        <v>5993</v>
      </c>
      <c r="B936" s="15" t="s">
        <v>1497</v>
      </c>
      <c r="C936" s="15" t="s">
        <v>4132</v>
      </c>
      <c r="D936" s="15" t="s">
        <v>4133</v>
      </c>
      <c r="E936" s="15" t="s">
        <v>5994</v>
      </c>
    </row>
    <row r="937" spans="1:5" ht="25.5" x14ac:dyDescent="0.2">
      <c r="A937" s="14" t="s">
        <v>5995</v>
      </c>
      <c r="B937" s="15" t="s">
        <v>1497</v>
      </c>
      <c r="C937" s="15" t="s">
        <v>4132</v>
      </c>
      <c r="D937" s="15" t="s">
        <v>4133</v>
      </c>
      <c r="E937" s="15" t="s">
        <v>5996</v>
      </c>
    </row>
    <row r="938" spans="1:5" ht="25.5" x14ac:dyDescent="0.2">
      <c r="A938" s="14" t="s">
        <v>5997</v>
      </c>
      <c r="B938" s="15" t="s">
        <v>609</v>
      </c>
      <c r="C938" s="15" t="s">
        <v>4132</v>
      </c>
      <c r="D938" s="15" t="s">
        <v>4133</v>
      </c>
      <c r="E938" s="15" t="s">
        <v>5998</v>
      </c>
    </row>
    <row r="939" spans="1:5" ht="25.5" x14ac:dyDescent="0.2">
      <c r="A939" s="14" t="s">
        <v>5999</v>
      </c>
      <c r="B939" s="15" t="s">
        <v>56</v>
      </c>
      <c r="C939" s="15" t="s">
        <v>4132</v>
      </c>
      <c r="D939" s="15" t="s">
        <v>4133</v>
      </c>
      <c r="E939" s="15" t="s">
        <v>6000</v>
      </c>
    </row>
    <row r="940" spans="1:5" ht="25.5" x14ac:dyDescent="0.2">
      <c r="A940" s="14" t="s">
        <v>6001</v>
      </c>
      <c r="B940" s="15" t="s">
        <v>286</v>
      </c>
      <c r="C940" s="15" t="s">
        <v>4132</v>
      </c>
      <c r="D940" s="15" t="s">
        <v>4133</v>
      </c>
      <c r="E940" s="15" t="s">
        <v>6002</v>
      </c>
    </row>
    <row r="941" spans="1:5" ht="25.5" x14ac:dyDescent="0.2">
      <c r="A941" s="14" t="s">
        <v>6003</v>
      </c>
      <c r="B941" s="15" t="s">
        <v>420</v>
      </c>
      <c r="C941" s="15" t="s">
        <v>6004</v>
      </c>
      <c r="D941" s="15" t="s">
        <v>6005</v>
      </c>
      <c r="E941" s="15" t="s">
        <v>6006</v>
      </c>
    </row>
    <row r="942" spans="1:5" ht="25.5" x14ac:dyDescent="0.2">
      <c r="A942" s="14" t="s">
        <v>6007</v>
      </c>
      <c r="B942" s="15" t="s">
        <v>6008</v>
      </c>
      <c r="C942" s="15" t="s">
        <v>6004</v>
      </c>
      <c r="D942" s="15" t="s">
        <v>6005</v>
      </c>
      <c r="E942" s="15" t="s">
        <v>6009</v>
      </c>
    </row>
    <row r="943" spans="1:5" ht="25.5" x14ac:dyDescent="0.2">
      <c r="A943" s="14"/>
      <c r="B943" s="15" t="s">
        <v>6010</v>
      </c>
      <c r="C943" s="15" t="s">
        <v>3506</v>
      </c>
      <c r="D943" s="15" t="s">
        <v>3507</v>
      </c>
      <c r="E943" s="15" t="s">
        <v>6011</v>
      </c>
    </row>
    <row r="944" spans="1:5" ht="25.5" x14ac:dyDescent="0.2">
      <c r="A944" s="14" t="s">
        <v>6012</v>
      </c>
      <c r="B944" s="15" t="s">
        <v>281</v>
      </c>
      <c r="C944" s="15" t="s">
        <v>3303</v>
      </c>
      <c r="D944" s="15" t="s">
        <v>3304</v>
      </c>
      <c r="E944" s="15" t="s">
        <v>6013</v>
      </c>
    </row>
    <row r="945" spans="1:5" ht="25.5" x14ac:dyDescent="0.2">
      <c r="A945" s="14" t="s">
        <v>6014</v>
      </c>
      <c r="B945" s="15" t="s">
        <v>6015</v>
      </c>
      <c r="C945" s="15" t="s">
        <v>4082</v>
      </c>
      <c r="D945" s="15" t="s">
        <v>4083</v>
      </c>
      <c r="E945" s="15" t="s">
        <v>6016</v>
      </c>
    </row>
    <row r="946" spans="1:5" ht="25.5" x14ac:dyDescent="0.2">
      <c r="A946" s="14" t="s">
        <v>6017</v>
      </c>
      <c r="B946" s="15" t="s">
        <v>6018</v>
      </c>
      <c r="C946" s="15" t="s">
        <v>4082</v>
      </c>
      <c r="D946" s="15" t="s">
        <v>4083</v>
      </c>
      <c r="E946" s="15" t="s">
        <v>6019</v>
      </c>
    </row>
    <row r="947" spans="1:5" ht="25.5" x14ac:dyDescent="0.2">
      <c r="A947" s="14" t="s">
        <v>6020</v>
      </c>
      <c r="B947" s="15" t="s">
        <v>6021</v>
      </c>
      <c r="C947" s="15" t="s">
        <v>4082</v>
      </c>
      <c r="D947" s="15" t="s">
        <v>4083</v>
      </c>
      <c r="E947" s="15" t="s">
        <v>6022</v>
      </c>
    </row>
    <row r="948" spans="1:5" ht="25.5" x14ac:dyDescent="0.2">
      <c r="A948" s="14" t="s">
        <v>6023</v>
      </c>
      <c r="B948" s="15" t="s">
        <v>6024</v>
      </c>
      <c r="C948" s="15" t="s">
        <v>6025</v>
      </c>
      <c r="D948" s="15" t="s">
        <v>6026</v>
      </c>
      <c r="E948" s="15" t="s">
        <v>6027</v>
      </c>
    </row>
    <row r="949" spans="1:5" ht="25.5" x14ac:dyDescent="0.2">
      <c r="A949" s="14" t="s">
        <v>6028</v>
      </c>
      <c r="B949" s="15" t="s">
        <v>6029</v>
      </c>
      <c r="C949" s="15" t="s">
        <v>4082</v>
      </c>
      <c r="D949" s="15" t="s">
        <v>4083</v>
      </c>
      <c r="E949" s="15" t="s">
        <v>6030</v>
      </c>
    </row>
    <row r="950" spans="1:5" ht="25.5" x14ac:dyDescent="0.2">
      <c r="A950" s="14" t="s">
        <v>6031</v>
      </c>
      <c r="B950" s="15" t="s">
        <v>6032</v>
      </c>
      <c r="C950" s="15" t="s">
        <v>4082</v>
      </c>
      <c r="D950" s="15" t="s">
        <v>4083</v>
      </c>
      <c r="E950" s="15" t="s">
        <v>6033</v>
      </c>
    </row>
    <row r="951" spans="1:5" ht="25.5" x14ac:dyDescent="0.2">
      <c r="A951" s="14" t="s">
        <v>6034</v>
      </c>
      <c r="B951" s="15" t="s">
        <v>6035</v>
      </c>
      <c r="C951" s="15" t="s">
        <v>6036</v>
      </c>
      <c r="D951" s="15" t="s">
        <v>6037</v>
      </c>
      <c r="E951" s="15" t="s">
        <v>6038</v>
      </c>
    </row>
    <row r="952" spans="1:5" ht="25.5" x14ac:dyDescent="0.2">
      <c r="A952" s="14" t="s">
        <v>6039</v>
      </c>
      <c r="B952" s="15" t="s">
        <v>6040</v>
      </c>
      <c r="C952" s="15" t="s">
        <v>4307</v>
      </c>
      <c r="D952" s="15" t="s">
        <v>4308</v>
      </c>
      <c r="E952" s="15" t="s">
        <v>6041</v>
      </c>
    </row>
    <row r="953" spans="1:5" ht="25.5" x14ac:dyDescent="0.2">
      <c r="A953" s="14" t="s">
        <v>6042</v>
      </c>
      <c r="B953" s="15" t="s">
        <v>6043</v>
      </c>
      <c r="C953" s="15" t="s">
        <v>4307</v>
      </c>
      <c r="D953" s="15" t="s">
        <v>4308</v>
      </c>
      <c r="E953" s="15" t="s">
        <v>6044</v>
      </c>
    </row>
    <row r="954" spans="1:5" ht="25.5" x14ac:dyDescent="0.2">
      <c r="A954" s="14" t="s">
        <v>6045</v>
      </c>
      <c r="B954" s="15" t="s">
        <v>6046</v>
      </c>
      <c r="C954" s="15" t="s">
        <v>4307</v>
      </c>
      <c r="D954" s="15" t="s">
        <v>4308</v>
      </c>
      <c r="E954" s="15" t="s">
        <v>6047</v>
      </c>
    </row>
    <row r="955" spans="1:5" ht="25.5" x14ac:dyDescent="0.2">
      <c r="A955" s="14" t="s">
        <v>6048</v>
      </c>
      <c r="B955" s="15" t="s">
        <v>1482</v>
      </c>
      <c r="C955" s="15" t="s">
        <v>4307</v>
      </c>
      <c r="D955" s="15" t="s">
        <v>4308</v>
      </c>
      <c r="E955" s="15" t="s">
        <v>6049</v>
      </c>
    </row>
    <row r="956" spans="1:5" ht="25.5" x14ac:dyDescent="0.2">
      <c r="A956" s="14" t="s">
        <v>6050</v>
      </c>
      <c r="B956" s="15" t="s">
        <v>6051</v>
      </c>
      <c r="C956" s="15" t="s">
        <v>4307</v>
      </c>
      <c r="D956" s="15" t="s">
        <v>4308</v>
      </c>
      <c r="E956" s="15" t="s">
        <v>6052</v>
      </c>
    </row>
    <row r="957" spans="1:5" ht="25.5" x14ac:dyDescent="0.2">
      <c r="A957" s="14" t="s">
        <v>6053</v>
      </c>
      <c r="B957" s="15" t="s">
        <v>6054</v>
      </c>
      <c r="C957" s="15" t="s">
        <v>4307</v>
      </c>
      <c r="D957" s="15" t="s">
        <v>4308</v>
      </c>
      <c r="E957" s="15" t="s">
        <v>6055</v>
      </c>
    </row>
    <row r="958" spans="1:5" ht="25.5" x14ac:dyDescent="0.2">
      <c r="A958" s="14" t="s">
        <v>6056</v>
      </c>
      <c r="B958" s="15" t="s">
        <v>6057</v>
      </c>
      <c r="C958" s="15" t="s">
        <v>4307</v>
      </c>
      <c r="D958" s="15" t="s">
        <v>4308</v>
      </c>
      <c r="E958" s="15" t="s">
        <v>6058</v>
      </c>
    </row>
    <row r="959" spans="1:5" ht="25.5" x14ac:dyDescent="0.2">
      <c r="A959" s="14" t="s">
        <v>6059</v>
      </c>
      <c r="B959" s="15" t="s">
        <v>6060</v>
      </c>
      <c r="C959" s="15" t="s">
        <v>6061</v>
      </c>
      <c r="D959" s="15" t="s">
        <v>6062</v>
      </c>
      <c r="E959" s="15" t="s">
        <v>6063</v>
      </c>
    </row>
    <row r="960" spans="1:5" ht="25.5" x14ac:dyDescent="0.2">
      <c r="A960" s="14" t="s">
        <v>6064</v>
      </c>
      <c r="B960" s="15" t="s">
        <v>223</v>
      </c>
      <c r="C960" s="15" t="s">
        <v>4226</v>
      </c>
      <c r="D960" s="15" t="s">
        <v>4227</v>
      </c>
      <c r="E960" s="15" t="s">
        <v>6065</v>
      </c>
    </row>
    <row r="961" spans="1:5" ht="25.5" x14ac:dyDescent="0.2">
      <c r="A961" s="14" t="s">
        <v>6066</v>
      </c>
      <c r="B961" s="15" t="s">
        <v>237</v>
      </c>
      <c r="C961" s="15" t="s">
        <v>4226</v>
      </c>
      <c r="D961" s="15" t="s">
        <v>4227</v>
      </c>
      <c r="E961" s="15" t="s">
        <v>6067</v>
      </c>
    </row>
    <row r="962" spans="1:5" ht="25.5" x14ac:dyDescent="0.2">
      <c r="A962" s="14" t="s">
        <v>6068</v>
      </c>
      <c r="B962" s="15" t="s">
        <v>238</v>
      </c>
      <c r="C962" s="15" t="s">
        <v>4226</v>
      </c>
      <c r="D962" s="15" t="s">
        <v>4227</v>
      </c>
      <c r="E962" s="15" t="s">
        <v>6069</v>
      </c>
    </row>
    <row r="963" spans="1:5" ht="25.5" x14ac:dyDescent="0.2">
      <c r="A963" s="14" t="s">
        <v>6070</v>
      </c>
      <c r="B963" s="15" t="s">
        <v>6071</v>
      </c>
      <c r="C963" s="15" t="s">
        <v>6072</v>
      </c>
      <c r="D963" s="15" t="s">
        <v>6073</v>
      </c>
      <c r="E963" s="15" t="s">
        <v>6074</v>
      </c>
    </row>
    <row r="964" spans="1:5" ht="25.5" x14ac:dyDescent="0.2">
      <c r="A964" s="14" t="s">
        <v>6075</v>
      </c>
      <c r="B964" s="15" t="s">
        <v>1126</v>
      </c>
      <c r="C964" s="15" t="s">
        <v>4800</v>
      </c>
      <c r="D964" s="15" t="s">
        <v>4801</v>
      </c>
      <c r="E964" s="15" t="s">
        <v>6076</v>
      </c>
    </row>
    <row r="965" spans="1:5" ht="25.5" x14ac:dyDescent="0.2">
      <c r="A965" s="14" t="s">
        <v>6077</v>
      </c>
      <c r="B965" s="15" t="s">
        <v>862</v>
      </c>
      <c r="C965" s="15" t="s">
        <v>5231</v>
      </c>
      <c r="D965" s="15" t="s">
        <v>5232</v>
      </c>
      <c r="E965" s="15" t="s">
        <v>6078</v>
      </c>
    </row>
    <row r="966" spans="1:5" ht="25.5" x14ac:dyDescent="0.2">
      <c r="A966" s="14" t="s">
        <v>6079</v>
      </c>
      <c r="B966" s="15" t="s">
        <v>1329</v>
      </c>
      <c r="C966" s="15" t="s">
        <v>5231</v>
      </c>
      <c r="D966" s="15" t="s">
        <v>5232</v>
      </c>
      <c r="E966" s="15" t="s">
        <v>6080</v>
      </c>
    </row>
    <row r="967" spans="1:5" ht="25.5" x14ac:dyDescent="0.2">
      <c r="A967" s="14" t="s">
        <v>6081</v>
      </c>
      <c r="B967" s="15" t="s">
        <v>863</v>
      </c>
      <c r="C967" s="15" t="s">
        <v>5231</v>
      </c>
      <c r="D967" s="15" t="s">
        <v>5232</v>
      </c>
      <c r="E967" s="15" t="s">
        <v>6082</v>
      </c>
    </row>
    <row r="968" spans="1:5" ht="25.5" x14ac:dyDescent="0.2">
      <c r="A968" s="14" t="s">
        <v>6083</v>
      </c>
      <c r="B968" s="15" t="s">
        <v>575</v>
      </c>
      <c r="C968" s="15" t="s">
        <v>4203</v>
      </c>
      <c r="D968" s="15" t="s">
        <v>4204</v>
      </c>
      <c r="E968" s="15" t="s">
        <v>6084</v>
      </c>
    </row>
    <row r="969" spans="1:5" ht="25.5" x14ac:dyDescent="0.2">
      <c r="A969" s="14" t="s">
        <v>6085</v>
      </c>
      <c r="B969" s="15" t="s">
        <v>688</v>
      </c>
      <c r="C969" s="15" t="s">
        <v>4203</v>
      </c>
      <c r="D969" s="15" t="s">
        <v>4204</v>
      </c>
      <c r="E969" s="15" t="s">
        <v>6086</v>
      </c>
    </row>
    <row r="970" spans="1:5" ht="25.5" x14ac:dyDescent="0.2">
      <c r="A970" s="14" t="s">
        <v>6087</v>
      </c>
      <c r="B970" s="15" t="s">
        <v>725</v>
      </c>
      <c r="C970" s="15" t="s">
        <v>4203</v>
      </c>
      <c r="D970" s="15" t="s">
        <v>4204</v>
      </c>
      <c r="E970" s="15" t="s">
        <v>6088</v>
      </c>
    </row>
    <row r="971" spans="1:5" ht="25.5" x14ac:dyDescent="0.2">
      <c r="A971" s="14" t="s">
        <v>6089</v>
      </c>
      <c r="B971" s="15" t="s">
        <v>1471</v>
      </c>
      <c r="C971" s="15" t="s">
        <v>6090</v>
      </c>
      <c r="D971" s="15" t="s">
        <v>6091</v>
      </c>
      <c r="E971" s="15" t="s">
        <v>6092</v>
      </c>
    </row>
    <row r="972" spans="1:5" ht="25.5" x14ac:dyDescent="0.2">
      <c r="A972" s="14" t="s">
        <v>6093</v>
      </c>
      <c r="B972" s="15" t="s">
        <v>661</v>
      </c>
      <c r="C972" s="15" t="s">
        <v>4764</v>
      </c>
      <c r="D972" s="15" t="s">
        <v>4765</v>
      </c>
      <c r="E972" s="15" t="s">
        <v>6094</v>
      </c>
    </row>
    <row r="973" spans="1:5" ht="25.5" x14ac:dyDescent="0.2">
      <c r="A973" s="14" t="s">
        <v>6095</v>
      </c>
      <c r="B973" s="15" t="s">
        <v>672</v>
      </c>
      <c r="C973" s="15" t="s">
        <v>4764</v>
      </c>
      <c r="D973" s="15" t="s">
        <v>4765</v>
      </c>
      <c r="E973" s="15" t="s">
        <v>6096</v>
      </c>
    </row>
    <row r="974" spans="1:5" ht="25.5" x14ac:dyDescent="0.2">
      <c r="A974" s="14" t="s">
        <v>6097</v>
      </c>
      <c r="B974" s="15" t="s">
        <v>671</v>
      </c>
      <c r="C974" s="15" t="s">
        <v>4764</v>
      </c>
      <c r="D974" s="15" t="s">
        <v>4765</v>
      </c>
      <c r="E974" s="15" t="s">
        <v>6098</v>
      </c>
    </row>
    <row r="975" spans="1:5" ht="25.5" x14ac:dyDescent="0.2">
      <c r="A975" s="14" t="s">
        <v>6099</v>
      </c>
      <c r="B975" s="15" t="s">
        <v>42</v>
      </c>
      <c r="C975" s="15" t="s">
        <v>4764</v>
      </c>
      <c r="D975" s="15" t="s">
        <v>4765</v>
      </c>
      <c r="E975" s="15" t="s">
        <v>6100</v>
      </c>
    </row>
    <row r="976" spans="1:5" ht="25.5" x14ac:dyDescent="0.2">
      <c r="A976" s="14" t="s">
        <v>6101</v>
      </c>
      <c r="B976" s="15" t="s">
        <v>42</v>
      </c>
      <c r="C976" s="15" t="s">
        <v>4829</v>
      </c>
      <c r="D976" s="15" t="s">
        <v>4830</v>
      </c>
      <c r="E976" s="15" t="s">
        <v>6102</v>
      </c>
    </row>
    <row r="977" spans="1:5" ht="25.5" x14ac:dyDescent="0.2">
      <c r="A977" s="14" t="s">
        <v>6103</v>
      </c>
      <c r="B977" s="15" t="s">
        <v>674</v>
      </c>
      <c r="C977" s="15" t="s">
        <v>4764</v>
      </c>
      <c r="D977" s="15" t="s">
        <v>4765</v>
      </c>
      <c r="E977" s="15" t="s">
        <v>6104</v>
      </c>
    </row>
    <row r="978" spans="1:5" ht="25.5" x14ac:dyDescent="0.2">
      <c r="A978" s="14" t="s">
        <v>6105</v>
      </c>
      <c r="B978" s="15" t="s">
        <v>6106</v>
      </c>
      <c r="C978" s="15" t="s">
        <v>6090</v>
      </c>
      <c r="D978" s="15" t="s">
        <v>6091</v>
      </c>
      <c r="E978" s="15" t="s">
        <v>6107</v>
      </c>
    </row>
    <row r="979" spans="1:5" ht="25.5" x14ac:dyDescent="0.2">
      <c r="A979" s="14" t="s">
        <v>6108</v>
      </c>
      <c r="B979" s="15" t="s">
        <v>6109</v>
      </c>
      <c r="C979" s="15" t="s">
        <v>5557</v>
      </c>
      <c r="D979" s="15" t="s">
        <v>5558</v>
      </c>
      <c r="E979" s="15" t="s">
        <v>6110</v>
      </c>
    </row>
    <row r="980" spans="1:5" ht="25.5" x14ac:dyDescent="0.2">
      <c r="A980" s="14" t="s">
        <v>6111</v>
      </c>
      <c r="B980" s="15" t="s">
        <v>6112</v>
      </c>
      <c r="C980" s="15" t="s">
        <v>5557</v>
      </c>
      <c r="D980" s="15" t="s">
        <v>5558</v>
      </c>
      <c r="E980" s="15" t="s">
        <v>6113</v>
      </c>
    </row>
    <row r="981" spans="1:5" ht="25.5" x14ac:dyDescent="0.2">
      <c r="A981" s="14" t="s">
        <v>6114</v>
      </c>
      <c r="B981" s="15" t="s">
        <v>6115</v>
      </c>
      <c r="C981" s="15" t="s">
        <v>5557</v>
      </c>
      <c r="D981" s="15" t="s">
        <v>5558</v>
      </c>
      <c r="E981" s="15" t="s">
        <v>6116</v>
      </c>
    </row>
    <row r="982" spans="1:5" ht="25.5" x14ac:dyDescent="0.2">
      <c r="A982" s="14" t="s">
        <v>6117</v>
      </c>
      <c r="B982" s="15" t="s">
        <v>308</v>
      </c>
      <c r="C982" s="15" t="s">
        <v>4179</v>
      </c>
      <c r="D982" s="15" t="s">
        <v>4180</v>
      </c>
      <c r="E982" s="15" t="s">
        <v>6118</v>
      </c>
    </row>
    <row r="983" spans="1:5" ht="25.5" x14ac:dyDescent="0.2">
      <c r="A983" s="14" t="s">
        <v>6119</v>
      </c>
      <c r="B983" s="15" t="s">
        <v>31</v>
      </c>
      <c r="C983" s="15" t="s">
        <v>4179</v>
      </c>
      <c r="D983" s="15" t="s">
        <v>4180</v>
      </c>
      <c r="E983" s="15" t="s">
        <v>6120</v>
      </c>
    </row>
    <row r="984" spans="1:5" ht="25.5" x14ac:dyDescent="0.2">
      <c r="A984" s="14" t="s">
        <v>6121</v>
      </c>
      <c r="B984" s="15" t="s">
        <v>1136</v>
      </c>
      <c r="C984" s="15" t="s">
        <v>4179</v>
      </c>
      <c r="D984" s="15" t="s">
        <v>4180</v>
      </c>
      <c r="E984" s="15" t="s">
        <v>6122</v>
      </c>
    </row>
    <row r="985" spans="1:5" ht="25.5" x14ac:dyDescent="0.2">
      <c r="A985" s="14" t="s">
        <v>6123</v>
      </c>
      <c r="B985" s="15" t="s">
        <v>397</v>
      </c>
      <c r="C985" s="15" t="s">
        <v>4179</v>
      </c>
      <c r="D985" s="15" t="s">
        <v>4180</v>
      </c>
      <c r="E985" s="15" t="s">
        <v>6124</v>
      </c>
    </row>
    <row r="986" spans="1:5" ht="25.5" x14ac:dyDescent="0.2">
      <c r="A986" s="14" t="s">
        <v>6125</v>
      </c>
      <c r="B986" s="15" t="s">
        <v>396</v>
      </c>
      <c r="C986" s="15" t="s">
        <v>4179</v>
      </c>
      <c r="D986" s="15" t="s">
        <v>4180</v>
      </c>
      <c r="E986" s="15" t="s">
        <v>6126</v>
      </c>
    </row>
    <row r="987" spans="1:5" ht="25.5" x14ac:dyDescent="0.2">
      <c r="A987" s="14" t="s">
        <v>6127</v>
      </c>
      <c r="B987" s="15" t="s">
        <v>1423</v>
      </c>
      <c r="C987" s="15" t="s">
        <v>5207</v>
      </c>
      <c r="D987" s="15" t="s">
        <v>5208</v>
      </c>
      <c r="E987" s="15" t="s">
        <v>6128</v>
      </c>
    </row>
    <row r="988" spans="1:5" ht="25.5" x14ac:dyDescent="0.2">
      <c r="A988" s="14" t="s">
        <v>6129</v>
      </c>
      <c r="B988" s="15" t="s">
        <v>518</v>
      </c>
      <c r="C988" s="15" t="s">
        <v>4179</v>
      </c>
      <c r="D988" s="15" t="s">
        <v>4180</v>
      </c>
      <c r="E988" s="15" t="s">
        <v>6130</v>
      </c>
    </row>
    <row r="989" spans="1:5" ht="25.5" x14ac:dyDescent="0.2">
      <c r="A989" s="14" t="s">
        <v>6131</v>
      </c>
      <c r="B989" s="15" t="s">
        <v>261</v>
      </c>
      <c r="C989" s="15" t="s">
        <v>4226</v>
      </c>
      <c r="D989" s="15" t="s">
        <v>4227</v>
      </c>
      <c r="E989" s="15" t="s">
        <v>6132</v>
      </c>
    </row>
    <row r="990" spans="1:5" ht="25.5" x14ac:dyDescent="0.2">
      <c r="A990" s="14" t="s">
        <v>6133</v>
      </c>
      <c r="B990" s="15" t="s">
        <v>266</v>
      </c>
      <c r="C990" s="15" t="s">
        <v>4017</v>
      </c>
      <c r="D990" s="15" t="s">
        <v>4018</v>
      </c>
      <c r="E990" s="15" t="s">
        <v>6134</v>
      </c>
    </row>
    <row r="991" spans="1:5" ht="25.5" x14ac:dyDescent="0.2">
      <c r="A991" s="14" t="s">
        <v>6135</v>
      </c>
      <c r="B991" s="15" t="s">
        <v>250</v>
      </c>
      <c r="C991" s="15" t="s">
        <v>4024</v>
      </c>
      <c r="D991" s="15" t="s">
        <v>4025</v>
      </c>
      <c r="E991" s="15" t="s">
        <v>6136</v>
      </c>
    </row>
    <row r="992" spans="1:5" ht="25.5" x14ac:dyDescent="0.2">
      <c r="A992" s="14" t="s">
        <v>6137</v>
      </c>
      <c r="B992" s="15" t="s">
        <v>526</v>
      </c>
      <c r="C992" s="15" t="s">
        <v>4024</v>
      </c>
      <c r="D992" s="15" t="s">
        <v>4025</v>
      </c>
      <c r="E992" s="15" t="s">
        <v>6138</v>
      </c>
    </row>
    <row r="993" spans="1:5" ht="25.5" x14ac:dyDescent="0.2">
      <c r="A993" s="14" t="s">
        <v>6139</v>
      </c>
      <c r="B993" s="15" t="s">
        <v>526</v>
      </c>
      <c r="C993" s="15" t="s">
        <v>4024</v>
      </c>
      <c r="D993" s="15" t="s">
        <v>4025</v>
      </c>
      <c r="E993" s="15" t="s">
        <v>6140</v>
      </c>
    </row>
    <row r="994" spans="1:5" ht="25.5" x14ac:dyDescent="0.2">
      <c r="A994" s="14" t="s">
        <v>6141</v>
      </c>
      <c r="B994" s="15" t="s">
        <v>1399</v>
      </c>
      <c r="C994" s="15" t="s">
        <v>4024</v>
      </c>
      <c r="D994" s="15" t="s">
        <v>4025</v>
      </c>
      <c r="E994" s="15" t="s">
        <v>6142</v>
      </c>
    </row>
    <row r="995" spans="1:5" ht="25.5" x14ac:dyDescent="0.2">
      <c r="A995" s="14" t="s">
        <v>6143</v>
      </c>
      <c r="B995" s="15" t="s">
        <v>6144</v>
      </c>
      <c r="C995" s="15" t="s">
        <v>4171</v>
      </c>
      <c r="D995" s="15" t="s">
        <v>4172</v>
      </c>
      <c r="E995" s="15" t="s">
        <v>6145</v>
      </c>
    </row>
    <row r="996" spans="1:5" ht="25.5" x14ac:dyDescent="0.2">
      <c r="A996" s="14" t="s">
        <v>6146</v>
      </c>
      <c r="B996" s="15" t="s">
        <v>6147</v>
      </c>
      <c r="C996" s="15" t="s">
        <v>4171</v>
      </c>
      <c r="D996" s="15" t="s">
        <v>4172</v>
      </c>
      <c r="E996" s="15" t="s">
        <v>6148</v>
      </c>
    </row>
    <row r="997" spans="1:5" ht="25.5" x14ac:dyDescent="0.2">
      <c r="A997" s="14" t="s">
        <v>6149</v>
      </c>
      <c r="B997" s="15" t="s">
        <v>6150</v>
      </c>
      <c r="C997" s="15" t="s">
        <v>4203</v>
      </c>
      <c r="D997" s="15" t="s">
        <v>4204</v>
      </c>
      <c r="E997" s="15" t="s">
        <v>6151</v>
      </c>
    </row>
    <row r="998" spans="1:5" ht="25.5" x14ac:dyDescent="0.2">
      <c r="A998" s="14" t="s">
        <v>6152</v>
      </c>
      <c r="B998" s="15" t="s">
        <v>6153</v>
      </c>
      <c r="C998" s="15" t="s">
        <v>3395</v>
      </c>
      <c r="D998" s="15" t="s">
        <v>3396</v>
      </c>
      <c r="E998" s="15" t="s">
        <v>6154</v>
      </c>
    </row>
    <row r="999" spans="1:5" ht="38.25" x14ac:dyDescent="0.2">
      <c r="A999" s="14" t="s">
        <v>6155</v>
      </c>
      <c r="B999" s="15" t="s">
        <v>6156</v>
      </c>
      <c r="C999" s="15" t="s">
        <v>5409</v>
      </c>
      <c r="D999" s="15" t="s">
        <v>5410</v>
      </c>
      <c r="E999" s="15" t="s">
        <v>6157</v>
      </c>
    </row>
    <row r="1000" spans="1:5" ht="25.5" x14ac:dyDescent="0.2">
      <c r="A1000" s="14" t="s">
        <v>6158</v>
      </c>
      <c r="B1000" s="15" t="s">
        <v>6159</v>
      </c>
      <c r="C1000" s="15" t="s">
        <v>4226</v>
      </c>
      <c r="D1000" s="15" t="s">
        <v>4227</v>
      </c>
      <c r="E1000" s="15" t="s">
        <v>6160</v>
      </c>
    </row>
    <row r="1001" spans="1:5" ht="51" x14ac:dyDescent="0.2">
      <c r="A1001" s="14" t="s">
        <v>6161</v>
      </c>
      <c r="B1001" s="15" t="s">
        <v>6162</v>
      </c>
      <c r="C1001" s="15" t="s">
        <v>5498</v>
      </c>
      <c r="D1001" s="15" t="s">
        <v>5499</v>
      </c>
      <c r="E1001" s="15" t="s">
        <v>6163</v>
      </c>
    </row>
    <row r="1002" spans="1:5" ht="25.5" x14ac:dyDescent="0.2">
      <c r="A1002" s="14" t="s">
        <v>6164</v>
      </c>
      <c r="B1002" s="15" t="s">
        <v>6165</v>
      </c>
      <c r="C1002" s="15" t="s">
        <v>4152</v>
      </c>
      <c r="D1002" s="15" t="s">
        <v>4153</v>
      </c>
      <c r="E1002" s="15" t="s">
        <v>6166</v>
      </c>
    </row>
    <row r="1003" spans="1:5" ht="25.5" x14ac:dyDescent="0.2">
      <c r="A1003" s="14" t="s">
        <v>6167</v>
      </c>
      <c r="B1003" s="15" t="s">
        <v>1328</v>
      </c>
      <c r="C1003" s="15" t="s">
        <v>5231</v>
      </c>
      <c r="D1003" s="15" t="s">
        <v>5232</v>
      </c>
      <c r="E1003" s="15" t="s">
        <v>6168</v>
      </c>
    </row>
    <row r="1004" spans="1:5" ht="25.5" x14ac:dyDescent="0.2">
      <c r="A1004" s="14" t="s">
        <v>6169</v>
      </c>
      <c r="B1004" s="15" t="s">
        <v>6170</v>
      </c>
      <c r="C1004" s="15" t="s">
        <v>5231</v>
      </c>
      <c r="D1004" s="15" t="s">
        <v>5232</v>
      </c>
      <c r="E1004" s="15" t="s">
        <v>6171</v>
      </c>
    </row>
    <row r="1005" spans="1:5" ht="25.5" x14ac:dyDescent="0.2">
      <c r="A1005" s="14" t="s">
        <v>6172</v>
      </c>
      <c r="B1005" s="15" t="s">
        <v>1485</v>
      </c>
      <c r="C1005" s="15" t="s">
        <v>6173</v>
      </c>
      <c r="D1005" s="15" t="s">
        <v>6174</v>
      </c>
      <c r="E1005" s="15" t="s">
        <v>6175</v>
      </c>
    </row>
    <row r="1006" spans="1:5" ht="25.5" x14ac:dyDescent="0.2">
      <c r="A1006" s="14" t="s">
        <v>6176</v>
      </c>
      <c r="B1006" s="15" t="s">
        <v>530</v>
      </c>
      <c r="C1006" s="15" t="s">
        <v>6173</v>
      </c>
      <c r="D1006" s="15" t="s">
        <v>6174</v>
      </c>
      <c r="E1006" s="15" t="s">
        <v>6177</v>
      </c>
    </row>
    <row r="1007" spans="1:5" ht="25.5" x14ac:dyDescent="0.2">
      <c r="A1007" s="14" t="s">
        <v>6178</v>
      </c>
      <c r="B1007" s="15" t="s">
        <v>1407</v>
      </c>
      <c r="C1007" s="15" t="s">
        <v>6179</v>
      </c>
      <c r="D1007" s="15" t="s">
        <v>6180</v>
      </c>
      <c r="E1007" s="15" t="s">
        <v>6181</v>
      </c>
    </row>
    <row r="1008" spans="1:5" ht="25.5" x14ac:dyDescent="0.2">
      <c r="A1008" s="14" t="s">
        <v>6182</v>
      </c>
      <c r="B1008" s="15" t="s">
        <v>6183</v>
      </c>
      <c r="C1008" s="15" t="s">
        <v>6179</v>
      </c>
      <c r="D1008" s="15" t="s">
        <v>6180</v>
      </c>
      <c r="E1008" s="15" t="s">
        <v>6184</v>
      </c>
    </row>
    <row r="1009" spans="1:5" ht="25.5" x14ac:dyDescent="0.2">
      <c r="A1009" s="14" t="s">
        <v>6185</v>
      </c>
      <c r="B1009" s="15" t="s">
        <v>460</v>
      </c>
      <c r="C1009" s="15" t="s">
        <v>6179</v>
      </c>
      <c r="D1009" s="15" t="s">
        <v>6180</v>
      </c>
      <c r="E1009" s="15" t="s">
        <v>6186</v>
      </c>
    </row>
    <row r="1010" spans="1:5" ht="25.5" x14ac:dyDescent="0.2">
      <c r="A1010" s="14" t="s">
        <v>6187</v>
      </c>
      <c r="B1010" s="15" t="s">
        <v>6188</v>
      </c>
      <c r="C1010" s="15" t="s">
        <v>4093</v>
      </c>
      <c r="D1010" s="15" t="s">
        <v>4094</v>
      </c>
      <c r="E1010" s="15" t="s">
        <v>6189</v>
      </c>
    </row>
    <row r="1011" spans="1:5" ht="25.5" x14ac:dyDescent="0.2">
      <c r="A1011" s="14" t="s">
        <v>6190</v>
      </c>
      <c r="B1011" s="15" t="s">
        <v>664</v>
      </c>
      <c r="C1011" s="15" t="s">
        <v>5633</v>
      </c>
      <c r="D1011" s="15" t="s">
        <v>5634</v>
      </c>
      <c r="E1011" s="15" t="s">
        <v>6191</v>
      </c>
    </row>
    <row r="1012" spans="1:5" ht="25.5" x14ac:dyDescent="0.2">
      <c r="A1012" s="14" t="s">
        <v>6192</v>
      </c>
      <c r="B1012" s="15" t="s">
        <v>6193</v>
      </c>
      <c r="C1012" s="15" t="s">
        <v>4104</v>
      </c>
      <c r="D1012" s="15" t="s">
        <v>4105</v>
      </c>
      <c r="E1012" s="15" t="s">
        <v>6194</v>
      </c>
    </row>
    <row r="1013" spans="1:5" ht="25.5" x14ac:dyDescent="0.2">
      <c r="A1013" s="14" t="s">
        <v>6195</v>
      </c>
      <c r="B1013" s="15" t="s">
        <v>6196</v>
      </c>
      <c r="C1013" s="15" t="s">
        <v>5633</v>
      </c>
      <c r="D1013" s="15" t="s">
        <v>5634</v>
      </c>
      <c r="E1013" s="15" t="s">
        <v>6197</v>
      </c>
    </row>
    <row r="1014" spans="1:5" ht="25.5" x14ac:dyDescent="0.2">
      <c r="A1014" s="14" t="s">
        <v>6198</v>
      </c>
      <c r="B1014" s="15" t="s">
        <v>6199</v>
      </c>
      <c r="C1014" s="15" t="s">
        <v>4104</v>
      </c>
      <c r="D1014" s="15" t="s">
        <v>4105</v>
      </c>
      <c r="E1014" s="15" t="s">
        <v>6200</v>
      </c>
    </row>
    <row r="1015" spans="1:5" ht="25.5" x14ac:dyDescent="0.2">
      <c r="A1015" s="14" t="s">
        <v>6201</v>
      </c>
      <c r="B1015" s="15" t="s">
        <v>6202</v>
      </c>
      <c r="C1015" s="15" t="s">
        <v>4104</v>
      </c>
      <c r="D1015" s="15" t="s">
        <v>4105</v>
      </c>
      <c r="E1015" s="15" t="s">
        <v>6203</v>
      </c>
    </row>
    <row r="1016" spans="1:5" ht="25.5" x14ac:dyDescent="0.2">
      <c r="A1016" s="14" t="s">
        <v>6204</v>
      </c>
      <c r="B1016" s="15" t="s">
        <v>6205</v>
      </c>
      <c r="C1016" s="15" t="s">
        <v>4104</v>
      </c>
      <c r="D1016" s="15" t="s">
        <v>4105</v>
      </c>
      <c r="E1016" s="15" t="s">
        <v>6206</v>
      </c>
    </row>
    <row r="1017" spans="1:5" ht="25.5" x14ac:dyDescent="0.2">
      <c r="A1017" s="14" t="s">
        <v>6207</v>
      </c>
      <c r="B1017" s="15" t="s">
        <v>344</v>
      </c>
      <c r="C1017" s="15" t="s">
        <v>4175</v>
      </c>
      <c r="D1017" s="15" t="s">
        <v>4176</v>
      </c>
      <c r="E1017" s="15" t="s">
        <v>6208</v>
      </c>
    </row>
    <row r="1018" spans="1:5" ht="25.5" x14ac:dyDescent="0.2">
      <c r="A1018" s="14" t="s">
        <v>6209</v>
      </c>
      <c r="B1018" s="15" t="s">
        <v>1369</v>
      </c>
      <c r="C1018" s="15" t="s">
        <v>6210</v>
      </c>
      <c r="D1018" s="15" t="s">
        <v>6211</v>
      </c>
      <c r="E1018" s="15" t="s">
        <v>6212</v>
      </c>
    </row>
    <row r="1019" spans="1:5" ht="25.5" x14ac:dyDescent="0.2">
      <c r="A1019" s="14" t="s">
        <v>6213</v>
      </c>
      <c r="B1019" s="15" t="s">
        <v>71</v>
      </c>
      <c r="C1019" s="15" t="s">
        <v>6214</v>
      </c>
      <c r="D1019" s="15" t="s">
        <v>6215</v>
      </c>
      <c r="E1019" s="15" t="s">
        <v>6216</v>
      </c>
    </row>
    <row r="1020" spans="1:5" ht="25.5" x14ac:dyDescent="0.2">
      <c r="A1020" s="14" t="s">
        <v>6217</v>
      </c>
      <c r="B1020" s="15" t="s">
        <v>6218</v>
      </c>
      <c r="C1020" s="15" t="s">
        <v>3318</v>
      </c>
      <c r="D1020" s="15" t="s">
        <v>3319</v>
      </c>
      <c r="E1020" s="15" t="s">
        <v>6219</v>
      </c>
    </row>
    <row r="1021" spans="1:5" ht="25.5" x14ac:dyDescent="0.2">
      <c r="A1021" s="14" t="s">
        <v>6220</v>
      </c>
      <c r="B1021" s="15" t="s">
        <v>6221</v>
      </c>
      <c r="C1021" s="15" t="s">
        <v>4024</v>
      </c>
      <c r="D1021" s="15" t="s">
        <v>4025</v>
      </c>
      <c r="E1021" s="15" t="s">
        <v>6222</v>
      </c>
    </row>
    <row r="1022" spans="1:5" ht="25.5" x14ac:dyDescent="0.2">
      <c r="A1022" s="14" t="s">
        <v>6223</v>
      </c>
      <c r="B1022" s="15" t="s">
        <v>6224</v>
      </c>
      <c r="C1022" s="15" t="s">
        <v>4024</v>
      </c>
      <c r="D1022" s="15" t="s">
        <v>4025</v>
      </c>
      <c r="E1022" s="15" t="s">
        <v>6225</v>
      </c>
    </row>
    <row r="1023" spans="1:5" ht="25.5" x14ac:dyDescent="0.2">
      <c r="A1023" s="14" t="s">
        <v>6226</v>
      </c>
      <c r="B1023" s="15" t="s">
        <v>443</v>
      </c>
      <c r="C1023" s="15" t="s">
        <v>4024</v>
      </c>
      <c r="D1023" s="15" t="s">
        <v>4025</v>
      </c>
      <c r="E1023" s="15" t="s">
        <v>6227</v>
      </c>
    </row>
    <row r="1024" spans="1:5" ht="25.5" x14ac:dyDescent="0.2">
      <c r="A1024" s="14" t="s">
        <v>6228</v>
      </c>
      <c r="B1024" s="15" t="s">
        <v>366</v>
      </c>
      <c r="C1024" s="15" t="s">
        <v>4024</v>
      </c>
      <c r="D1024" s="15" t="s">
        <v>4025</v>
      </c>
      <c r="E1024" s="15" t="s">
        <v>6229</v>
      </c>
    </row>
    <row r="1025" spans="1:5" ht="25.5" x14ac:dyDescent="0.2">
      <c r="A1025" s="14" t="s">
        <v>6230</v>
      </c>
      <c r="B1025" s="15" t="s">
        <v>6231</v>
      </c>
      <c r="C1025" s="15" t="s">
        <v>4024</v>
      </c>
      <c r="D1025" s="15" t="s">
        <v>4025</v>
      </c>
      <c r="E1025" s="15" t="s">
        <v>6232</v>
      </c>
    </row>
    <row r="1026" spans="1:5" ht="25.5" x14ac:dyDescent="0.2">
      <c r="A1026" s="14" t="s">
        <v>6233</v>
      </c>
      <c r="B1026" s="15" t="s">
        <v>6234</v>
      </c>
      <c r="C1026" s="15" t="s">
        <v>5633</v>
      </c>
      <c r="D1026" s="15" t="s">
        <v>5634</v>
      </c>
      <c r="E1026" s="15" t="s">
        <v>6235</v>
      </c>
    </row>
    <row r="1027" spans="1:5" ht="25.5" x14ac:dyDescent="0.2">
      <c r="A1027" s="14" t="s">
        <v>6236</v>
      </c>
      <c r="B1027" s="15" t="s">
        <v>1370</v>
      </c>
      <c r="C1027" s="15" t="s">
        <v>5202</v>
      </c>
      <c r="D1027" s="15" t="s">
        <v>5203</v>
      </c>
      <c r="E1027" s="15" t="s">
        <v>6237</v>
      </c>
    </row>
    <row r="1028" spans="1:5" ht="25.5" x14ac:dyDescent="0.2">
      <c r="A1028" s="14" t="s">
        <v>6238</v>
      </c>
      <c r="B1028" s="15" t="s">
        <v>6239</v>
      </c>
      <c r="C1028" s="15" t="s">
        <v>5202</v>
      </c>
      <c r="D1028" s="15" t="s">
        <v>5203</v>
      </c>
      <c r="E1028" s="15" t="s">
        <v>6240</v>
      </c>
    </row>
    <row r="1029" spans="1:5" ht="25.5" x14ac:dyDescent="0.2">
      <c r="A1029" s="14" t="s">
        <v>6241</v>
      </c>
      <c r="B1029" s="15" t="s">
        <v>6242</v>
      </c>
      <c r="C1029" s="15" t="s">
        <v>6243</v>
      </c>
      <c r="D1029" s="15" t="s">
        <v>6244</v>
      </c>
      <c r="E1029" s="15" t="s">
        <v>6245</v>
      </c>
    </row>
    <row r="1030" spans="1:5" ht="25.5" x14ac:dyDescent="0.2">
      <c r="A1030" s="14" t="s">
        <v>6246</v>
      </c>
      <c r="B1030" s="15" t="s">
        <v>6247</v>
      </c>
      <c r="C1030" s="15" t="s">
        <v>5202</v>
      </c>
      <c r="D1030" s="15" t="s">
        <v>5203</v>
      </c>
      <c r="E1030" s="15" t="s">
        <v>6248</v>
      </c>
    </row>
    <row r="1031" spans="1:5" ht="25.5" x14ac:dyDescent="0.2">
      <c r="A1031" s="14" t="s">
        <v>6249</v>
      </c>
      <c r="B1031" s="15" t="s">
        <v>6250</v>
      </c>
      <c r="C1031" s="15" t="s">
        <v>5202</v>
      </c>
      <c r="D1031" s="15" t="s">
        <v>5203</v>
      </c>
      <c r="E1031" s="15" t="s">
        <v>6251</v>
      </c>
    </row>
    <row r="1032" spans="1:5" ht="25.5" x14ac:dyDescent="0.2">
      <c r="A1032" s="14" t="s">
        <v>6252</v>
      </c>
      <c r="B1032" s="15" t="s">
        <v>837</v>
      </c>
      <c r="C1032" s="15" t="s">
        <v>6253</v>
      </c>
      <c r="D1032" s="15" t="s">
        <v>6254</v>
      </c>
      <c r="E1032" s="15" t="s">
        <v>6255</v>
      </c>
    </row>
    <row r="1033" spans="1:5" ht="25.5" x14ac:dyDescent="0.2">
      <c r="A1033" s="14" t="s">
        <v>6256</v>
      </c>
      <c r="B1033" s="15" t="s">
        <v>983</v>
      </c>
      <c r="C1033" s="15" t="s">
        <v>5202</v>
      </c>
      <c r="D1033" s="15" t="s">
        <v>5203</v>
      </c>
      <c r="E1033" s="15" t="s">
        <v>6257</v>
      </c>
    </row>
    <row r="1034" spans="1:5" ht="25.5" x14ac:dyDescent="0.2">
      <c r="A1034" s="14" t="s">
        <v>6258</v>
      </c>
      <c r="B1034" s="15" t="s">
        <v>110</v>
      </c>
      <c r="C1034" s="15" t="s">
        <v>5202</v>
      </c>
      <c r="D1034" s="15" t="s">
        <v>5203</v>
      </c>
      <c r="E1034" s="15" t="s">
        <v>6259</v>
      </c>
    </row>
    <row r="1035" spans="1:5" ht="25.5" x14ac:dyDescent="0.2">
      <c r="A1035" s="14" t="s">
        <v>6260</v>
      </c>
      <c r="B1035" s="15" t="s">
        <v>6261</v>
      </c>
      <c r="C1035" s="15" t="s">
        <v>5202</v>
      </c>
      <c r="D1035" s="15" t="s">
        <v>5203</v>
      </c>
      <c r="E1035" s="15" t="s">
        <v>6262</v>
      </c>
    </row>
    <row r="1036" spans="1:5" ht="25.5" x14ac:dyDescent="0.2">
      <c r="A1036" s="14" t="s">
        <v>6263</v>
      </c>
      <c r="B1036" s="15" t="s">
        <v>433</v>
      </c>
      <c r="C1036" s="15" t="s">
        <v>6264</v>
      </c>
      <c r="D1036" s="15" t="s">
        <v>6265</v>
      </c>
      <c r="E1036" s="15" t="s">
        <v>6266</v>
      </c>
    </row>
    <row r="1037" spans="1:5" ht="25.5" x14ac:dyDescent="0.2">
      <c r="A1037" s="14" t="s">
        <v>6267</v>
      </c>
      <c r="B1037" s="15" t="s">
        <v>488</v>
      </c>
      <c r="C1037" s="15" t="s">
        <v>6264</v>
      </c>
      <c r="D1037" s="15" t="s">
        <v>6265</v>
      </c>
      <c r="E1037" s="15" t="s">
        <v>6268</v>
      </c>
    </row>
    <row r="1038" spans="1:5" ht="25.5" x14ac:dyDescent="0.2">
      <c r="A1038" s="14" t="s">
        <v>6269</v>
      </c>
      <c r="B1038" s="15" t="s">
        <v>1405</v>
      </c>
      <c r="C1038" s="15" t="s">
        <v>6264</v>
      </c>
      <c r="D1038" s="15" t="s">
        <v>6265</v>
      </c>
      <c r="E1038" s="15" t="s">
        <v>6270</v>
      </c>
    </row>
    <row r="1039" spans="1:5" ht="25.5" x14ac:dyDescent="0.2">
      <c r="A1039" s="14" t="s">
        <v>6271</v>
      </c>
      <c r="B1039" s="15" t="s">
        <v>280</v>
      </c>
      <c r="C1039" s="15" t="s">
        <v>4175</v>
      </c>
      <c r="D1039" s="15" t="s">
        <v>4176</v>
      </c>
      <c r="E1039" s="15" t="s">
        <v>6272</v>
      </c>
    </row>
    <row r="1040" spans="1:5" ht="25.5" x14ac:dyDescent="0.2">
      <c r="A1040" s="14" t="s">
        <v>6273</v>
      </c>
      <c r="B1040" s="15" t="s">
        <v>6274</v>
      </c>
      <c r="C1040" s="15" t="s">
        <v>4307</v>
      </c>
      <c r="D1040" s="15" t="s">
        <v>4308</v>
      </c>
      <c r="E1040" s="15" t="s">
        <v>6275</v>
      </c>
    </row>
    <row r="1041" spans="1:5" ht="25.5" x14ac:dyDescent="0.2">
      <c r="A1041" s="14" t="s">
        <v>6276</v>
      </c>
      <c r="B1041" s="15" t="s">
        <v>538</v>
      </c>
      <c r="C1041" s="15" t="s">
        <v>5502</v>
      </c>
      <c r="D1041" s="15" t="s">
        <v>5503</v>
      </c>
      <c r="E1041" s="15" t="s">
        <v>6277</v>
      </c>
    </row>
    <row r="1042" spans="1:5" ht="25.5" x14ac:dyDescent="0.2">
      <c r="A1042" s="14" t="s">
        <v>6278</v>
      </c>
      <c r="B1042" s="15" t="s">
        <v>6279</v>
      </c>
      <c r="C1042" s="15" t="s">
        <v>4104</v>
      </c>
      <c r="D1042" s="15" t="s">
        <v>4105</v>
      </c>
      <c r="E1042" s="15" t="s">
        <v>6280</v>
      </c>
    </row>
    <row r="1043" spans="1:5" ht="25.5" x14ac:dyDescent="0.2">
      <c r="A1043" s="14" t="s">
        <v>6281</v>
      </c>
      <c r="B1043" s="15" t="s">
        <v>6282</v>
      </c>
      <c r="C1043" s="15" t="s">
        <v>5409</v>
      </c>
      <c r="D1043" s="15" t="s">
        <v>5410</v>
      </c>
      <c r="E1043" s="15" t="s">
        <v>6283</v>
      </c>
    </row>
    <row r="1044" spans="1:5" ht="25.5" x14ac:dyDescent="0.2">
      <c r="A1044" s="14" t="s">
        <v>6284</v>
      </c>
      <c r="B1044" s="15" t="s">
        <v>1290</v>
      </c>
      <c r="C1044" s="15" t="s">
        <v>5207</v>
      </c>
      <c r="D1044" s="15" t="s">
        <v>5208</v>
      </c>
      <c r="E1044" s="15" t="s">
        <v>6285</v>
      </c>
    </row>
    <row r="1045" spans="1:5" ht="25.5" x14ac:dyDescent="0.2">
      <c r="A1045" s="14" t="s">
        <v>6286</v>
      </c>
      <c r="B1045" s="15" t="s">
        <v>1309</v>
      </c>
      <c r="C1045" s="15" t="s">
        <v>5207</v>
      </c>
      <c r="D1045" s="15" t="s">
        <v>5208</v>
      </c>
      <c r="E1045" s="15" t="s">
        <v>6287</v>
      </c>
    </row>
    <row r="1046" spans="1:5" ht="25.5" x14ac:dyDescent="0.2">
      <c r="A1046" s="14" t="s">
        <v>6288</v>
      </c>
      <c r="B1046" s="15" t="s">
        <v>1291</v>
      </c>
      <c r="C1046" s="15" t="s">
        <v>5207</v>
      </c>
      <c r="D1046" s="15" t="s">
        <v>5208</v>
      </c>
      <c r="E1046" s="15" t="s">
        <v>6289</v>
      </c>
    </row>
    <row r="1047" spans="1:5" ht="25.5" x14ac:dyDescent="0.2">
      <c r="A1047" s="14" t="s">
        <v>6290</v>
      </c>
      <c r="B1047" s="15" t="s">
        <v>6291</v>
      </c>
      <c r="C1047" s="15" t="s">
        <v>6292</v>
      </c>
      <c r="D1047" s="15" t="s">
        <v>6293</v>
      </c>
      <c r="E1047" s="15" t="s">
        <v>6294</v>
      </c>
    </row>
    <row r="1048" spans="1:5" ht="25.5" x14ac:dyDescent="0.2">
      <c r="A1048" s="14" t="s">
        <v>6295</v>
      </c>
      <c r="B1048" s="15" t="s">
        <v>6296</v>
      </c>
      <c r="C1048" s="15" t="s">
        <v>6025</v>
      </c>
      <c r="D1048" s="15" t="s">
        <v>6026</v>
      </c>
      <c r="E1048" s="15" t="s">
        <v>6297</v>
      </c>
    </row>
    <row r="1049" spans="1:5" ht="25.5" x14ac:dyDescent="0.2">
      <c r="A1049" s="14" t="s">
        <v>6298</v>
      </c>
      <c r="B1049" s="15" t="s">
        <v>6299</v>
      </c>
      <c r="C1049" s="15" t="s">
        <v>6025</v>
      </c>
      <c r="D1049" s="15" t="s">
        <v>6026</v>
      </c>
      <c r="E1049" s="15" t="s">
        <v>6300</v>
      </c>
    </row>
    <row r="1050" spans="1:5" ht="25.5" x14ac:dyDescent="0.2">
      <c r="A1050" s="14" t="s">
        <v>6301</v>
      </c>
      <c r="B1050" s="15" t="s">
        <v>776</v>
      </c>
      <c r="C1050" s="15" t="s">
        <v>6302</v>
      </c>
      <c r="D1050" s="15" t="s">
        <v>6303</v>
      </c>
      <c r="E1050" s="15" t="s">
        <v>6304</v>
      </c>
    </row>
    <row r="1051" spans="1:5" ht="25.5" x14ac:dyDescent="0.2">
      <c r="A1051" s="14" t="s">
        <v>6305</v>
      </c>
      <c r="B1051" s="15" t="s">
        <v>1343</v>
      </c>
      <c r="C1051" s="15" t="s">
        <v>6302</v>
      </c>
      <c r="D1051" s="15" t="s">
        <v>6303</v>
      </c>
      <c r="E1051" s="15" t="s">
        <v>6306</v>
      </c>
    </row>
    <row r="1052" spans="1:5" ht="25.5" x14ac:dyDescent="0.2">
      <c r="A1052" s="14" t="s">
        <v>6307</v>
      </c>
      <c r="B1052" s="15" t="s">
        <v>6308</v>
      </c>
      <c r="C1052" s="15" t="s">
        <v>3328</v>
      </c>
      <c r="D1052" s="15" t="s">
        <v>3329</v>
      </c>
      <c r="E1052" s="15" t="s">
        <v>6309</v>
      </c>
    </row>
    <row r="1053" spans="1:5" ht="25.5" x14ac:dyDescent="0.2">
      <c r="A1053" s="14" t="s">
        <v>6310</v>
      </c>
      <c r="B1053" s="15" t="s">
        <v>6311</v>
      </c>
      <c r="C1053" s="15" t="s">
        <v>3328</v>
      </c>
      <c r="D1053" s="15" t="s">
        <v>3329</v>
      </c>
      <c r="E1053" s="15" t="s">
        <v>6312</v>
      </c>
    </row>
    <row r="1054" spans="1:5" ht="25.5" x14ac:dyDescent="0.2">
      <c r="A1054" s="14" t="s">
        <v>6313</v>
      </c>
      <c r="B1054" s="15" t="s">
        <v>6314</v>
      </c>
      <c r="C1054" s="15" t="s">
        <v>5231</v>
      </c>
      <c r="D1054" s="15" t="s">
        <v>5232</v>
      </c>
      <c r="E1054" s="15" t="s">
        <v>6315</v>
      </c>
    </row>
    <row r="1055" spans="1:5" ht="25.5" x14ac:dyDescent="0.2">
      <c r="A1055" s="14" t="s">
        <v>6316</v>
      </c>
      <c r="B1055" s="15" t="s">
        <v>6317</v>
      </c>
      <c r="C1055" s="15" t="s">
        <v>4104</v>
      </c>
      <c r="D1055" s="15" t="s">
        <v>4105</v>
      </c>
      <c r="E1055" s="15" t="s">
        <v>6318</v>
      </c>
    </row>
    <row r="1056" spans="1:5" ht="25.5" x14ac:dyDescent="0.2">
      <c r="A1056" s="14" t="s">
        <v>6319</v>
      </c>
      <c r="B1056" s="15" t="s">
        <v>890</v>
      </c>
      <c r="C1056" s="15" t="s">
        <v>5207</v>
      </c>
      <c r="D1056" s="15" t="s">
        <v>5208</v>
      </c>
      <c r="E1056" s="15" t="s">
        <v>6320</v>
      </c>
    </row>
    <row r="1057" spans="1:5" ht="25.5" x14ac:dyDescent="0.2">
      <c r="A1057" s="14" t="s">
        <v>6321</v>
      </c>
      <c r="B1057" s="15" t="s">
        <v>269</v>
      </c>
      <c r="C1057" s="15" t="s">
        <v>5207</v>
      </c>
      <c r="D1057" s="15" t="s">
        <v>5208</v>
      </c>
      <c r="E1057" s="15" t="s">
        <v>6322</v>
      </c>
    </row>
    <row r="1058" spans="1:5" ht="25.5" x14ac:dyDescent="0.2">
      <c r="A1058" s="14" t="s">
        <v>6323</v>
      </c>
      <c r="B1058" s="15" t="s">
        <v>1288</v>
      </c>
      <c r="C1058" s="15" t="s">
        <v>5207</v>
      </c>
      <c r="D1058" s="15" t="s">
        <v>5208</v>
      </c>
      <c r="E1058" s="15" t="s">
        <v>6324</v>
      </c>
    </row>
    <row r="1059" spans="1:5" ht="25.5" x14ac:dyDescent="0.2">
      <c r="A1059" s="14" t="s">
        <v>6325</v>
      </c>
      <c r="B1059" s="15" t="s">
        <v>6326</v>
      </c>
      <c r="C1059" s="15" t="s">
        <v>4152</v>
      </c>
      <c r="D1059" s="15" t="s">
        <v>4153</v>
      </c>
      <c r="E1059" s="15" t="s">
        <v>6327</v>
      </c>
    </row>
    <row r="1060" spans="1:5" ht="25.5" x14ac:dyDescent="0.2">
      <c r="A1060" s="14" t="s">
        <v>6328</v>
      </c>
      <c r="B1060" s="15" t="s">
        <v>6329</v>
      </c>
      <c r="C1060" s="15" t="s">
        <v>4104</v>
      </c>
      <c r="D1060" s="15" t="s">
        <v>4105</v>
      </c>
      <c r="E1060" s="15" t="s">
        <v>6330</v>
      </c>
    </row>
    <row r="1061" spans="1:5" ht="25.5" x14ac:dyDescent="0.2">
      <c r="A1061" s="14" t="s">
        <v>6331</v>
      </c>
      <c r="B1061" s="15" t="s">
        <v>6332</v>
      </c>
      <c r="C1061" s="15" t="s">
        <v>6333</v>
      </c>
      <c r="D1061" s="15" t="s">
        <v>6334</v>
      </c>
      <c r="E1061" s="15" t="s">
        <v>6335</v>
      </c>
    </row>
    <row r="1062" spans="1:5" ht="25.5" x14ac:dyDescent="0.2">
      <c r="A1062" s="14" t="s">
        <v>6336</v>
      </c>
      <c r="B1062" s="15" t="s">
        <v>6337</v>
      </c>
      <c r="C1062" s="15" t="s">
        <v>6333</v>
      </c>
      <c r="D1062" s="15" t="s">
        <v>6334</v>
      </c>
      <c r="E1062" s="15" t="s">
        <v>6338</v>
      </c>
    </row>
    <row r="1063" spans="1:5" ht="25.5" x14ac:dyDescent="0.2">
      <c r="A1063" s="14" t="s">
        <v>6339</v>
      </c>
      <c r="B1063" s="15" t="s">
        <v>6340</v>
      </c>
      <c r="C1063" s="15" t="s">
        <v>6333</v>
      </c>
      <c r="D1063" s="15" t="s">
        <v>6334</v>
      </c>
      <c r="E1063" s="15" t="s">
        <v>6341</v>
      </c>
    </row>
    <row r="1064" spans="1:5" ht="25.5" x14ac:dyDescent="0.2">
      <c r="A1064" s="14" t="s">
        <v>6342</v>
      </c>
      <c r="B1064" s="15" t="s">
        <v>6343</v>
      </c>
      <c r="C1064" s="15" t="s">
        <v>5395</v>
      </c>
      <c r="D1064" s="15" t="s">
        <v>5396</v>
      </c>
      <c r="E1064" s="15" t="s">
        <v>6344</v>
      </c>
    </row>
    <row r="1065" spans="1:5" ht="25.5" x14ac:dyDescent="0.2">
      <c r="A1065" s="14" t="s">
        <v>6345</v>
      </c>
      <c r="B1065" s="15" t="s">
        <v>1501</v>
      </c>
      <c r="C1065" s="15" t="s">
        <v>4226</v>
      </c>
      <c r="D1065" s="15" t="s">
        <v>4227</v>
      </c>
      <c r="E1065" s="15" t="s">
        <v>6346</v>
      </c>
    </row>
    <row r="1066" spans="1:5" ht="25.5" x14ac:dyDescent="0.2">
      <c r="A1066" s="14" t="s">
        <v>6347</v>
      </c>
      <c r="B1066" s="15" t="s">
        <v>6348</v>
      </c>
      <c r="C1066" s="15" t="s">
        <v>3410</v>
      </c>
      <c r="D1066" s="15" t="s">
        <v>3411</v>
      </c>
      <c r="E1066" s="15" t="s">
        <v>6349</v>
      </c>
    </row>
    <row r="1067" spans="1:5" ht="25.5" x14ac:dyDescent="0.2">
      <c r="A1067" s="14" t="s">
        <v>6350</v>
      </c>
      <c r="B1067" s="15" t="s">
        <v>6351</v>
      </c>
      <c r="C1067" s="15" t="s">
        <v>3410</v>
      </c>
      <c r="D1067" s="15" t="s">
        <v>3411</v>
      </c>
      <c r="E1067" s="15" t="s">
        <v>6352</v>
      </c>
    </row>
    <row r="1068" spans="1:5" ht="25.5" x14ac:dyDescent="0.2">
      <c r="A1068" s="14" t="s">
        <v>6353</v>
      </c>
      <c r="B1068" s="15" t="s">
        <v>44</v>
      </c>
      <c r="C1068" s="15" t="s">
        <v>6354</v>
      </c>
      <c r="D1068" s="15" t="s">
        <v>6355</v>
      </c>
      <c r="E1068" s="15" t="s">
        <v>6356</v>
      </c>
    </row>
    <row r="1069" spans="1:5" ht="25.5" x14ac:dyDescent="0.2">
      <c r="A1069" s="14" t="s">
        <v>6357</v>
      </c>
      <c r="B1069" s="15" t="s">
        <v>6358</v>
      </c>
      <c r="C1069" s="15" t="s">
        <v>6359</v>
      </c>
      <c r="D1069" s="15" t="s">
        <v>6360</v>
      </c>
      <c r="E1069" s="15" t="s">
        <v>6361</v>
      </c>
    </row>
    <row r="1070" spans="1:5" ht="25.5" x14ac:dyDescent="0.2">
      <c r="A1070" s="14" t="s">
        <v>6362</v>
      </c>
      <c r="B1070" s="15" t="s">
        <v>6363</v>
      </c>
      <c r="C1070" s="15" t="s">
        <v>3318</v>
      </c>
      <c r="D1070" s="15" t="s">
        <v>3319</v>
      </c>
      <c r="E1070" s="15" t="s">
        <v>6364</v>
      </c>
    </row>
    <row r="1071" spans="1:5" ht="25.5" x14ac:dyDescent="0.2">
      <c r="A1071" s="14" t="s">
        <v>6365</v>
      </c>
      <c r="B1071" s="15" t="s">
        <v>6366</v>
      </c>
      <c r="C1071" s="15" t="s">
        <v>5231</v>
      </c>
      <c r="D1071" s="15" t="s">
        <v>5232</v>
      </c>
      <c r="E1071" s="15" t="s">
        <v>6367</v>
      </c>
    </row>
    <row r="1072" spans="1:5" ht="25.5" x14ac:dyDescent="0.2">
      <c r="A1072" s="14" t="s">
        <v>6368</v>
      </c>
      <c r="B1072" s="15" t="s">
        <v>1524</v>
      </c>
      <c r="C1072" s="15" t="s">
        <v>4764</v>
      </c>
      <c r="D1072" s="15" t="s">
        <v>4765</v>
      </c>
      <c r="E1072" s="15" t="s">
        <v>6369</v>
      </c>
    </row>
    <row r="1073" spans="1:5" ht="25.5" x14ac:dyDescent="0.2">
      <c r="A1073" s="14" t="s">
        <v>6370</v>
      </c>
      <c r="B1073" s="15" t="s">
        <v>6371</v>
      </c>
      <c r="C1073" s="15" t="s">
        <v>6179</v>
      </c>
      <c r="D1073" s="15" t="s">
        <v>6180</v>
      </c>
      <c r="E1073" s="15" t="s">
        <v>6372</v>
      </c>
    </row>
    <row r="1074" spans="1:5" ht="25.5" x14ac:dyDescent="0.2">
      <c r="A1074" s="14" t="s">
        <v>6373</v>
      </c>
      <c r="B1074" s="15" t="s">
        <v>6374</v>
      </c>
      <c r="C1074" s="15" t="s">
        <v>6179</v>
      </c>
      <c r="D1074" s="15" t="s">
        <v>6180</v>
      </c>
      <c r="E1074" s="15" t="s">
        <v>6375</v>
      </c>
    </row>
    <row r="1075" spans="1:5" ht="25.5" x14ac:dyDescent="0.2">
      <c r="A1075" s="14" t="s">
        <v>6376</v>
      </c>
      <c r="B1075" s="15" t="s">
        <v>6377</v>
      </c>
      <c r="C1075" s="15" t="s">
        <v>6378</v>
      </c>
      <c r="D1075" s="15" t="s">
        <v>6379</v>
      </c>
      <c r="E1075" s="15" t="s">
        <v>6380</v>
      </c>
    </row>
    <row r="1076" spans="1:5" ht="25.5" x14ac:dyDescent="0.2">
      <c r="A1076" s="14" t="s">
        <v>6381</v>
      </c>
      <c r="B1076" s="15" t="s">
        <v>745</v>
      </c>
      <c r="C1076" s="15" t="s">
        <v>5502</v>
      </c>
      <c r="D1076" s="15" t="s">
        <v>5503</v>
      </c>
      <c r="E1076" s="15" t="s">
        <v>6382</v>
      </c>
    </row>
    <row r="1077" spans="1:5" ht="25.5" x14ac:dyDescent="0.2">
      <c r="A1077" s="14" t="s">
        <v>6383</v>
      </c>
      <c r="B1077" s="15" t="s">
        <v>767</v>
      </c>
      <c r="C1077" s="15" t="s">
        <v>5502</v>
      </c>
      <c r="D1077" s="15" t="s">
        <v>5503</v>
      </c>
      <c r="E1077" s="15" t="s">
        <v>6384</v>
      </c>
    </row>
    <row r="1078" spans="1:5" ht="25.5" x14ac:dyDescent="0.2">
      <c r="A1078" s="14" t="s">
        <v>6385</v>
      </c>
      <c r="B1078" s="15" t="s">
        <v>6386</v>
      </c>
      <c r="C1078" s="15" t="s">
        <v>6387</v>
      </c>
      <c r="D1078" s="15" t="s">
        <v>6388</v>
      </c>
      <c r="E1078" s="15" t="s">
        <v>6389</v>
      </c>
    </row>
    <row r="1079" spans="1:5" ht="25.5" x14ac:dyDescent="0.2">
      <c r="A1079" s="14" t="s">
        <v>6390</v>
      </c>
      <c r="B1079" s="15" t="s">
        <v>6391</v>
      </c>
      <c r="C1079" s="15" t="s">
        <v>4764</v>
      </c>
      <c r="D1079" s="15" t="s">
        <v>4765</v>
      </c>
      <c r="E1079" s="15" t="s">
        <v>6392</v>
      </c>
    </row>
    <row r="1080" spans="1:5" ht="25.5" x14ac:dyDescent="0.2">
      <c r="A1080" s="14" t="s">
        <v>6393</v>
      </c>
      <c r="B1080" s="15" t="s">
        <v>6394</v>
      </c>
      <c r="C1080" s="15" t="s">
        <v>4764</v>
      </c>
      <c r="D1080" s="15" t="s">
        <v>4765</v>
      </c>
      <c r="E1080" s="15" t="s">
        <v>6395</v>
      </c>
    </row>
    <row r="1081" spans="1:5" ht="38.25" x14ac:dyDescent="0.2">
      <c r="A1081" s="14" t="s">
        <v>6396</v>
      </c>
      <c r="B1081" s="15" t="s">
        <v>6397</v>
      </c>
      <c r="C1081" s="15" t="s">
        <v>4262</v>
      </c>
      <c r="D1081" s="15" t="s">
        <v>4263</v>
      </c>
      <c r="E1081" s="15" t="s">
        <v>6398</v>
      </c>
    </row>
    <row r="1082" spans="1:5" ht="38.25" x14ac:dyDescent="0.2">
      <c r="A1082" s="14" t="s">
        <v>6399</v>
      </c>
      <c r="B1082" s="15" t="s">
        <v>6400</v>
      </c>
      <c r="C1082" s="15" t="s">
        <v>4262</v>
      </c>
      <c r="D1082" s="15" t="s">
        <v>4263</v>
      </c>
      <c r="E1082" s="15" t="s">
        <v>6401</v>
      </c>
    </row>
    <row r="1083" spans="1:5" ht="38.25" x14ac:dyDescent="0.2">
      <c r="A1083" s="14" t="s">
        <v>6402</v>
      </c>
      <c r="B1083" s="15" t="s">
        <v>6403</v>
      </c>
      <c r="C1083" s="15" t="s">
        <v>4262</v>
      </c>
      <c r="D1083" s="15" t="s">
        <v>4263</v>
      </c>
      <c r="E1083" s="15" t="s">
        <v>6404</v>
      </c>
    </row>
    <row r="1084" spans="1:5" ht="38.25" x14ac:dyDescent="0.2">
      <c r="A1084" s="14" t="s">
        <v>6405</v>
      </c>
      <c r="B1084" s="15" t="s">
        <v>6406</v>
      </c>
      <c r="C1084" s="15" t="s">
        <v>4262</v>
      </c>
      <c r="D1084" s="15" t="s">
        <v>4263</v>
      </c>
      <c r="E1084" s="15" t="s">
        <v>6407</v>
      </c>
    </row>
    <row r="1085" spans="1:5" ht="38.25" x14ac:dyDescent="0.2">
      <c r="A1085" s="14" t="s">
        <v>6408</v>
      </c>
      <c r="B1085" s="15" t="s">
        <v>6409</v>
      </c>
      <c r="C1085" s="15" t="s">
        <v>4262</v>
      </c>
      <c r="D1085" s="15" t="s">
        <v>4263</v>
      </c>
      <c r="E1085" s="15" t="s">
        <v>6410</v>
      </c>
    </row>
    <row r="1086" spans="1:5" ht="38.25" x14ac:dyDescent="0.2">
      <c r="A1086" s="14" t="s">
        <v>6411</v>
      </c>
      <c r="B1086" s="15" t="s">
        <v>6412</v>
      </c>
      <c r="C1086" s="15" t="s">
        <v>4262</v>
      </c>
      <c r="D1086" s="15" t="s">
        <v>4263</v>
      </c>
      <c r="E1086" s="15" t="s">
        <v>6413</v>
      </c>
    </row>
    <row r="1087" spans="1:5" ht="38.25" x14ac:dyDescent="0.2">
      <c r="A1087" s="14" t="s">
        <v>6414</v>
      </c>
      <c r="B1087" s="15" t="s">
        <v>6415</v>
      </c>
      <c r="C1087" s="15" t="s">
        <v>4262</v>
      </c>
      <c r="D1087" s="15" t="s">
        <v>4263</v>
      </c>
      <c r="E1087" s="15" t="s">
        <v>6416</v>
      </c>
    </row>
    <row r="1088" spans="1:5" ht="38.25" x14ac:dyDescent="0.2">
      <c r="A1088" s="14" t="s">
        <v>6417</v>
      </c>
      <c r="B1088" s="15" t="s">
        <v>6418</v>
      </c>
      <c r="C1088" s="15" t="s">
        <v>4262</v>
      </c>
      <c r="D1088" s="15" t="s">
        <v>4263</v>
      </c>
      <c r="E1088" s="15" t="s">
        <v>6419</v>
      </c>
    </row>
    <row r="1089" spans="1:5" ht="38.25" x14ac:dyDescent="0.2">
      <c r="A1089" s="14" t="s">
        <v>6420</v>
      </c>
      <c r="B1089" s="15" t="s">
        <v>6421</v>
      </c>
      <c r="C1089" s="15" t="s">
        <v>4262</v>
      </c>
      <c r="D1089" s="15" t="s">
        <v>4263</v>
      </c>
      <c r="E1089" s="15" t="s">
        <v>6422</v>
      </c>
    </row>
    <row r="1090" spans="1:5" ht="38.25" x14ac:dyDescent="0.2">
      <c r="A1090" s="14" t="s">
        <v>6423</v>
      </c>
      <c r="B1090" s="15" t="s">
        <v>6424</v>
      </c>
      <c r="C1090" s="15" t="s">
        <v>4262</v>
      </c>
      <c r="D1090" s="15" t="s">
        <v>4263</v>
      </c>
      <c r="E1090" s="15" t="s">
        <v>6425</v>
      </c>
    </row>
    <row r="1091" spans="1:5" ht="38.25" x14ac:dyDescent="0.2">
      <c r="A1091" s="14" t="s">
        <v>6426</v>
      </c>
      <c r="B1091" s="15" t="s">
        <v>6427</v>
      </c>
      <c r="C1091" s="15" t="s">
        <v>4262</v>
      </c>
      <c r="D1091" s="15" t="s">
        <v>4263</v>
      </c>
      <c r="E1091" s="15" t="s">
        <v>6428</v>
      </c>
    </row>
    <row r="1092" spans="1:5" ht="38.25" x14ac:dyDescent="0.2">
      <c r="A1092" s="14" t="s">
        <v>6429</v>
      </c>
      <c r="B1092" s="15" t="s">
        <v>6430</v>
      </c>
      <c r="C1092" s="15" t="s">
        <v>4262</v>
      </c>
      <c r="D1092" s="15" t="s">
        <v>4263</v>
      </c>
      <c r="E1092" s="15" t="s">
        <v>6431</v>
      </c>
    </row>
    <row r="1093" spans="1:5" ht="38.25" x14ac:dyDescent="0.2">
      <c r="A1093" s="14" t="s">
        <v>6432</v>
      </c>
      <c r="B1093" s="15" t="s">
        <v>6433</v>
      </c>
      <c r="C1093" s="15" t="s">
        <v>4262</v>
      </c>
      <c r="D1093" s="15" t="s">
        <v>4263</v>
      </c>
      <c r="E1093" s="15" t="s">
        <v>6434</v>
      </c>
    </row>
    <row r="1094" spans="1:5" ht="38.25" x14ac:dyDescent="0.2">
      <c r="A1094" s="14" t="s">
        <v>6435</v>
      </c>
      <c r="B1094" s="15" t="s">
        <v>6436</v>
      </c>
      <c r="C1094" s="15" t="s">
        <v>4262</v>
      </c>
      <c r="D1094" s="15" t="s">
        <v>4263</v>
      </c>
      <c r="E1094" s="15" t="s">
        <v>6437</v>
      </c>
    </row>
    <row r="1095" spans="1:5" ht="38.25" x14ac:dyDescent="0.2">
      <c r="A1095" s="14" t="s">
        <v>6438</v>
      </c>
      <c r="B1095" s="15" t="s">
        <v>6439</v>
      </c>
      <c r="C1095" s="15" t="s">
        <v>4262</v>
      </c>
      <c r="D1095" s="15" t="s">
        <v>4263</v>
      </c>
      <c r="E1095" s="15" t="s">
        <v>6440</v>
      </c>
    </row>
    <row r="1096" spans="1:5" ht="38.25" x14ac:dyDescent="0.2">
      <c r="A1096" s="14" t="s">
        <v>6441</v>
      </c>
      <c r="B1096" s="15" t="s">
        <v>6442</v>
      </c>
      <c r="C1096" s="15" t="s">
        <v>4262</v>
      </c>
      <c r="D1096" s="15" t="s">
        <v>4263</v>
      </c>
      <c r="E1096" s="15" t="s">
        <v>6443</v>
      </c>
    </row>
    <row r="1097" spans="1:5" ht="38.25" x14ac:dyDescent="0.2">
      <c r="A1097" s="14" t="s">
        <v>6444</v>
      </c>
      <c r="B1097" s="15" t="s">
        <v>6445</v>
      </c>
      <c r="C1097" s="15" t="s">
        <v>4262</v>
      </c>
      <c r="D1097" s="15" t="s">
        <v>4263</v>
      </c>
      <c r="E1097" s="15" t="s">
        <v>6446</v>
      </c>
    </row>
    <row r="1098" spans="1:5" ht="38.25" x14ac:dyDescent="0.2">
      <c r="A1098" s="14" t="s">
        <v>6447</v>
      </c>
      <c r="B1098" s="15" t="s">
        <v>6448</v>
      </c>
      <c r="C1098" s="15" t="s">
        <v>4262</v>
      </c>
      <c r="D1098" s="15" t="s">
        <v>4263</v>
      </c>
      <c r="E1098" s="15" t="s">
        <v>6449</v>
      </c>
    </row>
    <row r="1099" spans="1:5" ht="38.25" x14ac:dyDescent="0.2">
      <c r="A1099" s="14" t="s">
        <v>6450</v>
      </c>
      <c r="B1099" s="15" t="s">
        <v>6451</v>
      </c>
      <c r="C1099" s="15" t="s">
        <v>4262</v>
      </c>
      <c r="D1099" s="15" t="s">
        <v>4263</v>
      </c>
      <c r="E1099" s="15" t="s">
        <v>6452</v>
      </c>
    </row>
    <row r="1100" spans="1:5" ht="38.25" x14ac:dyDescent="0.2">
      <c r="A1100" s="14" t="s">
        <v>6453</v>
      </c>
      <c r="B1100" s="15" t="s">
        <v>6454</v>
      </c>
      <c r="C1100" s="15" t="s">
        <v>4262</v>
      </c>
      <c r="D1100" s="15" t="s">
        <v>4263</v>
      </c>
      <c r="E1100" s="15" t="s">
        <v>6455</v>
      </c>
    </row>
    <row r="1101" spans="1:5" ht="25.5" x14ac:dyDescent="0.2">
      <c r="A1101" s="14" t="s">
        <v>6456</v>
      </c>
      <c r="B1101" s="15" t="s">
        <v>911</v>
      </c>
      <c r="C1101" s="15" t="s">
        <v>5654</v>
      </c>
      <c r="D1101" s="15" t="s">
        <v>5655</v>
      </c>
      <c r="E1101" s="15" t="s">
        <v>6457</v>
      </c>
    </row>
    <row r="1102" spans="1:5" ht="25.5" x14ac:dyDescent="0.2">
      <c r="A1102" s="14" t="s">
        <v>6458</v>
      </c>
      <c r="B1102" s="15" t="s">
        <v>911</v>
      </c>
      <c r="C1102" s="15" t="s">
        <v>5654</v>
      </c>
      <c r="D1102" s="15" t="s">
        <v>5655</v>
      </c>
      <c r="E1102" s="15" t="s">
        <v>6459</v>
      </c>
    </row>
    <row r="1103" spans="1:5" ht="25.5" x14ac:dyDescent="0.2">
      <c r="A1103" s="14" t="s">
        <v>6460</v>
      </c>
      <c r="B1103" s="15" t="s">
        <v>911</v>
      </c>
      <c r="C1103" s="15" t="s">
        <v>5654</v>
      </c>
      <c r="D1103" s="15" t="s">
        <v>5655</v>
      </c>
      <c r="E1103" s="15" t="s">
        <v>6461</v>
      </c>
    </row>
    <row r="1104" spans="1:5" ht="25.5" x14ac:dyDescent="0.2">
      <c r="A1104" s="14" t="s">
        <v>6462</v>
      </c>
      <c r="B1104" s="15" t="s">
        <v>911</v>
      </c>
      <c r="C1104" s="15" t="s">
        <v>5654</v>
      </c>
      <c r="D1104" s="15" t="s">
        <v>5655</v>
      </c>
      <c r="E1104" s="15" t="s">
        <v>6463</v>
      </c>
    </row>
    <row r="1105" spans="1:5" ht="25.5" x14ac:dyDescent="0.2">
      <c r="A1105" s="14" t="s">
        <v>6464</v>
      </c>
      <c r="B1105" s="15" t="s">
        <v>6465</v>
      </c>
      <c r="C1105" s="15" t="s">
        <v>4104</v>
      </c>
      <c r="D1105" s="15" t="s">
        <v>4105</v>
      </c>
      <c r="E1105" s="15" t="s">
        <v>6466</v>
      </c>
    </row>
    <row r="1106" spans="1:5" ht="25.5" x14ac:dyDescent="0.2">
      <c r="A1106" s="14" t="s">
        <v>6467</v>
      </c>
      <c r="B1106" s="15" t="s">
        <v>6468</v>
      </c>
      <c r="C1106" s="15" t="s">
        <v>4104</v>
      </c>
      <c r="D1106" s="15" t="s">
        <v>4105</v>
      </c>
      <c r="E1106" s="15" t="s">
        <v>6469</v>
      </c>
    </row>
    <row r="1107" spans="1:5" ht="38.25" x14ac:dyDescent="0.2">
      <c r="A1107" s="14" t="s">
        <v>6470</v>
      </c>
      <c r="B1107" s="15" t="s">
        <v>6471</v>
      </c>
      <c r="C1107" s="15" t="s">
        <v>5409</v>
      </c>
      <c r="D1107" s="15" t="s">
        <v>5410</v>
      </c>
      <c r="E1107" s="15" t="s">
        <v>6472</v>
      </c>
    </row>
    <row r="1108" spans="1:5" ht="25.5" x14ac:dyDescent="0.2">
      <c r="A1108" s="14" t="s">
        <v>6473</v>
      </c>
      <c r="B1108" s="15" t="s">
        <v>6474</v>
      </c>
      <c r="C1108" s="15" t="s">
        <v>6475</v>
      </c>
      <c r="D1108" s="15" t="s">
        <v>6476</v>
      </c>
      <c r="E1108" s="15" t="s">
        <v>6477</v>
      </c>
    </row>
    <row r="1109" spans="1:5" ht="25.5" x14ac:dyDescent="0.2">
      <c r="A1109" s="14" t="s">
        <v>6478</v>
      </c>
      <c r="B1109" s="15" t="s">
        <v>1311</v>
      </c>
      <c r="C1109" s="15" t="s">
        <v>4132</v>
      </c>
      <c r="D1109" s="15" t="s">
        <v>4133</v>
      </c>
      <c r="E1109" s="15" t="s">
        <v>6479</v>
      </c>
    </row>
    <row r="1110" spans="1:5" ht="25.5" x14ac:dyDescent="0.2">
      <c r="A1110" s="14" t="s">
        <v>6480</v>
      </c>
      <c r="B1110" s="15" t="s">
        <v>6481</v>
      </c>
      <c r="C1110" s="15" t="s">
        <v>4132</v>
      </c>
      <c r="D1110" s="15" t="s">
        <v>4133</v>
      </c>
      <c r="E1110" s="15" t="s">
        <v>6482</v>
      </c>
    </row>
    <row r="1111" spans="1:5" ht="25.5" x14ac:dyDescent="0.2">
      <c r="A1111" s="14" t="s">
        <v>6483</v>
      </c>
      <c r="B1111" s="15" t="s">
        <v>6484</v>
      </c>
      <c r="C1111" s="15" t="s">
        <v>4132</v>
      </c>
      <c r="D1111" s="15" t="s">
        <v>4133</v>
      </c>
      <c r="E1111" s="15" t="s">
        <v>6485</v>
      </c>
    </row>
    <row r="1112" spans="1:5" ht="25.5" x14ac:dyDescent="0.2">
      <c r="A1112" s="14" t="s">
        <v>6486</v>
      </c>
      <c r="B1112" s="15" t="s">
        <v>546</v>
      </c>
      <c r="C1112" s="15" t="s">
        <v>4132</v>
      </c>
      <c r="D1112" s="15" t="s">
        <v>4133</v>
      </c>
      <c r="E1112" s="15" t="s">
        <v>6487</v>
      </c>
    </row>
    <row r="1113" spans="1:5" ht="25.5" x14ac:dyDescent="0.2">
      <c r="A1113" s="14" t="s">
        <v>6488</v>
      </c>
      <c r="B1113" s="15" t="s">
        <v>6489</v>
      </c>
      <c r="C1113" s="15" t="s">
        <v>4132</v>
      </c>
      <c r="D1113" s="15" t="s">
        <v>4133</v>
      </c>
      <c r="E1113" s="15" t="s">
        <v>6490</v>
      </c>
    </row>
    <row r="1114" spans="1:5" ht="25.5" x14ac:dyDescent="0.2">
      <c r="A1114" s="14" t="s">
        <v>6491</v>
      </c>
      <c r="B1114" s="15" t="s">
        <v>345</v>
      </c>
      <c r="C1114" s="15" t="s">
        <v>4132</v>
      </c>
      <c r="D1114" s="15" t="s">
        <v>4133</v>
      </c>
      <c r="E1114" s="15" t="s">
        <v>6492</v>
      </c>
    </row>
    <row r="1115" spans="1:5" ht="25.5" x14ac:dyDescent="0.2">
      <c r="A1115" s="14" t="s">
        <v>6493</v>
      </c>
      <c r="B1115" s="15" t="s">
        <v>373</v>
      </c>
      <c r="C1115" s="15" t="s">
        <v>4132</v>
      </c>
      <c r="D1115" s="15" t="s">
        <v>4133</v>
      </c>
      <c r="E1115" s="15" t="s">
        <v>6494</v>
      </c>
    </row>
    <row r="1116" spans="1:5" ht="25.5" x14ac:dyDescent="0.2">
      <c r="A1116" s="14" t="s">
        <v>6495</v>
      </c>
      <c r="B1116" s="15" t="s">
        <v>6496</v>
      </c>
      <c r="C1116" s="15" t="s">
        <v>4132</v>
      </c>
      <c r="D1116" s="15" t="s">
        <v>4133</v>
      </c>
      <c r="E1116" s="15" t="s">
        <v>6497</v>
      </c>
    </row>
    <row r="1117" spans="1:5" ht="25.5" x14ac:dyDescent="0.2">
      <c r="A1117" s="14" t="s">
        <v>6498</v>
      </c>
      <c r="B1117" s="15" t="s">
        <v>1056</v>
      </c>
      <c r="C1117" s="15" t="s">
        <v>4132</v>
      </c>
      <c r="D1117" s="15" t="s">
        <v>4133</v>
      </c>
      <c r="E1117" s="15" t="s">
        <v>6499</v>
      </c>
    </row>
    <row r="1118" spans="1:5" ht="25.5" x14ac:dyDescent="0.2">
      <c r="A1118" s="14" t="s">
        <v>6500</v>
      </c>
      <c r="B1118" s="15" t="s">
        <v>6501</v>
      </c>
      <c r="C1118" s="15" t="s">
        <v>4132</v>
      </c>
      <c r="D1118" s="15" t="s">
        <v>4133</v>
      </c>
      <c r="E1118" s="15" t="s">
        <v>6502</v>
      </c>
    </row>
    <row r="1119" spans="1:5" ht="25.5" x14ac:dyDescent="0.2">
      <c r="A1119" s="14" t="s">
        <v>6503</v>
      </c>
      <c r="B1119" s="15" t="s">
        <v>213</v>
      </c>
      <c r="C1119" s="15" t="s">
        <v>4132</v>
      </c>
      <c r="D1119" s="15" t="s">
        <v>4133</v>
      </c>
      <c r="E1119" s="15" t="s">
        <v>6504</v>
      </c>
    </row>
    <row r="1120" spans="1:5" ht="25.5" x14ac:dyDescent="0.2">
      <c r="A1120" s="14" t="s">
        <v>6505</v>
      </c>
      <c r="B1120" s="15" t="s">
        <v>1113</v>
      </c>
      <c r="C1120" s="15" t="s">
        <v>4132</v>
      </c>
      <c r="D1120" s="15" t="s">
        <v>4133</v>
      </c>
      <c r="E1120" s="15" t="s">
        <v>6506</v>
      </c>
    </row>
    <row r="1121" spans="1:5" ht="25.5" x14ac:dyDescent="0.2">
      <c r="A1121" s="14" t="s">
        <v>6507</v>
      </c>
      <c r="B1121" s="15" t="s">
        <v>6508</v>
      </c>
      <c r="C1121" s="15" t="s">
        <v>4132</v>
      </c>
      <c r="D1121" s="15" t="s">
        <v>4133</v>
      </c>
      <c r="E1121" s="15" t="s">
        <v>6509</v>
      </c>
    </row>
    <row r="1122" spans="1:5" ht="25.5" x14ac:dyDescent="0.2">
      <c r="A1122" s="14" t="s">
        <v>6510</v>
      </c>
      <c r="B1122" s="15" t="s">
        <v>6511</v>
      </c>
      <c r="C1122" s="15" t="s">
        <v>4132</v>
      </c>
      <c r="D1122" s="15" t="s">
        <v>4133</v>
      </c>
      <c r="E1122" s="15" t="s">
        <v>6512</v>
      </c>
    </row>
    <row r="1123" spans="1:5" ht="25.5" x14ac:dyDescent="0.2">
      <c r="A1123" s="14" t="s">
        <v>6513</v>
      </c>
      <c r="B1123" s="15" t="s">
        <v>369</v>
      </c>
      <c r="C1123" s="15" t="s">
        <v>4132</v>
      </c>
      <c r="D1123" s="15" t="s">
        <v>4133</v>
      </c>
      <c r="E1123" s="15" t="s">
        <v>6514</v>
      </c>
    </row>
    <row r="1124" spans="1:5" ht="25.5" x14ac:dyDescent="0.2">
      <c r="A1124" s="14" t="s">
        <v>6515</v>
      </c>
      <c r="B1124" s="15" t="s">
        <v>1274</v>
      </c>
      <c r="C1124" s="15" t="s">
        <v>4132</v>
      </c>
      <c r="D1124" s="15" t="s">
        <v>4133</v>
      </c>
      <c r="E1124" s="15" t="s">
        <v>6516</v>
      </c>
    </row>
    <row r="1125" spans="1:5" ht="25.5" x14ac:dyDescent="0.2">
      <c r="A1125" s="14" t="s">
        <v>6517</v>
      </c>
      <c r="B1125" s="15" t="s">
        <v>6518</v>
      </c>
      <c r="C1125" s="15" t="s">
        <v>4055</v>
      </c>
      <c r="D1125" s="15" t="s">
        <v>4056</v>
      </c>
      <c r="E1125" s="15" t="s">
        <v>6519</v>
      </c>
    </row>
    <row r="1126" spans="1:5" ht="25.5" x14ac:dyDescent="0.2">
      <c r="A1126" s="14" t="s">
        <v>6520</v>
      </c>
      <c r="B1126" s="15" t="s">
        <v>6521</v>
      </c>
      <c r="C1126" s="15" t="s">
        <v>4307</v>
      </c>
      <c r="D1126" s="15" t="s">
        <v>4308</v>
      </c>
      <c r="E1126" s="15" t="s">
        <v>6522</v>
      </c>
    </row>
    <row r="1127" spans="1:5" ht="25.5" x14ac:dyDescent="0.2">
      <c r="A1127" s="14" t="s">
        <v>6523</v>
      </c>
      <c r="B1127" s="15" t="s">
        <v>6524</v>
      </c>
      <c r="C1127" s="15" t="s">
        <v>4307</v>
      </c>
      <c r="D1127" s="15" t="s">
        <v>4308</v>
      </c>
      <c r="E1127" s="15" t="s">
        <v>6525</v>
      </c>
    </row>
    <row r="1128" spans="1:5" ht="25.5" x14ac:dyDescent="0.2">
      <c r="A1128" s="14" t="s">
        <v>6526</v>
      </c>
      <c r="B1128" s="15" t="s">
        <v>6527</v>
      </c>
      <c r="C1128" s="15" t="s">
        <v>4307</v>
      </c>
      <c r="D1128" s="15" t="s">
        <v>4308</v>
      </c>
      <c r="E1128" s="15" t="s">
        <v>6528</v>
      </c>
    </row>
    <row r="1129" spans="1:5" ht="25.5" x14ac:dyDescent="0.2">
      <c r="A1129" s="14" t="s">
        <v>6529</v>
      </c>
      <c r="B1129" s="15" t="s">
        <v>6530</v>
      </c>
      <c r="C1129" s="15" t="s">
        <v>4307</v>
      </c>
      <c r="D1129" s="15" t="s">
        <v>4308</v>
      </c>
      <c r="E1129" s="15" t="s">
        <v>6531</v>
      </c>
    </row>
    <row r="1130" spans="1:5" ht="25.5" x14ac:dyDescent="0.2">
      <c r="A1130" s="14" t="s">
        <v>6532</v>
      </c>
      <c r="B1130" s="15" t="s">
        <v>6533</v>
      </c>
      <c r="C1130" s="15" t="s">
        <v>4307</v>
      </c>
      <c r="D1130" s="15" t="s">
        <v>4308</v>
      </c>
      <c r="E1130" s="15" t="s">
        <v>6534</v>
      </c>
    </row>
    <row r="1131" spans="1:5" ht="25.5" x14ac:dyDescent="0.2">
      <c r="A1131" s="14" t="s">
        <v>6535</v>
      </c>
      <c r="B1131" s="15" t="s">
        <v>6536</v>
      </c>
      <c r="C1131" s="15" t="s">
        <v>4307</v>
      </c>
      <c r="D1131" s="15" t="s">
        <v>4308</v>
      </c>
      <c r="E1131" s="15" t="s">
        <v>6537</v>
      </c>
    </row>
    <row r="1132" spans="1:5" ht="25.5" x14ac:dyDescent="0.2">
      <c r="A1132" s="14" t="s">
        <v>6538</v>
      </c>
      <c r="B1132" s="15" t="s">
        <v>6539</v>
      </c>
      <c r="C1132" s="15" t="s">
        <v>4307</v>
      </c>
      <c r="D1132" s="15" t="s">
        <v>4308</v>
      </c>
      <c r="E1132" s="15" t="s">
        <v>6540</v>
      </c>
    </row>
    <row r="1133" spans="1:5" ht="25.5" x14ac:dyDescent="0.2">
      <c r="A1133" s="14" t="s">
        <v>6541</v>
      </c>
      <c r="B1133" s="15" t="s">
        <v>405</v>
      </c>
      <c r="C1133" s="15" t="s">
        <v>4349</v>
      </c>
      <c r="D1133" s="15" t="s">
        <v>4350</v>
      </c>
      <c r="E1133" s="15" t="s">
        <v>6542</v>
      </c>
    </row>
    <row r="1134" spans="1:5" ht="25.5" x14ac:dyDescent="0.2">
      <c r="A1134" s="14" t="s">
        <v>6543</v>
      </c>
      <c r="B1134" s="15" t="s">
        <v>6544</v>
      </c>
      <c r="C1134" s="15" t="s">
        <v>4349</v>
      </c>
      <c r="D1134" s="15" t="s">
        <v>4350</v>
      </c>
      <c r="E1134" s="15" t="s">
        <v>6545</v>
      </c>
    </row>
    <row r="1135" spans="1:5" ht="25.5" x14ac:dyDescent="0.2">
      <c r="A1135" s="14" t="s">
        <v>6546</v>
      </c>
      <c r="B1135" s="15" t="s">
        <v>974</v>
      </c>
      <c r="C1135" s="15" t="s">
        <v>4349</v>
      </c>
      <c r="D1135" s="15" t="s">
        <v>4350</v>
      </c>
      <c r="E1135" s="15" t="s">
        <v>6547</v>
      </c>
    </row>
    <row r="1136" spans="1:5" ht="25.5" x14ac:dyDescent="0.2">
      <c r="A1136" s="14" t="s">
        <v>6548</v>
      </c>
      <c r="B1136" s="15" t="s">
        <v>1000</v>
      </c>
      <c r="C1136" s="15" t="s">
        <v>4349</v>
      </c>
      <c r="D1136" s="15" t="s">
        <v>4350</v>
      </c>
      <c r="E1136" s="15" t="s">
        <v>6549</v>
      </c>
    </row>
    <row r="1137" spans="1:5" ht="25.5" x14ac:dyDescent="0.2">
      <c r="A1137" s="14" t="s">
        <v>6550</v>
      </c>
      <c r="B1137" s="15" t="s">
        <v>6551</v>
      </c>
      <c r="C1137" s="15" t="s">
        <v>4349</v>
      </c>
      <c r="D1137" s="15" t="s">
        <v>4350</v>
      </c>
      <c r="E1137" s="15" t="s">
        <v>6552</v>
      </c>
    </row>
    <row r="1138" spans="1:5" ht="25.5" x14ac:dyDescent="0.2">
      <c r="A1138" s="14" t="s">
        <v>6553</v>
      </c>
      <c r="B1138" s="15" t="s">
        <v>6554</v>
      </c>
      <c r="C1138" s="15" t="s">
        <v>6555</v>
      </c>
      <c r="D1138" s="15" t="s">
        <v>6556</v>
      </c>
      <c r="E1138" s="15" t="s">
        <v>6557</v>
      </c>
    </row>
    <row r="1139" spans="1:5" ht="25.5" x14ac:dyDescent="0.2">
      <c r="A1139" s="14" t="s">
        <v>6558</v>
      </c>
      <c r="B1139" s="15" t="s">
        <v>6559</v>
      </c>
      <c r="C1139" s="15" t="s">
        <v>4184</v>
      </c>
      <c r="D1139" s="15" t="s">
        <v>4185</v>
      </c>
      <c r="E1139" s="15" t="s">
        <v>6560</v>
      </c>
    </row>
    <row r="1140" spans="1:5" ht="25.5" x14ac:dyDescent="0.2">
      <c r="A1140" s="14" t="s">
        <v>6561</v>
      </c>
      <c r="B1140" s="15" t="s">
        <v>6562</v>
      </c>
      <c r="C1140" s="15" t="s">
        <v>6563</v>
      </c>
      <c r="D1140" s="15" t="s">
        <v>6564</v>
      </c>
      <c r="E1140" s="15" t="s">
        <v>6565</v>
      </c>
    </row>
    <row r="1141" spans="1:5" ht="25.5" x14ac:dyDescent="0.2">
      <c r="A1141" s="14" t="s">
        <v>6566</v>
      </c>
      <c r="B1141" s="15" t="s">
        <v>636</v>
      </c>
      <c r="C1141" s="15" t="s">
        <v>6563</v>
      </c>
      <c r="D1141" s="15" t="s">
        <v>6564</v>
      </c>
      <c r="E1141" s="15" t="s">
        <v>6567</v>
      </c>
    </row>
    <row r="1142" spans="1:5" ht="25.5" x14ac:dyDescent="0.2">
      <c r="A1142" s="14" t="s">
        <v>6568</v>
      </c>
      <c r="B1142" s="15" t="s">
        <v>980</v>
      </c>
      <c r="C1142" s="15" t="s">
        <v>6563</v>
      </c>
      <c r="D1142" s="15" t="s">
        <v>6564</v>
      </c>
      <c r="E1142" s="15" t="s">
        <v>6569</v>
      </c>
    </row>
    <row r="1143" spans="1:5" ht="25.5" x14ac:dyDescent="0.2">
      <c r="A1143" s="14" t="s">
        <v>6570</v>
      </c>
      <c r="B1143" s="15" t="s">
        <v>667</v>
      </c>
      <c r="C1143" s="15" t="s">
        <v>6563</v>
      </c>
      <c r="D1143" s="15" t="s">
        <v>6564</v>
      </c>
      <c r="E1143" s="15" t="s">
        <v>6571</v>
      </c>
    </row>
    <row r="1144" spans="1:5" ht="25.5" x14ac:dyDescent="0.2">
      <c r="A1144" s="14" t="s">
        <v>6572</v>
      </c>
      <c r="B1144" s="15" t="s">
        <v>657</v>
      </c>
      <c r="C1144" s="15" t="s">
        <v>6563</v>
      </c>
      <c r="D1144" s="15" t="s">
        <v>6564</v>
      </c>
      <c r="E1144" s="15" t="s">
        <v>6573</v>
      </c>
    </row>
    <row r="1145" spans="1:5" ht="25.5" x14ac:dyDescent="0.2">
      <c r="A1145" s="14" t="s">
        <v>6574</v>
      </c>
      <c r="B1145" s="15" t="s">
        <v>806</v>
      </c>
      <c r="C1145" s="15" t="s">
        <v>6563</v>
      </c>
      <c r="D1145" s="15" t="s">
        <v>6564</v>
      </c>
      <c r="E1145" s="15" t="s">
        <v>6575</v>
      </c>
    </row>
    <row r="1146" spans="1:5" ht="25.5" x14ac:dyDescent="0.2">
      <c r="A1146" s="14" t="s">
        <v>6576</v>
      </c>
      <c r="B1146" s="15" t="s">
        <v>6577</v>
      </c>
      <c r="C1146" s="15" t="s">
        <v>6563</v>
      </c>
      <c r="D1146" s="15" t="s">
        <v>6564</v>
      </c>
      <c r="E1146" s="15" t="s">
        <v>6578</v>
      </c>
    </row>
    <row r="1147" spans="1:5" ht="25.5" x14ac:dyDescent="0.2">
      <c r="A1147" s="14" t="s">
        <v>6579</v>
      </c>
      <c r="B1147" s="15" t="s">
        <v>569</v>
      </c>
      <c r="C1147" s="15" t="s">
        <v>6563</v>
      </c>
      <c r="D1147" s="15" t="s">
        <v>6564</v>
      </c>
      <c r="E1147" s="15" t="s">
        <v>6580</v>
      </c>
    </row>
    <row r="1148" spans="1:5" ht="25.5" x14ac:dyDescent="0.2">
      <c r="A1148" s="14" t="s">
        <v>6581</v>
      </c>
      <c r="B1148" s="15" t="s">
        <v>658</v>
      </c>
      <c r="C1148" s="15" t="s">
        <v>6563</v>
      </c>
      <c r="D1148" s="15" t="s">
        <v>6564</v>
      </c>
      <c r="E1148" s="15" t="s">
        <v>6582</v>
      </c>
    </row>
    <row r="1149" spans="1:5" ht="25.5" x14ac:dyDescent="0.2">
      <c r="A1149" s="14" t="s">
        <v>6583</v>
      </c>
      <c r="B1149" s="15" t="s">
        <v>981</v>
      </c>
      <c r="C1149" s="15" t="s">
        <v>6563</v>
      </c>
      <c r="D1149" s="15" t="s">
        <v>6564</v>
      </c>
      <c r="E1149" s="15" t="s">
        <v>6584</v>
      </c>
    </row>
    <row r="1150" spans="1:5" ht="25.5" x14ac:dyDescent="0.2">
      <c r="A1150" s="14" t="s">
        <v>6585</v>
      </c>
      <c r="B1150" s="15" t="s">
        <v>1425</v>
      </c>
      <c r="C1150" s="15" t="s">
        <v>6563</v>
      </c>
      <c r="D1150" s="15" t="s">
        <v>6564</v>
      </c>
      <c r="E1150" s="15" t="s">
        <v>6586</v>
      </c>
    </row>
    <row r="1151" spans="1:5" ht="25.5" x14ac:dyDescent="0.2">
      <c r="A1151" s="14" t="s">
        <v>6587</v>
      </c>
      <c r="B1151" s="15" t="s">
        <v>932</v>
      </c>
      <c r="C1151" s="15" t="s">
        <v>6563</v>
      </c>
      <c r="D1151" s="15" t="s">
        <v>6564</v>
      </c>
      <c r="E1151" s="15" t="s">
        <v>6588</v>
      </c>
    </row>
    <row r="1152" spans="1:5" ht="25.5" x14ac:dyDescent="0.2">
      <c r="A1152" s="14" t="s">
        <v>6589</v>
      </c>
      <c r="B1152" s="15" t="s">
        <v>773</v>
      </c>
      <c r="C1152" s="15" t="s">
        <v>6563</v>
      </c>
      <c r="D1152" s="15" t="s">
        <v>6564</v>
      </c>
      <c r="E1152" s="15" t="s">
        <v>6590</v>
      </c>
    </row>
    <row r="1153" spans="1:5" ht="25.5" x14ac:dyDescent="0.2">
      <c r="A1153" s="14" t="s">
        <v>6591</v>
      </c>
      <c r="B1153" s="15" t="s">
        <v>774</v>
      </c>
      <c r="C1153" s="15" t="s">
        <v>6563</v>
      </c>
      <c r="D1153" s="15" t="s">
        <v>6564</v>
      </c>
      <c r="E1153" s="15" t="s">
        <v>6592</v>
      </c>
    </row>
    <row r="1154" spans="1:5" ht="25.5" x14ac:dyDescent="0.2">
      <c r="A1154" s="14" t="s">
        <v>6593</v>
      </c>
      <c r="B1154" s="15" t="s">
        <v>798</v>
      </c>
      <c r="C1154" s="15" t="s">
        <v>6563</v>
      </c>
      <c r="D1154" s="15" t="s">
        <v>6564</v>
      </c>
      <c r="E1154" s="15" t="s">
        <v>6594</v>
      </c>
    </row>
    <row r="1155" spans="1:5" ht="25.5" x14ac:dyDescent="0.2">
      <c r="A1155" s="14" t="s">
        <v>6595</v>
      </c>
      <c r="B1155" s="15" t="s">
        <v>931</v>
      </c>
      <c r="C1155" s="15" t="s">
        <v>6563</v>
      </c>
      <c r="D1155" s="15" t="s">
        <v>6564</v>
      </c>
      <c r="E1155" s="15" t="s">
        <v>6596</v>
      </c>
    </row>
    <row r="1156" spans="1:5" ht="25.5" x14ac:dyDescent="0.2">
      <c r="A1156" s="14" t="s">
        <v>6597</v>
      </c>
      <c r="B1156" s="15" t="s">
        <v>6598</v>
      </c>
      <c r="C1156" s="15" t="s">
        <v>6563</v>
      </c>
      <c r="D1156" s="15" t="s">
        <v>6564</v>
      </c>
      <c r="E1156" s="15" t="s">
        <v>6599</v>
      </c>
    </row>
    <row r="1157" spans="1:5" ht="25.5" x14ac:dyDescent="0.2">
      <c r="A1157" s="14" t="s">
        <v>6600</v>
      </c>
      <c r="B1157" s="15" t="s">
        <v>557</v>
      </c>
      <c r="C1157" s="15" t="s">
        <v>6563</v>
      </c>
      <c r="D1157" s="15" t="s">
        <v>6564</v>
      </c>
      <c r="E1157" s="15" t="s">
        <v>6601</v>
      </c>
    </row>
    <row r="1158" spans="1:5" ht="25.5" x14ac:dyDescent="0.2">
      <c r="A1158" s="14" t="s">
        <v>6602</v>
      </c>
      <c r="B1158" s="15" t="s">
        <v>354</v>
      </c>
      <c r="C1158" s="15" t="s">
        <v>6563</v>
      </c>
      <c r="D1158" s="15" t="s">
        <v>6564</v>
      </c>
      <c r="E1158" s="15" t="s">
        <v>6603</v>
      </c>
    </row>
    <row r="1159" spans="1:5" ht="25.5" x14ac:dyDescent="0.2">
      <c r="A1159" s="14" t="s">
        <v>6604</v>
      </c>
      <c r="B1159" s="15" t="s">
        <v>6605</v>
      </c>
      <c r="C1159" s="15" t="s">
        <v>6563</v>
      </c>
      <c r="D1159" s="15" t="s">
        <v>6564</v>
      </c>
      <c r="E1159" s="15" t="s">
        <v>6606</v>
      </c>
    </row>
    <row r="1160" spans="1:5" ht="25.5" x14ac:dyDescent="0.2">
      <c r="A1160" s="14" t="s">
        <v>6607</v>
      </c>
      <c r="B1160" s="15" t="s">
        <v>6608</v>
      </c>
      <c r="C1160" s="15" t="s">
        <v>6609</v>
      </c>
      <c r="D1160" s="15" t="s">
        <v>6610</v>
      </c>
      <c r="E1160" s="15" t="s">
        <v>6611</v>
      </c>
    </row>
    <row r="1161" spans="1:5" ht="25.5" x14ac:dyDescent="0.2">
      <c r="A1161" s="14" t="s">
        <v>6612</v>
      </c>
      <c r="B1161" s="15" t="s">
        <v>257</v>
      </c>
      <c r="C1161" s="15" t="s">
        <v>6613</v>
      </c>
      <c r="D1161" s="15" t="s">
        <v>6614</v>
      </c>
      <c r="E1161" s="15" t="s">
        <v>6615</v>
      </c>
    </row>
    <row r="1162" spans="1:5" ht="25.5" x14ac:dyDescent="0.2">
      <c r="A1162" s="14" t="s">
        <v>6616</v>
      </c>
      <c r="B1162" s="15" t="s">
        <v>1597</v>
      </c>
      <c r="C1162" s="15" t="s">
        <v>6613</v>
      </c>
      <c r="D1162" s="15" t="s">
        <v>6614</v>
      </c>
      <c r="E1162" s="15" t="s">
        <v>6617</v>
      </c>
    </row>
    <row r="1163" spans="1:5" ht="25.5" x14ac:dyDescent="0.2">
      <c r="A1163" s="14" t="s">
        <v>6618</v>
      </c>
      <c r="B1163" s="15" t="s">
        <v>378</v>
      </c>
      <c r="C1163" s="15" t="s">
        <v>4307</v>
      </c>
      <c r="D1163" s="15" t="s">
        <v>4308</v>
      </c>
      <c r="E1163" s="15" t="s">
        <v>6619</v>
      </c>
    </row>
    <row r="1164" spans="1:5" ht="25.5" x14ac:dyDescent="0.2">
      <c r="A1164" s="14" t="s">
        <v>6620</v>
      </c>
      <c r="B1164" s="15" t="s">
        <v>6621</v>
      </c>
      <c r="C1164" s="15" t="s">
        <v>3318</v>
      </c>
      <c r="D1164" s="15" t="s">
        <v>3319</v>
      </c>
      <c r="E1164" s="15" t="s">
        <v>6622</v>
      </c>
    </row>
    <row r="1165" spans="1:5" ht="25.5" x14ac:dyDescent="0.2">
      <c r="A1165" s="14" t="s">
        <v>6623</v>
      </c>
      <c r="B1165" s="15" t="s">
        <v>6624</v>
      </c>
      <c r="C1165" s="15" t="s">
        <v>3318</v>
      </c>
      <c r="D1165" s="15" t="s">
        <v>3319</v>
      </c>
      <c r="E1165" s="15" t="s">
        <v>6625</v>
      </c>
    </row>
    <row r="1166" spans="1:5" ht="25.5" x14ac:dyDescent="0.2">
      <c r="A1166" s="14" t="s">
        <v>6626</v>
      </c>
      <c r="B1166" s="15" t="s">
        <v>6627</v>
      </c>
      <c r="C1166" s="15" t="s">
        <v>5498</v>
      </c>
      <c r="D1166" s="15" t="s">
        <v>5499</v>
      </c>
      <c r="E1166" s="15" t="s">
        <v>6628</v>
      </c>
    </row>
    <row r="1167" spans="1:5" ht="25.5" x14ac:dyDescent="0.2">
      <c r="A1167" s="14" t="s">
        <v>6629</v>
      </c>
      <c r="B1167" s="15" t="s">
        <v>6630</v>
      </c>
      <c r="C1167" s="15" t="s">
        <v>5498</v>
      </c>
      <c r="D1167" s="15" t="s">
        <v>5499</v>
      </c>
      <c r="E1167" s="15" t="s">
        <v>6631</v>
      </c>
    </row>
    <row r="1168" spans="1:5" ht="25.5" x14ac:dyDescent="0.2">
      <c r="A1168" s="14" t="s">
        <v>6632</v>
      </c>
      <c r="B1168" s="15" t="s">
        <v>6633</v>
      </c>
      <c r="C1168" s="15" t="s">
        <v>5498</v>
      </c>
      <c r="D1168" s="15" t="s">
        <v>5499</v>
      </c>
      <c r="E1168" s="15" t="s">
        <v>6634</v>
      </c>
    </row>
    <row r="1169" spans="1:5" ht="38.25" x14ac:dyDescent="0.2">
      <c r="A1169" s="14" t="s">
        <v>6635</v>
      </c>
      <c r="B1169" s="15" t="s">
        <v>6636</v>
      </c>
      <c r="C1169" s="15" t="s">
        <v>5498</v>
      </c>
      <c r="D1169" s="15" t="s">
        <v>5499</v>
      </c>
      <c r="E1169" s="15" t="s">
        <v>6637</v>
      </c>
    </row>
    <row r="1170" spans="1:5" ht="25.5" x14ac:dyDescent="0.2">
      <c r="A1170" s="14" t="s">
        <v>6638</v>
      </c>
      <c r="B1170" s="15" t="s">
        <v>6639</v>
      </c>
      <c r="C1170" s="15" t="s">
        <v>5498</v>
      </c>
      <c r="D1170" s="15" t="s">
        <v>5499</v>
      </c>
      <c r="E1170" s="15" t="s">
        <v>6640</v>
      </c>
    </row>
    <row r="1171" spans="1:5" ht="25.5" x14ac:dyDescent="0.2">
      <c r="A1171" s="14" t="s">
        <v>6641</v>
      </c>
      <c r="B1171" s="15" t="s">
        <v>6642</v>
      </c>
      <c r="C1171" s="15" t="s">
        <v>5498</v>
      </c>
      <c r="D1171" s="15" t="s">
        <v>5499</v>
      </c>
      <c r="E1171" s="15" t="s">
        <v>6643</v>
      </c>
    </row>
    <row r="1172" spans="1:5" ht="25.5" x14ac:dyDescent="0.2">
      <c r="A1172" s="14" t="s">
        <v>6644</v>
      </c>
      <c r="B1172" s="15" t="s">
        <v>6645</v>
      </c>
      <c r="C1172" s="15" t="s">
        <v>5498</v>
      </c>
      <c r="D1172" s="15" t="s">
        <v>5499</v>
      </c>
      <c r="E1172" s="15" t="s">
        <v>6646</v>
      </c>
    </row>
    <row r="1173" spans="1:5" ht="25.5" x14ac:dyDescent="0.2">
      <c r="A1173" s="14" t="s">
        <v>6647</v>
      </c>
      <c r="B1173" s="15" t="s">
        <v>6648</v>
      </c>
      <c r="C1173" s="15" t="s">
        <v>5498</v>
      </c>
      <c r="D1173" s="15" t="s">
        <v>5499</v>
      </c>
      <c r="E1173" s="15" t="s">
        <v>6649</v>
      </c>
    </row>
    <row r="1174" spans="1:5" ht="25.5" x14ac:dyDescent="0.2">
      <c r="A1174" s="14" t="s">
        <v>6650</v>
      </c>
      <c r="B1174" s="15" t="s">
        <v>6651</v>
      </c>
      <c r="C1174" s="15" t="s">
        <v>5498</v>
      </c>
      <c r="D1174" s="15" t="s">
        <v>5499</v>
      </c>
      <c r="E1174" s="15" t="s">
        <v>6652</v>
      </c>
    </row>
    <row r="1175" spans="1:5" ht="25.5" x14ac:dyDescent="0.2">
      <c r="A1175" s="14" t="s">
        <v>6653</v>
      </c>
      <c r="B1175" s="15" t="s">
        <v>6654</v>
      </c>
      <c r="C1175" s="15" t="s">
        <v>5498</v>
      </c>
      <c r="D1175" s="15" t="s">
        <v>5499</v>
      </c>
      <c r="E1175" s="15" t="s">
        <v>6655</v>
      </c>
    </row>
    <row r="1176" spans="1:5" ht="25.5" x14ac:dyDescent="0.2">
      <c r="A1176" s="14" t="s">
        <v>6656</v>
      </c>
      <c r="B1176" s="15" t="s">
        <v>6657</v>
      </c>
      <c r="C1176" s="15" t="s">
        <v>5498</v>
      </c>
      <c r="D1176" s="15" t="s">
        <v>5499</v>
      </c>
      <c r="E1176" s="15" t="s">
        <v>6658</v>
      </c>
    </row>
    <row r="1177" spans="1:5" ht="25.5" x14ac:dyDescent="0.2">
      <c r="A1177" s="14" t="s">
        <v>6659</v>
      </c>
      <c r="B1177" s="15" t="s">
        <v>6660</v>
      </c>
      <c r="C1177" s="15" t="s">
        <v>5498</v>
      </c>
      <c r="D1177" s="15" t="s">
        <v>5499</v>
      </c>
      <c r="E1177" s="15" t="s">
        <v>6661</v>
      </c>
    </row>
    <row r="1178" spans="1:5" ht="38.25" x14ac:dyDescent="0.2">
      <c r="A1178" s="14" t="s">
        <v>6662</v>
      </c>
      <c r="B1178" s="15" t="s">
        <v>6663</v>
      </c>
      <c r="C1178" s="15" t="s">
        <v>5498</v>
      </c>
      <c r="D1178" s="15" t="s">
        <v>5499</v>
      </c>
      <c r="E1178" s="15" t="s">
        <v>6664</v>
      </c>
    </row>
    <row r="1179" spans="1:5" ht="25.5" x14ac:dyDescent="0.2">
      <c r="A1179" s="14" t="s">
        <v>6665</v>
      </c>
      <c r="B1179" s="15" t="s">
        <v>6666</v>
      </c>
      <c r="C1179" s="15" t="s">
        <v>5498</v>
      </c>
      <c r="D1179" s="15" t="s">
        <v>5499</v>
      </c>
      <c r="E1179" s="15" t="s">
        <v>6667</v>
      </c>
    </row>
    <row r="1180" spans="1:5" ht="25.5" x14ac:dyDescent="0.2">
      <c r="A1180" s="14" t="s">
        <v>6668</v>
      </c>
      <c r="B1180" s="15" t="s">
        <v>6669</v>
      </c>
      <c r="C1180" s="15" t="s">
        <v>5498</v>
      </c>
      <c r="D1180" s="15" t="s">
        <v>5499</v>
      </c>
      <c r="E1180" s="15" t="s">
        <v>6670</v>
      </c>
    </row>
    <row r="1181" spans="1:5" ht="25.5" x14ac:dyDescent="0.2">
      <c r="A1181" s="14" t="s">
        <v>6671</v>
      </c>
      <c r="B1181" s="15" t="s">
        <v>6672</v>
      </c>
      <c r="C1181" s="15" t="s">
        <v>5498</v>
      </c>
      <c r="D1181" s="15" t="s">
        <v>5499</v>
      </c>
      <c r="E1181" s="15" t="s">
        <v>6673</v>
      </c>
    </row>
    <row r="1182" spans="1:5" ht="25.5" x14ac:dyDescent="0.2">
      <c r="A1182" s="14" t="s">
        <v>6674</v>
      </c>
      <c r="B1182" s="15" t="s">
        <v>274</v>
      </c>
      <c r="C1182" s="15" t="s">
        <v>3303</v>
      </c>
      <c r="D1182" s="15" t="s">
        <v>3304</v>
      </c>
      <c r="E1182" s="15" t="s">
        <v>6675</v>
      </c>
    </row>
    <row r="1183" spans="1:5" ht="25.5" x14ac:dyDescent="0.2">
      <c r="A1183" s="14" t="s">
        <v>6676</v>
      </c>
      <c r="B1183" s="15" t="s">
        <v>1145</v>
      </c>
      <c r="C1183" s="15" t="s">
        <v>3303</v>
      </c>
      <c r="D1183" s="15" t="s">
        <v>3304</v>
      </c>
      <c r="E1183" s="15" t="s">
        <v>6677</v>
      </c>
    </row>
    <row r="1184" spans="1:5" ht="25.5" x14ac:dyDescent="0.2">
      <c r="A1184" s="14" t="s">
        <v>6678</v>
      </c>
      <c r="B1184" s="15" t="s">
        <v>11</v>
      </c>
      <c r="C1184" s="15" t="s">
        <v>3303</v>
      </c>
      <c r="D1184" s="15" t="s">
        <v>3304</v>
      </c>
      <c r="E1184" s="15" t="s">
        <v>6679</v>
      </c>
    </row>
    <row r="1185" spans="1:5" ht="25.5" x14ac:dyDescent="0.2">
      <c r="A1185" s="14" t="s">
        <v>6680</v>
      </c>
      <c r="B1185" s="15" t="s">
        <v>1315</v>
      </c>
      <c r="C1185" s="15" t="s">
        <v>3303</v>
      </c>
      <c r="D1185" s="15" t="s">
        <v>3304</v>
      </c>
      <c r="E1185" s="15" t="s">
        <v>6681</v>
      </c>
    </row>
    <row r="1186" spans="1:5" ht="25.5" x14ac:dyDescent="0.2">
      <c r="A1186" s="14" t="s">
        <v>6682</v>
      </c>
      <c r="B1186" s="15" t="s">
        <v>6683</v>
      </c>
      <c r="C1186" s="15" t="s">
        <v>3303</v>
      </c>
      <c r="D1186" s="15" t="s">
        <v>3304</v>
      </c>
      <c r="E1186" s="15" t="s">
        <v>6684</v>
      </c>
    </row>
    <row r="1187" spans="1:5" ht="25.5" x14ac:dyDescent="0.2">
      <c r="A1187" s="14" t="s">
        <v>6685</v>
      </c>
      <c r="B1187" s="15" t="s">
        <v>1144</v>
      </c>
      <c r="C1187" s="15" t="s">
        <v>3303</v>
      </c>
      <c r="D1187" s="15" t="s">
        <v>3304</v>
      </c>
      <c r="E1187" s="15" t="s">
        <v>6686</v>
      </c>
    </row>
    <row r="1188" spans="1:5" ht="25.5" x14ac:dyDescent="0.2">
      <c r="A1188" s="14" t="s">
        <v>6687</v>
      </c>
      <c r="B1188" s="15" t="s">
        <v>142</v>
      </c>
      <c r="C1188" s="15" t="s">
        <v>3303</v>
      </c>
      <c r="D1188" s="15" t="s">
        <v>3304</v>
      </c>
      <c r="E1188" s="15" t="s">
        <v>6688</v>
      </c>
    </row>
    <row r="1189" spans="1:5" ht="25.5" x14ac:dyDescent="0.2">
      <c r="A1189" s="14" t="s">
        <v>6689</v>
      </c>
      <c r="B1189" s="15" t="s">
        <v>142</v>
      </c>
      <c r="C1189" s="15" t="s">
        <v>3303</v>
      </c>
      <c r="D1189" s="15" t="s">
        <v>3304</v>
      </c>
      <c r="E1189" s="15" t="s">
        <v>6690</v>
      </c>
    </row>
    <row r="1190" spans="1:5" ht="25.5" x14ac:dyDescent="0.2">
      <c r="A1190" s="14" t="s">
        <v>6691</v>
      </c>
      <c r="B1190" s="15" t="s">
        <v>475</v>
      </c>
      <c r="C1190" s="15" t="s">
        <v>3303</v>
      </c>
      <c r="D1190" s="15" t="s">
        <v>3304</v>
      </c>
      <c r="E1190" s="15" t="s">
        <v>6692</v>
      </c>
    </row>
    <row r="1191" spans="1:5" ht="25.5" x14ac:dyDescent="0.2">
      <c r="A1191" s="14" t="s">
        <v>6693</v>
      </c>
      <c r="B1191" s="15" t="s">
        <v>466</v>
      </c>
      <c r="C1191" s="15" t="s">
        <v>3303</v>
      </c>
      <c r="D1191" s="15" t="s">
        <v>3304</v>
      </c>
      <c r="E1191" s="15" t="s">
        <v>6694</v>
      </c>
    </row>
    <row r="1192" spans="1:5" ht="25.5" x14ac:dyDescent="0.2">
      <c r="A1192" s="14" t="s">
        <v>6695</v>
      </c>
      <c r="B1192" s="15" t="s">
        <v>6696</v>
      </c>
      <c r="C1192" s="15" t="s">
        <v>4171</v>
      </c>
      <c r="D1192" s="15" t="s">
        <v>4172</v>
      </c>
      <c r="E1192" s="15" t="s">
        <v>6697</v>
      </c>
    </row>
    <row r="1193" spans="1:5" ht="25.5" x14ac:dyDescent="0.2">
      <c r="A1193" s="14" t="s">
        <v>6698</v>
      </c>
      <c r="B1193" s="15" t="s">
        <v>6699</v>
      </c>
      <c r="C1193" s="15" t="s">
        <v>3303</v>
      </c>
      <c r="D1193" s="15" t="s">
        <v>3304</v>
      </c>
      <c r="E1193" s="15" t="s">
        <v>6700</v>
      </c>
    </row>
    <row r="1194" spans="1:5" ht="25.5" x14ac:dyDescent="0.2">
      <c r="A1194" s="14" t="s">
        <v>6701</v>
      </c>
      <c r="B1194" s="15" t="s">
        <v>487</v>
      </c>
      <c r="C1194" s="15" t="s">
        <v>3303</v>
      </c>
      <c r="D1194" s="15" t="s">
        <v>3304</v>
      </c>
      <c r="E1194" s="15" t="s">
        <v>6702</v>
      </c>
    </row>
    <row r="1195" spans="1:5" ht="25.5" x14ac:dyDescent="0.2">
      <c r="A1195" s="14" t="s">
        <v>6703</v>
      </c>
      <c r="B1195" s="15" t="s">
        <v>6704</v>
      </c>
      <c r="C1195" s="15" t="s">
        <v>3303</v>
      </c>
      <c r="D1195" s="15" t="s">
        <v>3304</v>
      </c>
      <c r="E1195" s="15" t="s">
        <v>6705</v>
      </c>
    </row>
    <row r="1196" spans="1:5" ht="25.5" x14ac:dyDescent="0.2">
      <c r="A1196" s="14" t="s">
        <v>6706</v>
      </c>
      <c r="B1196" s="15" t="s">
        <v>154</v>
      </c>
      <c r="C1196" s="15" t="s">
        <v>3303</v>
      </c>
      <c r="D1196" s="15" t="s">
        <v>3304</v>
      </c>
      <c r="E1196" s="15" t="s">
        <v>6707</v>
      </c>
    </row>
    <row r="1197" spans="1:5" ht="38.25" x14ac:dyDescent="0.2">
      <c r="A1197" s="14" t="s">
        <v>6708</v>
      </c>
      <c r="B1197" s="15" t="s">
        <v>153</v>
      </c>
      <c r="C1197" s="15" t="s">
        <v>3303</v>
      </c>
      <c r="D1197" s="15" t="s">
        <v>3304</v>
      </c>
      <c r="E1197" s="15" t="s">
        <v>6709</v>
      </c>
    </row>
    <row r="1198" spans="1:5" ht="25.5" x14ac:dyDescent="0.2">
      <c r="A1198" s="14" t="s">
        <v>6710</v>
      </c>
      <c r="B1198" s="15" t="s">
        <v>874</v>
      </c>
      <c r="C1198" s="15" t="s">
        <v>3395</v>
      </c>
      <c r="D1198" s="15" t="s">
        <v>3396</v>
      </c>
      <c r="E1198" s="15" t="s">
        <v>6711</v>
      </c>
    </row>
    <row r="1199" spans="1:5" ht="38.25" x14ac:dyDescent="0.2">
      <c r="A1199" s="14" t="s">
        <v>6712</v>
      </c>
      <c r="B1199" s="15" t="s">
        <v>1187</v>
      </c>
      <c r="C1199" s="15" t="s">
        <v>3343</v>
      </c>
      <c r="D1199" s="15" t="s">
        <v>3344</v>
      </c>
      <c r="E1199" s="15" t="s">
        <v>6713</v>
      </c>
    </row>
    <row r="1200" spans="1:5" ht="38.25" x14ac:dyDescent="0.2">
      <c r="A1200" s="14" t="s">
        <v>6714</v>
      </c>
      <c r="B1200" s="15" t="s">
        <v>1188</v>
      </c>
      <c r="C1200" s="15" t="s">
        <v>3343</v>
      </c>
      <c r="D1200" s="15" t="s">
        <v>3344</v>
      </c>
      <c r="E1200" s="15" t="s">
        <v>6715</v>
      </c>
    </row>
    <row r="1201" spans="1:5" ht="25.5" x14ac:dyDescent="0.2">
      <c r="A1201" s="14" t="s">
        <v>6716</v>
      </c>
      <c r="B1201" s="15" t="s">
        <v>6717</v>
      </c>
      <c r="C1201" s="15" t="s">
        <v>3339</v>
      </c>
      <c r="D1201" s="15" t="s">
        <v>3340</v>
      </c>
      <c r="E1201" s="15" t="s">
        <v>6718</v>
      </c>
    </row>
    <row r="1202" spans="1:5" ht="25.5" x14ac:dyDescent="0.2">
      <c r="A1202" s="14" t="s">
        <v>6719</v>
      </c>
      <c r="B1202" s="15" t="s">
        <v>6720</v>
      </c>
      <c r="C1202" s="15" t="s">
        <v>6302</v>
      </c>
      <c r="D1202" s="15" t="s">
        <v>6303</v>
      </c>
      <c r="E1202" s="15" t="s">
        <v>6721</v>
      </c>
    </row>
    <row r="1203" spans="1:5" ht="25.5" x14ac:dyDescent="0.2">
      <c r="A1203" s="14" t="s">
        <v>6722</v>
      </c>
      <c r="B1203" s="15" t="s">
        <v>6723</v>
      </c>
      <c r="C1203" s="15" t="s">
        <v>6724</v>
      </c>
      <c r="D1203" s="15" t="s">
        <v>6725</v>
      </c>
      <c r="E1203" s="15" t="s">
        <v>6726</v>
      </c>
    </row>
    <row r="1204" spans="1:5" ht="25.5" x14ac:dyDescent="0.2">
      <c r="A1204" s="14" t="s">
        <v>6727</v>
      </c>
      <c r="B1204" s="15" t="s">
        <v>6728</v>
      </c>
      <c r="C1204" s="15" t="s">
        <v>5202</v>
      </c>
      <c r="D1204" s="15" t="s">
        <v>5203</v>
      </c>
      <c r="E1204" s="15" t="s">
        <v>6729</v>
      </c>
    </row>
    <row r="1205" spans="1:5" ht="25.5" x14ac:dyDescent="0.2">
      <c r="A1205" s="14" t="s">
        <v>6730</v>
      </c>
      <c r="B1205" s="15" t="s">
        <v>6731</v>
      </c>
      <c r="C1205" s="15" t="s">
        <v>5202</v>
      </c>
      <c r="D1205" s="15" t="s">
        <v>5203</v>
      </c>
      <c r="E1205" s="15" t="s">
        <v>6732</v>
      </c>
    </row>
    <row r="1206" spans="1:5" ht="25.5" x14ac:dyDescent="0.2">
      <c r="A1206" s="14" t="s">
        <v>6733</v>
      </c>
      <c r="B1206" s="15" t="s">
        <v>1366</v>
      </c>
      <c r="C1206" s="15" t="s">
        <v>5202</v>
      </c>
      <c r="D1206" s="15" t="s">
        <v>5203</v>
      </c>
      <c r="E1206" s="15" t="s">
        <v>6734</v>
      </c>
    </row>
    <row r="1207" spans="1:5" ht="25.5" x14ac:dyDescent="0.2">
      <c r="A1207" s="14" t="s">
        <v>6735</v>
      </c>
      <c r="B1207" s="15" t="s">
        <v>6736</v>
      </c>
      <c r="C1207" s="15" t="s">
        <v>5202</v>
      </c>
      <c r="D1207" s="15" t="s">
        <v>5203</v>
      </c>
      <c r="E1207" s="15" t="s">
        <v>6737</v>
      </c>
    </row>
    <row r="1208" spans="1:5" ht="25.5" x14ac:dyDescent="0.2">
      <c r="A1208" s="14" t="s">
        <v>6738</v>
      </c>
      <c r="B1208" s="15" t="s">
        <v>6739</v>
      </c>
      <c r="C1208" s="15" t="s">
        <v>5202</v>
      </c>
      <c r="D1208" s="15" t="s">
        <v>5203</v>
      </c>
      <c r="E1208" s="15" t="s">
        <v>6740</v>
      </c>
    </row>
    <row r="1209" spans="1:5" ht="25.5" x14ac:dyDescent="0.2">
      <c r="A1209" s="14" t="s">
        <v>6741</v>
      </c>
      <c r="B1209" s="15" t="s">
        <v>945</v>
      </c>
      <c r="C1209" s="15" t="s">
        <v>4132</v>
      </c>
      <c r="D1209" s="15" t="s">
        <v>4133</v>
      </c>
      <c r="E1209" s="15" t="s">
        <v>6742</v>
      </c>
    </row>
    <row r="1210" spans="1:5" ht="25.5" x14ac:dyDescent="0.2">
      <c r="A1210" s="14" t="s">
        <v>6743</v>
      </c>
      <c r="B1210" s="15" t="s">
        <v>1574</v>
      </c>
      <c r="C1210" s="15" t="s">
        <v>4132</v>
      </c>
      <c r="D1210" s="15" t="s">
        <v>4133</v>
      </c>
      <c r="E1210" s="15" t="s">
        <v>6744</v>
      </c>
    </row>
    <row r="1211" spans="1:5" ht="25.5" x14ac:dyDescent="0.2">
      <c r="A1211" s="14" t="s">
        <v>6745</v>
      </c>
      <c r="B1211" s="15" t="s">
        <v>1575</v>
      </c>
      <c r="C1211" s="15" t="s">
        <v>4132</v>
      </c>
      <c r="D1211" s="15" t="s">
        <v>4133</v>
      </c>
      <c r="E1211" s="15" t="s">
        <v>6746</v>
      </c>
    </row>
    <row r="1212" spans="1:5" ht="25.5" x14ac:dyDescent="0.2">
      <c r="A1212" s="14" t="s">
        <v>6747</v>
      </c>
      <c r="B1212" s="15" t="s">
        <v>1125</v>
      </c>
      <c r="C1212" s="15" t="s">
        <v>4132</v>
      </c>
      <c r="D1212" s="15" t="s">
        <v>4133</v>
      </c>
      <c r="E1212" s="15" t="s">
        <v>6748</v>
      </c>
    </row>
    <row r="1213" spans="1:5" ht="25.5" x14ac:dyDescent="0.2">
      <c r="A1213" s="14" t="s">
        <v>6749</v>
      </c>
      <c r="B1213" s="15" t="s">
        <v>1283</v>
      </c>
      <c r="C1213" s="15" t="s">
        <v>4132</v>
      </c>
      <c r="D1213" s="15" t="s">
        <v>4133</v>
      </c>
      <c r="E1213" s="15" t="s">
        <v>6750</v>
      </c>
    </row>
    <row r="1214" spans="1:5" ht="25.5" x14ac:dyDescent="0.2">
      <c r="A1214" s="14" t="s">
        <v>6751</v>
      </c>
      <c r="B1214" s="15" t="s">
        <v>1176</v>
      </c>
      <c r="C1214" s="15" t="s">
        <v>4132</v>
      </c>
      <c r="D1214" s="15" t="s">
        <v>4133</v>
      </c>
      <c r="E1214" s="15" t="s">
        <v>6752</v>
      </c>
    </row>
    <row r="1215" spans="1:5" ht="25.5" x14ac:dyDescent="0.2">
      <c r="A1215" s="14" t="s">
        <v>6753</v>
      </c>
      <c r="B1215" s="15" t="s">
        <v>1176</v>
      </c>
      <c r="C1215" s="15" t="s">
        <v>4132</v>
      </c>
      <c r="D1215" s="15" t="s">
        <v>4133</v>
      </c>
      <c r="E1215" s="15" t="s">
        <v>6754</v>
      </c>
    </row>
    <row r="1216" spans="1:5" ht="25.5" x14ac:dyDescent="0.2">
      <c r="A1216" s="14" t="s">
        <v>6755</v>
      </c>
      <c r="B1216" s="15" t="s">
        <v>1510</v>
      </c>
      <c r="C1216" s="15" t="s">
        <v>4132</v>
      </c>
      <c r="D1216" s="15" t="s">
        <v>4133</v>
      </c>
      <c r="E1216" s="15" t="s">
        <v>6756</v>
      </c>
    </row>
    <row r="1217" spans="1:5" ht="25.5" x14ac:dyDescent="0.2">
      <c r="A1217" s="14" t="s">
        <v>6757</v>
      </c>
      <c r="B1217" s="15" t="s">
        <v>1473</v>
      </c>
      <c r="C1217" s="15" t="s">
        <v>4132</v>
      </c>
      <c r="D1217" s="15" t="s">
        <v>4133</v>
      </c>
      <c r="E1217" s="15" t="s">
        <v>6758</v>
      </c>
    </row>
    <row r="1218" spans="1:5" ht="25.5" x14ac:dyDescent="0.2">
      <c r="A1218" s="14" t="s">
        <v>6759</v>
      </c>
      <c r="B1218" s="15" t="s">
        <v>6760</v>
      </c>
      <c r="C1218" s="15" t="s">
        <v>4132</v>
      </c>
      <c r="D1218" s="15" t="s">
        <v>4133</v>
      </c>
      <c r="E1218" s="15" t="s">
        <v>6761</v>
      </c>
    </row>
    <row r="1219" spans="1:5" ht="25.5" x14ac:dyDescent="0.2">
      <c r="A1219" s="14" t="s">
        <v>6762</v>
      </c>
      <c r="B1219" s="15" t="s">
        <v>720</v>
      </c>
      <c r="C1219" s="15" t="s">
        <v>4132</v>
      </c>
      <c r="D1219" s="15" t="s">
        <v>4133</v>
      </c>
      <c r="E1219" s="15" t="s">
        <v>6763</v>
      </c>
    </row>
    <row r="1220" spans="1:5" ht="25.5" x14ac:dyDescent="0.2">
      <c r="A1220" s="14" t="s">
        <v>6764</v>
      </c>
      <c r="B1220" s="15" t="s">
        <v>1413</v>
      </c>
      <c r="C1220" s="15" t="s">
        <v>4132</v>
      </c>
      <c r="D1220" s="15" t="s">
        <v>4133</v>
      </c>
      <c r="E1220" s="15" t="s">
        <v>6765</v>
      </c>
    </row>
    <row r="1221" spans="1:5" ht="25.5" x14ac:dyDescent="0.2">
      <c r="A1221" s="14" t="s">
        <v>6766</v>
      </c>
      <c r="B1221" s="15" t="s">
        <v>314</v>
      </c>
      <c r="C1221" s="15" t="s">
        <v>4132</v>
      </c>
      <c r="D1221" s="15" t="s">
        <v>4133</v>
      </c>
      <c r="E1221" s="15" t="s">
        <v>6767</v>
      </c>
    </row>
    <row r="1222" spans="1:5" ht="25.5" x14ac:dyDescent="0.2">
      <c r="A1222" s="14" t="s">
        <v>6768</v>
      </c>
      <c r="B1222" s="15" t="s">
        <v>1057</v>
      </c>
      <c r="C1222" s="15" t="s">
        <v>4132</v>
      </c>
      <c r="D1222" s="15" t="s">
        <v>4133</v>
      </c>
      <c r="E1222" s="15" t="s">
        <v>6769</v>
      </c>
    </row>
    <row r="1223" spans="1:5" ht="25.5" x14ac:dyDescent="0.2">
      <c r="A1223" s="14" t="s">
        <v>6770</v>
      </c>
      <c r="B1223" s="15" t="s">
        <v>1057</v>
      </c>
      <c r="C1223" s="15" t="s">
        <v>4132</v>
      </c>
      <c r="D1223" s="15" t="s">
        <v>4133</v>
      </c>
      <c r="E1223" s="15" t="s">
        <v>6771</v>
      </c>
    </row>
    <row r="1224" spans="1:5" ht="25.5" x14ac:dyDescent="0.2">
      <c r="A1224" s="14" t="s">
        <v>6772</v>
      </c>
      <c r="B1224" s="15" t="s">
        <v>380</v>
      </c>
      <c r="C1224" s="15" t="s">
        <v>4132</v>
      </c>
      <c r="D1224" s="15" t="s">
        <v>4133</v>
      </c>
      <c r="E1224" s="15" t="s">
        <v>6773</v>
      </c>
    </row>
    <row r="1225" spans="1:5" ht="25.5" x14ac:dyDescent="0.2">
      <c r="A1225" s="14" t="s">
        <v>6774</v>
      </c>
      <c r="B1225" s="15" t="s">
        <v>1478</v>
      </c>
      <c r="C1225" s="15" t="s">
        <v>4132</v>
      </c>
      <c r="D1225" s="15" t="s">
        <v>4133</v>
      </c>
      <c r="E1225" s="15" t="s">
        <v>6775</v>
      </c>
    </row>
    <row r="1226" spans="1:5" ht="25.5" x14ac:dyDescent="0.2">
      <c r="A1226" s="14" t="s">
        <v>6776</v>
      </c>
      <c r="B1226" s="15" t="s">
        <v>1058</v>
      </c>
      <c r="C1226" s="15" t="s">
        <v>4132</v>
      </c>
      <c r="D1226" s="15" t="s">
        <v>4133</v>
      </c>
      <c r="E1226" s="15" t="s">
        <v>6777</v>
      </c>
    </row>
    <row r="1227" spans="1:5" ht="25.5" x14ac:dyDescent="0.2">
      <c r="A1227" s="14" t="s">
        <v>6778</v>
      </c>
      <c r="B1227" s="15" t="s">
        <v>1514</v>
      </c>
      <c r="C1227" s="15" t="s">
        <v>4132</v>
      </c>
      <c r="D1227" s="15" t="s">
        <v>4133</v>
      </c>
      <c r="E1227" s="15" t="s">
        <v>6779</v>
      </c>
    </row>
    <row r="1228" spans="1:5" ht="25.5" x14ac:dyDescent="0.2">
      <c r="A1228" s="14" t="s">
        <v>6780</v>
      </c>
      <c r="B1228" s="15" t="s">
        <v>1175</v>
      </c>
      <c r="C1228" s="15" t="s">
        <v>4132</v>
      </c>
      <c r="D1228" s="15" t="s">
        <v>4133</v>
      </c>
      <c r="E1228" s="15" t="s">
        <v>6781</v>
      </c>
    </row>
    <row r="1229" spans="1:5" ht="25.5" x14ac:dyDescent="0.2">
      <c r="A1229" s="14" t="s">
        <v>6782</v>
      </c>
      <c r="B1229" s="15" t="s">
        <v>486</v>
      </c>
      <c r="C1229" s="15" t="s">
        <v>3303</v>
      </c>
      <c r="D1229" s="15" t="s">
        <v>3304</v>
      </c>
      <c r="E1229" s="15" t="s">
        <v>6783</v>
      </c>
    </row>
    <row r="1230" spans="1:5" ht="25.5" x14ac:dyDescent="0.2">
      <c r="A1230" s="14" t="s">
        <v>6784</v>
      </c>
      <c r="B1230" s="15" t="s">
        <v>6785</v>
      </c>
      <c r="C1230" s="15" t="s">
        <v>6786</v>
      </c>
      <c r="D1230" s="15" t="s">
        <v>6787</v>
      </c>
      <c r="E1230" s="15" t="s">
        <v>6788</v>
      </c>
    </row>
    <row r="1231" spans="1:5" ht="38.25" x14ac:dyDescent="0.2">
      <c r="A1231" s="14" t="s">
        <v>6789</v>
      </c>
      <c r="B1231" s="15" t="s">
        <v>6790</v>
      </c>
      <c r="C1231" s="15" t="s">
        <v>6302</v>
      </c>
      <c r="D1231" s="15" t="s">
        <v>6303</v>
      </c>
      <c r="E1231" s="15" t="s">
        <v>6791</v>
      </c>
    </row>
    <row r="1232" spans="1:5" ht="25.5" x14ac:dyDescent="0.2">
      <c r="A1232" s="14" t="s">
        <v>6792</v>
      </c>
      <c r="B1232" s="15" t="s">
        <v>6793</v>
      </c>
      <c r="C1232" s="15" t="s">
        <v>6794</v>
      </c>
      <c r="D1232" s="15" t="s">
        <v>6795</v>
      </c>
      <c r="E1232" s="15" t="s">
        <v>6796</v>
      </c>
    </row>
    <row r="1233" spans="1:5" ht="25.5" x14ac:dyDescent="0.2">
      <c r="A1233" s="14" t="s">
        <v>6797</v>
      </c>
      <c r="B1233" s="15" t="s">
        <v>6798</v>
      </c>
      <c r="C1233" s="15" t="s">
        <v>6794</v>
      </c>
      <c r="D1233" s="15" t="s">
        <v>6795</v>
      </c>
      <c r="E1233" s="15" t="s">
        <v>6799</v>
      </c>
    </row>
    <row r="1234" spans="1:5" ht="25.5" x14ac:dyDescent="0.2">
      <c r="A1234" s="14" t="s">
        <v>6800</v>
      </c>
      <c r="B1234" s="15" t="s">
        <v>6801</v>
      </c>
      <c r="C1234" s="15" t="s">
        <v>6794</v>
      </c>
      <c r="D1234" s="15" t="s">
        <v>6795</v>
      </c>
      <c r="E1234" s="15" t="s">
        <v>6802</v>
      </c>
    </row>
    <row r="1235" spans="1:5" ht="25.5" x14ac:dyDescent="0.2">
      <c r="A1235" s="14" t="s">
        <v>6803</v>
      </c>
      <c r="B1235" s="15" t="s">
        <v>6804</v>
      </c>
      <c r="C1235" s="15" t="s">
        <v>6794</v>
      </c>
      <c r="D1235" s="15" t="s">
        <v>6795</v>
      </c>
      <c r="E1235" s="15" t="s">
        <v>6805</v>
      </c>
    </row>
    <row r="1236" spans="1:5" ht="25.5" x14ac:dyDescent="0.2">
      <c r="A1236" s="14" t="s">
        <v>6806</v>
      </c>
      <c r="B1236" s="15" t="s">
        <v>603</v>
      </c>
      <c r="C1236" s="15" t="s">
        <v>6807</v>
      </c>
      <c r="D1236" s="15" t="s">
        <v>6808</v>
      </c>
      <c r="E1236" s="15" t="s">
        <v>6809</v>
      </c>
    </row>
    <row r="1237" spans="1:5" ht="25.5" x14ac:dyDescent="0.2">
      <c r="A1237" s="14" t="s">
        <v>6810</v>
      </c>
      <c r="B1237" s="15" t="s">
        <v>6811</v>
      </c>
      <c r="C1237" s="15" t="s">
        <v>6794</v>
      </c>
      <c r="D1237" s="15" t="s">
        <v>6795</v>
      </c>
      <c r="E1237" s="15" t="s">
        <v>6812</v>
      </c>
    </row>
    <row r="1238" spans="1:5" ht="25.5" x14ac:dyDescent="0.2">
      <c r="A1238" s="14" t="s">
        <v>6813</v>
      </c>
      <c r="B1238" s="15" t="s">
        <v>6814</v>
      </c>
      <c r="C1238" s="15" t="s">
        <v>6794</v>
      </c>
      <c r="D1238" s="15" t="s">
        <v>6795</v>
      </c>
      <c r="E1238" s="15" t="s">
        <v>6815</v>
      </c>
    </row>
    <row r="1239" spans="1:5" ht="25.5" x14ac:dyDescent="0.2">
      <c r="A1239" s="14" t="s">
        <v>6816</v>
      </c>
      <c r="B1239" s="15" t="s">
        <v>1292</v>
      </c>
      <c r="C1239" s="15" t="s">
        <v>5207</v>
      </c>
      <c r="D1239" s="15" t="s">
        <v>5208</v>
      </c>
      <c r="E1239" s="15" t="s">
        <v>6817</v>
      </c>
    </row>
    <row r="1240" spans="1:5" ht="25.5" x14ac:dyDescent="0.2">
      <c r="A1240" s="14" t="s">
        <v>6818</v>
      </c>
      <c r="B1240" s="15" t="s">
        <v>6819</v>
      </c>
      <c r="C1240" s="15" t="s">
        <v>4104</v>
      </c>
      <c r="D1240" s="15" t="s">
        <v>4105</v>
      </c>
      <c r="E1240" s="15" t="s">
        <v>6820</v>
      </c>
    </row>
    <row r="1241" spans="1:5" ht="25.5" x14ac:dyDescent="0.2">
      <c r="A1241" s="14" t="s">
        <v>6821</v>
      </c>
      <c r="B1241" s="15" t="s">
        <v>262</v>
      </c>
      <c r="C1241" s="15" t="s">
        <v>4226</v>
      </c>
      <c r="D1241" s="15" t="s">
        <v>4227</v>
      </c>
      <c r="E1241" s="15" t="s">
        <v>6822</v>
      </c>
    </row>
    <row r="1242" spans="1:5" ht="25.5" x14ac:dyDescent="0.2">
      <c r="A1242" s="14" t="s">
        <v>6823</v>
      </c>
      <c r="B1242" s="15" t="s">
        <v>260</v>
      </c>
      <c r="C1242" s="15" t="s">
        <v>4226</v>
      </c>
      <c r="D1242" s="15" t="s">
        <v>4227</v>
      </c>
      <c r="E1242" s="15" t="s">
        <v>6824</v>
      </c>
    </row>
    <row r="1243" spans="1:5" ht="25.5" x14ac:dyDescent="0.2">
      <c r="A1243" s="14" t="s">
        <v>6825</v>
      </c>
      <c r="B1243" s="15" t="s">
        <v>296</v>
      </c>
      <c r="C1243" s="15" t="s">
        <v>4226</v>
      </c>
      <c r="D1243" s="15" t="s">
        <v>4227</v>
      </c>
      <c r="E1243" s="15" t="s">
        <v>6826</v>
      </c>
    </row>
    <row r="1244" spans="1:5" ht="25.5" x14ac:dyDescent="0.2">
      <c r="A1244" s="14" t="s">
        <v>6827</v>
      </c>
      <c r="B1244" s="15" t="s">
        <v>6828</v>
      </c>
      <c r="C1244" s="15" t="s">
        <v>5459</v>
      </c>
      <c r="D1244" s="15" t="s">
        <v>5460</v>
      </c>
      <c r="E1244" s="15" t="s">
        <v>6829</v>
      </c>
    </row>
    <row r="1245" spans="1:5" ht="25.5" x14ac:dyDescent="0.2">
      <c r="A1245" s="14" t="s">
        <v>6830</v>
      </c>
      <c r="B1245" s="15" t="s">
        <v>6831</v>
      </c>
      <c r="C1245" s="15" t="s">
        <v>5459</v>
      </c>
      <c r="D1245" s="15" t="s">
        <v>5460</v>
      </c>
      <c r="E1245" s="15" t="s">
        <v>6832</v>
      </c>
    </row>
    <row r="1246" spans="1:5" ht="25.5" x14ac:dyDescent="0.2">
      <c r="A1246" s="14" t="s">
        <v>6833</v>
      </c>
      <c r="B1246" s="15" t="s">
        <v>6834</v>
      </c>
      <c r="C1246" s="15" t="s">
        <v>5459</v>
      </c>
      <c r="D1246" s="15" t="s">
        <v>5460</v>
      </c>
      <c r="E1246" s="15" t="s">
        <v>6835</v>
      </c>
    </row>
    <row r="1247" spans="1:5" ht="25.5" x14ac:dyDescent="0.2">
      <c r="A1247" s="14" t="s">
        <v>6836</v>
      </c>
      <c r="B1247" s="15" t="s">
        <v>6837</v>
      </c>
      <c r="C1247" s="15" t="s">
        <v>5459</v>
      </c>
      <c r="D1247" s="15" t="s">
        <v>5460</v>
      </c>
      <c r="E1247" s="15" t="s">
        <v>6838</v>
      </c>
    </row>
    <row r="1248" spans="1:5" ht="25.5" x14ac:dyDescent="0.2">
      <c r="A1248" s="14" t="s">
        <v>6839</v>
      </c>
      <c r="B1248" s="15" t="s">
        <v>6840</v>
      </c>
      <c r="C1248" s="15" t="s">
        <v>5459</v>
      </c>
      <c r="D1248" s="15" t="s">
        <v>5460</v>
      </c>
      <c r="E1248" s="15" t="s">
        <v>6841</v>
      </c>
    </row>
    <row r="1249" spans="1:5" ht="25.5" x14ac:dyDescent="0.2">
      <c r="A1249" s="14" t="s">
        <v>6842</v>
      </c>
      <c r="B1249" s="15" t="s">
        <v>6843</v>
      </c>
      <c r="C1249" s="15" t="s">
        <v>5459</v>
      </c>
      <c r="D1249" s="15" t="s">
        <v>5460</v>
      </c>
      <c r="E1249" s="15" t="s">
        <v>6844</v>
      </c>
    </row>
    <row r="1250" spans="1:5" ht="25.5" x14ac:dyDescent="0.2">
      <c r="A1250" s="14" t="s">
        <v>6845</v>
      </c>
      <c r="B1250" s="15" t="s">
        <v>6846</v>
      </c>
      <c r="C1250" s="15" t="s">
        <v>5459</v>
      </c>
      <c r="D1250" s="15" t="s">
        <v>5460</v>
      </c>
      <c r="E1250" s="15" t="s">
        <v>6847</v>
      </c>
    </row>
    <row r="1251" spans="1:5" ht="25.5" x14ac:dyDescent="0.2">
      <c r="A1251" s="14" t="s">
        <v>6848</v>
      </c>
      <c r="B1251" s="15" t="s">
        <v>6849</v>
      </c>
      <c r="C1251" s="15" t="s">
        <v>5459</v>
      </c>
      <c r="D1251" s="15" t="s">
        <v>5460</v>
      </c>
      <c r="E1251" s="15" t="s">
        <v>6850</v>
      </c>
    </row>
    <row r="1252" spans="1:5" ht="25.5" x14ac:dyDescent="0.2">
      <c r="A1252" s="14" t="s">
        <v>6851</v>
      </c>
      <c r="B1252" s="15" t="s">
        <v>6852</v>
      </c>
      <c r="C1252" s="15" t="s">
        <v>5459</v>
      </c>
      <c r="D1252" s="15" t="s">
        <v>5460</v>
      </c>
      <c r="E1252" s="15" t="s">
        <v>6853</v>
      </c>
    </row>
    <row r="1253" spans="1:5" ht="25.5" x14ac:dyDescent="0.2">
      <c r="A1253" s="14" t="s">
        <v>6854</v>
      </c>
      <c r="B1253" s="15" t="s">
        <v>6855</v>
      </c>
      <c r="C1253" s="15" t="s">
        <v>4345</v>
      </c>
      <c r="D1253" s="15" t="s">
        <v>4346</v>
      </c>
      <c r="E1253" s="15" t="s">
        <v>6856</v>
      </c>
    </row>
    <row r="1254" spans="1:5" ht="25.5" x14ac:dyDescent="0.2">
      <c r="A1254" s="14" t="s">
        <v>6857</v>
      </c>
      <c r="B1254" s="15" t="s">
        <v>1565</v>
      </c>
      <c r="C1254" s="15" t="s">
        <v>4345</v>
      </c>
      <c r="D1254" s="15" t="s">
        <v>4346</v>
      </c>
      <c r="E1254" s="15" t="s">
        <v>6858</v>
      </c>
    </row>
    <row r="1255" spans="1:5" ht="25.5" x14ac:dyDescent="0.2">
      <c r="A1255" s="14" t="s">
        <v>6859</v>
      </c>
      <c r="B1255" s="15" t="s">
        <v>492</v>
      </c>
      <c r="C1255" s="15" t="s">
        <v>4345</v>
      </c>
      <c r="D1255" s="15" t="s">
        <v>4346</v>
      </c>
      <c r="E1255" s="15" t="s">
        <v>6860</v>
      </c>
    </row>
    <row r="1256" spans="1:5" ht="25.5" x14ac:dyDescent="0.2">
      <c r="A1256" s="14" t="s">
        <v>6861</v>
      </c>
      <c r="B1256" s="15" t="s">
        <v>1320</v>
      </c>
      <c r="C1256" s="15" t="s">
        <v>4345</v>
      </c>
      <c r="D1256" s="15" t="s">
        <v>4346</v>
      </c>
      <c r="E1256" s="15" t="s">
        <v>6862</v>
      </c>
    </row>
    <row r="1257" spans="1:5" ht="25.5" x14ac:dyDescent="0.2">
      <c r="A1257" s="14" t="s">
        <v>6863</v>
      </c>
      <c r="B1257" s="15" t="s">
        <v>6864</v>
      </c>
      <c r="C1257" s="15" t="s">
        <v>4345</v>
      </c>
      <c r="D1257" s="15" t="s">
        <v>4346</v>
      </c>
      <c r="E1257" s="15" t="s">
        <v>6865</v>
      </c>
    </row>
    <row r="1258" spans="1:5" ht="25.5" x14ac:dyDescent="0.2">
      <c r="A1258" s="14" t="s">
        <v>6866</v>
      </c>
      <c r="B1258" s="15" t="s">
        <v>6867</v>
      </c>
      <c r="C1258" s="15" t="s">
        <v>4345</v>
      </c>
      <c r="D1258" s="15" t="s">
        <v>4346</v>
      </c>
      <c r="E1258" s="15" t="s">
        <v>6868</v>
      </c>
    </row>
    <row r="1259" spans="1:5" ht="25.5" x14ac:dyDescent="0.2">
      <c r="A1259" s="14" t="s">
        <v>6869</v>
      </c>
      <c r="B1259" s="15" t="s">
        <v>850</v>
      </c>
      <c r="C1259" s="15" t="s">
        <v>4345</v>
      </c>
      <c r="D1259" s="15" t="s">
        <v>4346</v>
      </c>
      <c r="E1259" s="15" t="s">
        <v>6870</v>
      </c>
    </row>
    <row r="1260" spans="1:5" ht="25.5" x14ac:dyDescent="0.2">
      <c r="A1260" s="14" t="s">
        <v>6871</v>
      </c>
      <c r="B1260" s="15" t="s">
        <v>6872</v>
      </c>
      <c r="C1260" s="15" t="s">
        <v>4345</v>
      </c>
      <c r="D1260" s="15" t="s">
        <v>4346</v>
      </c>
      <c r="E1260" s="15" t="s">
        <v>6873</v>
      </c>
    </row>
    <row r="1261" spans="1:5" ht="25.5" x14ac:dyDescent="0.2">
      <c r="A1261" s="14" t="s">
        <v>6874</v>
      </c>
      <c r="B1261" s="15" t="s">
        <v>6875</v>
      </c>
      <c r="C1261" s="15" t="s">
        <v>4345</v>
      </c>
      <c r="D1261" s="15" t="s">
        <v>4346</v>
      </c>
      <c r="E1261" s="15" t="s">
        <v>6876</v>
      </c>
    </row>
    <row r="1262" spans="1:5" ht="25.5" x14ac:dyDescent="0.2">
      <c r="A1262" s="14" t="s">
        <v>6877</v>
      </c>
      <c r="B1262" s="15" t="s">
        <v>6878</v>
      </c>
      <c r="C1262" s="15" t="s">
        <v>4345</v>
      </c>
      <c r="D1262" s="15" t="s">
        <v>4346</v>
      </c>
      <c r="E1262" s="15" t="s">
        <v>6879</v>
      </c>
    </row>
    <row r="1263" spans="1:5" ht="25.5" x14ac:dyDescent="0.2">
      <c r="A1263" s="14" t="s">
        <v>6880</v>
      </c>
      <c r="B1263" s="15" t="s">
        <v>335</v>
      </c>
      <c r="C1263" s="15" t="s">
        <v>4345</v>
      </c>
      <c r="D1263" s="15" t="s">
        <v>4346</v>
      </c>
      <c r="E1263" s="15" t="s">
        <v>6881</v>
      </c>
    </row>
    <row r="1264" spans="1:5" ht="25.5" x14ac:dyDescent="0.2">
      <c r="A1264" s="14" t="s">
        <v>6882</v>
      </c>
      <c r="B1264" s="15" t="s">
        <v>1564</v>
      </c>
      <c r="C1264" s="15" t="s">
        <v>4345</v>
      </c>
      <c r="D1264" s="15" t="s">
        <v>4346</v>
      </c>
      <c r="E1264" s="15" t="s">
        <v>6883</v>
      </c>
    </row>
    <row r="1265" spans="1:5" ht="25.5" x14ac:dyDescent="0.2">
      <c r="A1265" s="14" t="s">
        <v>6884</v>
      </c>
      <c r="B1265" s="15" t="s">
        <v>1404</v>
      </c>
      <c r="C1265" s="15" t="s">
        <v>4345</v>
      </c>
      <c r="D1265" s="15" t="s">
        <v>4346</v>
      </c>
      <c r="E1265" s="15" t="s">
        <v>6885</v>
      </c>
    </row>
    <row r="1266" spans="1:5" ht="25.5" x14ac:dyDescent="0.2">
      <c r="A1266" s="14" t="s">
        <v>6886</v>
      </c>
      <c r="B1266" s="15" t="s">
        <v>1566</v>
      </c>
      <c r="C1266" s="15" t="s">
        <v>4345</v>
      </c>
      <c r="D1266" s="15" t="s">
        <v>4346</v>
      </c>
      <c r="E1266" s="15" t="s">
        <v>6887</v>
      </c>
    </row>
    <row r="1267" spans="1:5" ht="25.5" x14ac:dyDescent="0.2">
      <c r="A1267" s="14" t="s">
        <v>6888</v>
      </c>
      <c r="B1267" s="15" t="s">
        <v>6889</v>
      </c>
      <c r="C1267" s="15" t="s">
        <v>4345</v>
      </c>
      <c r="D1267" s="15" t="s">
        <v>4346</v>
      </c>
      <c r="E1267" s="15" t="s">
        <v>6890</v>
      </c>
    </row>
    <row r="1268" spans="1:5" ht="51" x14ac:dyDescent="0.2">
      <c r="A1268" s="14" t="s">
        <v>6891</v>
      </c>
      <c r="B1268" s="15" t="s">
        <v>1318</v>
      </c>
      <c r="C1268" s="15" t="s">
        <v>4345</v>
      </c>
      <c r="D1268" s="15" t="s">
        <v>4346</v>
      </c>
      <c r="E1268" s="15" t="s">
        <v>6892</v>
      </c>
    </row>
    <row r="1269" spans="1:5" ht="38.25" x14ac:dyDescent="0.2">
      <c r="A1269" s="14" t="s">
        <v>6893</v>
      </c>
      <c r="B1269" s="15" t="s">
        <v>1319</v>
      </c>
      <c r="C1269" s="15" t="s">
        <v>4345</v>
      </c>
      <c r="D1269" s="15" t="s">
        <v>4346</v>
      </c>
      <c r="E1269" s="15" t="s">
        <v>6894</v>
      </c>
    </row>
    <row r="1270" spans="1:5" ht="38.25" x14ac:dyDescent="0.2">
      <c r="A1270" s="14" t="s">
        <v>6895</v>
      </c>
      <c r="B1270" s="15" t="s">
        <v>1321</v>
      </c>
      <c r="C1270" s="15" t="s">
        <v>4345</v>
      </c>
      <c r="D1270" s="15" t="s">
        <v>4346</v>
      </c>
      <c r="E1270" s="15" t="s">
        <v>6896</v>
      </c>
    </row>
    <row r="1271" spans="1:5" ht="25.5" x14ac:dyDescent="0.2">
      <c r="A1271" s="14" t="s">
        <v>6897</v>
      </c>
      <c r="B1271" s="15" t="s">
        <v>1322</v>
      </c>
      <c r="C1271" s="15" t="s">
        <v>4345</v>
      </c>
      <c r="D1271" s="15" t="s">
        <v>4346</v>
      </c>
      <c r="E1271" s="15" t="s">
        <v>6898</v>
      </c>
    </row>
    <row r="1272" spans="1:5" ht="25.5" x14ac:dyDescent="0.2">
      <c r="A1272" s="14" t="s">
        <v>6899</v>
      </c>
      <c r="B1272" s="15" t="s">
        <v>6900</v>
      </c>
      <c r="C1272" s="15" t="s">
        <v>6901</v>
      </c>
      <c r="D1272" s="15" t="s">
        <v>6902</v>
      </c>
      <c r="E1272" s="15" t="s">
        <v>6903</v>
      </c>
    </row>
    <row r="1273" spans="1:5" ht="25.5" x14ac:dyDescent="0.2">
      <c r="A1273" s="14" t="s">
        <v>6904</v>
      </c>
      <c r="B1273" s="15" t="s">
        <v>203</v>
      </c>
      <c r="C1273" s="15" t="s">
        <v>6901</v>
      </c>
      <c r="D1273" s="15" t="s">
        <v>6902</v>
      </c>
      <c r="E1273" s="15" t="s">
        <v>6905</v>
      </c>
    </row>
    <row r="1274" spans="1:5" ht="25.5" x14ac:dyDescent="0.2">
      <c r="A1274" s="14" t="s">
        <v>6906</v>
      </c>
      <c r="B1274" s="15" t="s">
        <v>166</v>
      </c>
      <c r="C1274" s="15" t="s">
        <v>6901</v>
      </c>
      <c r="D1274" s="15" t="s">
        <v>6902</v>
      </c>
      <c r="E1274" s="15" t="s">
        <v>6907</v>
      </c>
    </row>
    <row r="1275" spans="1:5" ht="25.5" x14ac:dyDescent="0.2">
      <c r="A1275" s="14" t="s">
        <v>6908</v>
      </c>
      <c r="B1275" s="15" t="s">
        <v>966</v>
      </c>
      <c r="C1275" s="15" t="s">
        <v>6901</v>
      </c>
      <c r="D1275" s="15" t="s">
        <v>6902</v>
      </c>
      <c r="E1275" s="15" t="s">
        <v>6909</v>
      </c>
    </row>
    <row r="1276" spans="1:5" ht="25.5" x14ac:dyDescent="0.2">
      <c r="A1276" s="14" t="s">
        <v>6910</v>
      </c>
      <c r="B1276" s="15" t="s">
        <v>1426</v>
      </c>
      <c r="C1276" s="15" t="s">
        <v>6901</v>
      </c>
      <c r="D1276" s="15" t="s">
        <v>6902</v>
      </c>
      <c r="E1276" s="15" t="s">
        <v>6911</v>
      </c>
    </row>
    <row r="1277" spans="1:5" ht="25.5" x14ac:dyDescent="0.2">
      <c r="A1277" s="14" t="s">
        <v>6912</v>
      </c>
      <c r="B1277" s="15" t="s">
        <v>547</v>
      </c>
      <c r="C1277" s="15" t="s">
        <v>6901</v>
      </c>
      <c r="D1277" s="15" t="s">
        <v>6902</v>
      </c>
      <c r="E1277" s="15" t="s">
        <v>6913</v>
      </c>
    </row>
    <row r="1278" spans="1:5" ht="25.5" x14ac:dyDescent="0.2">
      <c r="A1278" s="14" t="s">
        <v>6914</v>
      </c>
      <c r="B1278" s="15" t="s">
        <v>451</v>
      </c>
      <c r="C1278" s="15" t="s">
        <v>6901</v>
      </c>
      <c r="D1278" s="15" t="s">
        <v>6902</v>
      </c>
      <c r="E1278" s="15" t="s">
        <v>6915</v>
      </c>
    </row>
    <row r="1279" spans="1:5" ht="25.5" x14ac:dyDescent="0.2">
      <c r="A1279" s="14" t="s">
        <v>6916</v>
      </c>
      <c r="B1279" s="15" t="s">
        <v>1427</v>
      </c>
      <c r="C1279" s="15" t="s">
        <v>6901</v>
      </c>
      <c r="D1279" s="15" t="s">
        <v>6902</v>
      </c>
      <c r="E1279" s="15" t="s">
        <v>6917</v>
      </c>
    </row>
    <row r="1280" spans="1:5" ht="25.5" x14ac:dyDescent="0.2">
      <c r="A1280" s="14" t="s">
        <v>6918</v>
      </c>
      <c r="B1280" s="15" t="s">
        <v>392</v>
      </c>
      <c r="C1280" s="15" t="s">
        <v>6901</v>
      </c>
      <c r="D1280" s="15" t="s">
        <v>6902</v>
      </c>
      <c r="E1280" s="15" t="s">
        <v>6919</v>
      </c>
    </row>
    <row r="1281" spans="1:5" ht="25.5" x14ac:dyDescent="0.2">
      <c r="A1281" s="14" t="s">
        <v>6920</v>
      </c>
      <c r="B1281" s="15" t="s">
        <v>1474</v>
      </c>
      <c r="C1281" s="15" t="s">
        <v>6901</v>
      </c>
      <c r="D1281" s="15" t="s">
        <v>6902</v>
      </c>
      <c r="E1281" s="15" t="s">
        <v>6921</v>
      </c>
    </row>
    <row r="1282" spans="1:5" ht="25.5" x14ac:dyDescent="0.2">
      <c r="A1282" s="14" t="s">
        <v>6922</v>
      </c>
      <c r="B1282" s="15" t="s">
        <v>1428</v>
      </c>
      <c r="C1282" s="15" t="s">
        <v>6901</v>
      </c>
      <c r="D1282" s="15" t="s">
        <v>6902</v>
      </c>
      <c r="E1282" s="15" t="s">
        <v>6923</v>
      </c>
    </row>
    <row r="1283" spans="1:5" ht="25.5" x14ac:dyDescent="0.2">
      <c r="A1283" s="14" t="s">
        <v>6924</v>
      </c>
      <c r="B1283" s="15" t="s">
        <v>393</v>
      </c>
      <c r="C1283" s="15" t="s">
        <v>6901</v>
      </c>
      <c r="D1283" s="15" t="s">
        <v>6902</v>
      </c>
      <c r="E1283" s="15" t="s">
        <v>6925</v>
      </c>
    </row>
    <row r="1284" spans="1:5" ht="25.5" x14ac:dyDescent="0.2">
      <c r="A1284" s="14" t="s">
        <v>6926</v>
      </c>
      <c r="B1284" s="15" t="s">
        <v>1396</v>
      </c>
      <c r="C1284" s="15" t="s">
        <v>6901</v>
      </c>
      <c r="D1284" s="15" t="s">
        <v>6902</v>
      </c>
      <c r="E1284" s="15" t="s">
        <v>6927</v>
      </c>
    </row>
    <row r="1285" spans="1:5" ht="25.5" x14ac:dyDescent="0.2">
      <c r="A1285" s="14" t="s">
        <v>6928</v>
      </c>
      <c r="B1285" s="15" t="s">
        <v>736</v>
      </c>
      <c r="C1285" s="15" t="s">
        <v>6901</v>
      </c>
      <c r="D1285" s="15" t="s">
        <v>6902</v>
      </c>
      <c r="E1285" s="15" t="s">
        <v>6929</v>
      </c>
    </row>
    <row r="1286" spans="1:5" ht="25.5" x14ac:dyDescent="0.2">
      <c r="A1286" s="14" t="s">
        <v>6930</v>
      </c>
      <c r="B1286" s="15" t="s">
        <v>1429</v>
      </c>
      <c r="C1286" s="15" t="s">
        <v>6901</v>
      </c>
      <c r="D1286" s="15" t="s">
        <v>6902</v>
      </c>
      <c r="E1286" s="15" t="s">
        <v>6931</v>
      </c>
    </row>
    <row r="1287" spans="1:5" ht="25.5" x14ac:dyDescent="0.2">
      <c r="A1287" s="14" t="s">
        <v>6932</v>
      </c>
      <c r="B1287" s="15" t="s">
        <v>814</v>
      </c>
      <c r="C1287" s="15" t="s">
        <v>6901</v>
      </c>
      <c r="D1287" s="15" t="s">
        <v>6902</v>
      </c>
      <c r="E1287" s="15" t="s">
        <v>6933</v>
      </c>
    </row>
    <row r="1288" spans="1:5" ht="25.5" x14ac:dyDescent="0.2">
      <c r="A1288" s="14" t="s">
        <v>6934</v>
      </c>
      <c r="B1288" s="15" t="s">
        <v>634</v>
      </c>
      <c r="C1288" s="15" t="s">
        <v>6901</v>
      </c>
      <c r="D1288" s="15" t="s">
        <v>6902</v>
      </c>
      <c r="E1288" s="15" t="s">
        <v>6935</v>
      </c>
    </row>
    <row r="1289" spans="1:5" ht="25.5" x14ac:dyDescent="0.2">
      <c r="A1289" s="14" t="s">
        <v>6936</v>
      </c>
      <c r="B1289" s="15" t="s">
        <v>1098</v>
      </c>
      <c r="C1289" s="15" t="s">
        <v>6901</v>
      </c>
      <c r="D1289" s="15" t="s">
        <v>6902</v>
      </c>
      <c r="E1289" s="15" t="s">
        <v>6937</v>
      </c>
    </row>
    <row r="1290" spans="1:5" ht="25.5" x14ac:dyDescent="0.2">
      <c r="A1290" s="14" t="s">
        <v>6938</v>
      </c>
      <c r="B1290" s="15" t="s">
        <v>401</v>
      </c>
      <c r="C1290" s="15" t="s">
        <v>4294</v>
      </c>
      <c r="D1290" s="15" t="s">
        <v>4295</v>
      </c>
      <c r="E1290" s="15" t="s">
        <v>6939</v>
      </c>
    </row>
    <row r="1291" spans="1:5" ht="25.5" x14ac:dyDescent="0.2">
      <c r="A1291" s="14" t="s">
        <v>6940</v>
      </c>
      <c r="B1291" s="15" t="s">
        <v>1360</v>
      </c>
      <c r="C1291" s="15" t="s">
        <v>4029</v>
      </c>
      <c r="D1291" s="15" t="s">
        <v>4030</v>
      </c>
      <c r="E1291" s="15" t="s">
        <v>6941</v>
      </c>
    </row>
    <row r="1292" spans="1:5" ht="25.5" x14ac:dyDescent="0.2">
      <c r="A1292" s="14" t="s">
        <v>6942</v>
      </c>
      <c r="B1292" s="15" t="s">
        <v>1284</v>
      </c>
      <c r="C1292" s="15" t="s">
        <v>4203</v>
      </c>
      <c r="D1292" s="15" t="s">
        <v>4204</v>
      </c>
      <c r="E1292" s="15" t="s">
        <v>6943</v>
      </c>
    </row>
    <row r="1293" spans="1:5" ht="25.5" x14ac:dyDescent="0.2">
      <c r="A1293" s="14" t="s">
        <v>6944</v>
      </c>
      <c r="B1293" s="15" t="s">
        <v>6945</v>
      </c>
      <c r="C1293" s="15" t="s">
        <v>4104</v>
      </c>
      <c r="D1293" s="15" t="s">
        <v>4105</v>
      </c>
      <c r="E1293" s="15" t="s">
        <v>6946</v>
      </c>
    </row>
    <row r="1294" spans="1:5" ht="25.5" x14ac:dyDescent="0.2">
      <c r="A1294" s="14" t="s">
        <v>6947</v>
      </c>
      <c r="B1294" s="15" t="s">
        <v>6948</v>
      </c>
      <c r="C1294" s="15" t="s">
        <v>4104</v>
      </c>
      <c r="D1294" s="15" t="s">
        <v>4105</v>
      </c>
      <c r="E1294" s="15" t="s">
        <v>6949</v>
      </c>
    </row>
    <row r="1295" spans="1:5" ht="25.5" x14ac:dyDescent="0.2">
      <c r="A1295" s="14" t="s">
        <v>6950</v>
      </c>
      <c r="B1295" s="15" t="s">
        <v>6951</v>
      </c>
      <c r="C1295" s="15" t="s">
        <v>4104</v>
      </c>
      <c r="D1295" s="15" t="s">
        <v>4105</v>
      </c>
      <c r="E1295" s="15" t="s">
        <v>6952</v>
      </c>
    </row>
    <row r="1296" spans="1:5" ht="25.5" x14ac:dyDescent="0.2">
      <c r="A1296" s="14" t="s">
        <v>6953</v>
      </c>
      <c r="B1296" s="15" t="s">
        <v>6954</v>
      </c>
      <c r="C1296" s="15" t="s">
        <v>4104</v>
      </c>
      <c r="D1296" s="15" t="s">
        <v>4105</v>
      </c>
      <c r="E1296" s="15" t="s">
        <v>6955</v>
      </c>
    </row>
    <row r="1297" spans="1:5" ht="25.5" x14ac:dyDescent="0.2">
      <c r="A1297" s="14" t="s">
        <v>6956</v>
      </c>
      <c r="B1297" s="15" t="s">
        <v>6957</v>
      </c>
      <c r="C1297" s="15" t="s">
        <v>4104</v>
      </c>
      <c r="D1297" s="15" t="s">
        <v>4105</v>
      </c>
      <c r="E1297" s="15" t="s">
        <v>6958</v>
      </c>
    </row>
    <row r="1298" spans="1:5" ht="25.5" x14ac:dyDescent="0.2">
      <c r="A1298" s="14" t="s">
        <v>6959</v>
      </c>
      <c r="B1298" s="15" t="s">
        <v>539</v>
      </c>
      <c r="C1298" s="15" t="s">
        <v>4345</v>
      </c>
      <c r="D1298" s="15" t="s">
        <v>4346</v>
      </c>
      <c r="E1298" s="15" t="s">
        <v>6960</v>
      </c>
    </row>
    <row r="1299" spans="1:5" ht="25.5" x14ac:dyDescent="0.2">
      <c r="A1299" s="14" t="s">
        <v>6961</v>
      </c>
      <c r="B1299" s="15" t="s">
        <v>446</v>
      </c>
      <c r="C1299" s="15" t="s">
        <v>4345</v>
      </c>
      <c r="D1299" s="15" t="s">
        <v>4346</v>
      </c>
      <c r="E1299" s="15" t="s">
        <v>6962</v>
      </c>
    </row>
    <row r="1300" spans="1:5" ht="25.5" x14ac:dyDescent="0.2">
      <c r="A1300" s="14" t="s">
        <v>6963</v>
      </c>
      <c r="B1300" s="15" t="s">
        <v>491</v>
      </c>
      <c r="C1300" s="15" t="s">
        <v>3395</v>
      </c>
      <c r="D1300" s="15" t="s">
        <v>3396</v>
      </c>
      <c r="E1300" s="15" t="s">
        <v>6964</v>
      </c>
    </row>
    <row r="1301" spans="1:5" ht="25.5" x14ac:dyDescent="0.2">
      <c r="A1301" s="14" t="s">
        <v>6965</v>
      </c>
      <c r="B1301" s="15" t="s">
        <v>394</v>
      </c>
      <c r="C1301" s="15" t="s">
        <v>3303</v>
      </c>
      <c r="D1301" s="15" t="s">
        <v>3304</v>
      </c>
      <c r="E1301" s="15" t="s">
        <v>6966</v>
      </c>
    </row>
    <row r="1302" spans="1:5" ht="25.5" x14ac:dyDescent="0.2">
      <c r="A1302" s="14" t="s">
        <v>6967</v>
      </c>
      <c r="B1302" s="15" t="s">
        <v>6968</v>
      </c>
      <c r="C1302" s="15" t="s">
        <v>3328</v>
      </c>
      <c r="D1302" s="15" t="s">
        <v>3329</v>
      </c>
      <c r="E1302" s="15" t="s">
        <v>6969</v>
      </c>
    </row>
    <row r="1303" spans="1:5" ht="25.5" x14ac:dyDescent="0.2">
      <c r="A1303" s="14" t="s">
        <v>6970</v>
      </c>
      <c r="B1303" s="15" t="s">
        <v>6971</v>
      </c>
      <c r="C1303" s="15" t="s">
        <v>3328</v>
      </c>
      <c r="D1303" s="15" t="s">
        <v>3329</v>
      </c>
      <c r="E1303" s="15" t="s">
        <v>6972</v>
      </c>
    </row>
    <row r="1304" spans="1:5" ht="25.5" x14ac:dyDescent="0.2">
      <c r="A1304" s="14" t="s">
        <v>6973</v>
      </c>
      <c r="B1304" s="15" t="s">
        <v>6974</v>
      </c>
      <c r="C1304" s="15" t="s">
        <v>4345</v>
      </c>
      <c r="D1304" s="15" t="s">
        <v>4346</v>
      </c>
      <c r="E1304" s="15" t="s">
        <v>6975</v>
      </c>
    </row>
    <row r="1305" spans="1:5" ht="25.5" x14ac:dyDescent="0.2">
      <c r="A1305" s="14" t="s">
        <v>6976</v>
      </c>
      <c r="B1305" s="15" t="s">
        <v>6977</v>
      </c>
      <c r="C1305" s="15" t="s">
        <v>4857</v>
      </c>
      <c r="D1305" s="15" t="s">
        <v>4858</v>
      </c>
      <c r="E1305" s="15" t="s">
        <v>6978</v>
      </c>
    </row>
    <row r="1306" spans="1:5" ht="25.5" x14ac:dyDescent="0.2">
      <c r="A1306" s="14" t="s">
        <v>6979</v>
      </c>
      <c r="B1306" s="15" t="s">
        <v>6980</v>
      </c>
      <c r="C1306" s="15" t="s">
        <v>4857</v>
      </c>
      <c r="D1306" s="15" t="s">
        <v>4858</v>
      </c>
      <c r="E1306" s="15" t="s">
        <v>6981</v>
      </c>
    </row>
    <row r="1307" spans="1:5" ht="25.5" x14ac:dyDescent="0.2">
      <c r="A1307" s="14" t="s">
        <v>6982</v>
      </c>
      <c r="B1307" s="15" t="s">
        <v>6983</v>
      </c>
      <c r="C1307" s="15" t="s">
        <v>4166</v>
      </c>
      <c r="D1307" s="15" t="s">
        <v>4167</v>
      </c>
      <c r="E1307" s="15" t="s">
        <v>6984</v>
      </c>
    </row>
    <row r="1308" spans="1:5" ht="25.5" x14ac:dyDescent="0.2">
      <c r="A1308" s="14" t="s">
        <v>6985</v>
      </c>
      <c r="B1308" s="15" t="s">
        <v>6986</v>
      </c>
      <c r="C1308" s="15" t="s">
        <v>5131</v>
      </c>
      <c r="D1308" s="15" t="s">
        <v>5132</v>
      </c>
      <c r="E1308" s="15" t="s">
        <v>6987</v>
      </c>
    </row>
    <row r="1309" spans="1:5" ht="25.5" x14ac:dyDescent="0.2">
      <c r="A1309" s="14" t="s">
        <v>6988</v>
      </c>
      <c r="B1309" s="15" t="s">
        <v>6989</v>
      </c>
      <c r="C1309" s="15" t="s">
        <v>6990</v>
      </c>
      <c r="D1309" s="15" t="s">
        <v>6991</v>
      </c>
      <c r="E1309" s="15" t="s">
        <v>6992</v>
      </c>
    </row>
    <row r="1310" spans="1:5" ht="38.25" x14ac:dyDescent="0.2">
      <c r="A1310" s="14" t="s">
        <v>6993</v>
      </c>
      <c r="B1310" s="15" t="s">
        <v>6994</v>
      </c>
      <c r="C1310" s="15" t="s">
        <v>6990</v>
      </c>
      <c r="D1310" s="15" t="s">
        <v>6991</v>
      </c>
      <c r="E1310" s="15" t="s">
        <v>6995</v>
      </c>
    </row>
    <row r="1311" spans="1:5" ht="25.5" x14ac:dyDescent="0.2">
      <c r="A1311" s="14" t="s">
        <v>6996</v>
      </c>
      <c r="B1311" s="15" t="s">
        <v>6997</v>
      </c>
      <c r="C1311" s="15" t="s">
        <v>6990</v>
      </c>
      <c r="D1311" s="15" t="s">
        <v>6991</v>
      </c>
      <c r="E1311" s="15" t="s">
        <v>6998</v>
      </c>
    </row>
    <row r="1312" spans="1:5" ht="25.5" x14ac:dyDescent="0.2">
      <c r="A1312" s="14" t="s">
        <v>6999</v>
      </c>
      <c r="B1312" s="15" t="s">
        <v>7000</v>
      </c>
      <c r="C1312" s="15" t="s">
        <v>4307</v>
      </c>
      <c r="D1312" s="15" t="s">
        <v>4308</v>
      </c>
      <c r="E1312" s="15" t="s">
        <v>7001</v>
      </c>
    </row>
    <row r="1313" spans="1:5" ht="25.5" x14ac:dyDescent="0.2">
      <c r="A1313" s="14" t="s">
        <v>7002</v>
      </c>
      <c r="B1313" s="15" t="s">
        <v>7003</v>
      </c>
      <c r="C1313" s="15" t="s">
        <v>3318</v>
      </c>
      <c r="D1313" s="15" t="s">
        <v>3319</v>
      </c>
      <c r="E1313" s="15" t="s">
        <v>7004</v>
      </c>
    </row>
    <row r="1314" spans="1:5" ht="25.5" x14ac:dyDescent="0.2">
      <c r="A1314" s="14" t="s">
        <v>7005</v>
      </c>
      <c r="B1314" s="15" t="s">
        <v>7006</v>
      </c>
      <c r="C1314" s="15" t="s">
        <v>3328</v>
      </c>
      <c r="D1314" s="15" t="s">
        <v>3329</v>
      </c>
      <c r="E1314" s="15" t="s">
        <v>7007</v>
      </c>
    </row>
    <row r="1315" spans="1:5" ht="25.5" x14ac:dyDescent="0.2">
      <c r="A1315" s="14" t="s">
        <v>7008</v>
      </c>
      <c r="B1315" s="15" t="s">
        <v>1432</v>
      </c>
      <c r="C1315" s="15" t="s">
        <v>3323</v>
      </c>
      <c r="D1315" s="15" t="s">
        <v>3324</v>
      </c>
      <c r="E1315" s="15" t="s">
        <v>7009</v>
      </c>
    </row>
    <row r="1316" spans="1:5" ht="25.5" x14ac:dyDescent="0.2">
      <c r="A1316" s="14" t="s">
        <v>7010</v>
      </c>
      <c r="B1316" s="15" t="s">
        <v>7011</v>
      </c>
      <c r="C1316" s="15" t="s">
        <v>3323</v>
      </c>
      <c r="D1316" s="15" t="s">
        <v>3324</v>
      </c>
      <c r="E1316" s="15" t="s">
        <v>7012</v>
      </c>
    </row>
    <row r="1317" spans="1:5" ht="25.5" x14ac:dyDescent="0.2">
      <c r="A1317" s="14" t="s">
        <v>7013</v>
      </c>
      <c r="B1317" s="15" t="s">
        <v>139</v>
      </c>
      <c r="C1317" s="15" t="s">
        <v>3323</v>
      </c>
      <c r="D1317" s="15" t="s">
        <v>3324</v>
      </c>
      <c r="E1317" s="15" t="s">
        <v>7014</v>
      </c>
    </row>
    <row r="1318" spans="1:5" ht="25.5" x14ac:dyDescent="0.2">
      <c r="A1318" s="14" t="s">
        <v>7015</v>
      </c>
      <c r="B1318" s="15" t="s">
        <v>1378</v>
      </c>
      <c r="C1318" s="15" t="s">
        <v>7016</v>
      </c>
      <c r="D1318" s="15" t="s">
        <v>7017</v>
      </c>
      <c r="E1318" s="15" t="s">
        <v>7018</v>
      </c>
    </row>
    <row r="1319" spans="1:5" ht="25.5" x14ac:dyDescent="0.2">
      <c r="A1319" s="14" t="s">
        <v>7019</v>
      </c>
      <c r="B1319" s="15" t="s">
        <v>1379</v>
      </c>
      <c r="C1319" s="15" t="s">
        <v>7016</v>
      </c>
      <c r="D1319" s="15" t="s">
        <v>7017</v>
      </c>
      <c r="E1319" s="15" t="s">
        <v>7020</v>
      </c>
    </row>
    <row r="1320" spans="1:5" ht="25.5" x14ac:dyDescent="0.2">
      <c r="A1320" s="14" t="s">
        <v>7021</v>
      </c>
      <c r="B1320" s="15" t="s">
        <v>584</v>
      </c>
      <c r="C1320" s="15" t="s">
        <v>7016</v>
      </c>
      <c r="D1320" s="15" t="s">
        <v>7017</v>
      </c>
      <c r="E1320" s="15" t="s">
        <v>7022</v>
      </c>
    </row>
    <row r="1321" spans="1:5" ht="25.5" x14ac:dyDescent="0.2">
      <c r="A1321" s="14" t="s">
        <v>7023</v>
      </c>
      <c r="B1321" s="15" t="s">
        <v>589</v>
      </c>
      <c r="C1321" s="15" t="s">
        <v>7016</v>
      </c>
      <c r="D1321" s="15" t="s">
        <v>7017</v>
      </c>
      <c r="E1321" s="15" t="s">
        <v>7024</v>
      </c>
    </row>
    <row r="1322" spans="1:5" ht="25.5" x14ac:dyDescent="0.2">
      <c r="A1322" s="14" t="s">
        <v>7025</v>
      </c>
      <c r="B1322" s="15" t="s">
        <v>583</v>
      </c>
      <c r="C1322" s="15" t="s">
        <v>7016</v>
      </c>
      <c r="D1322" s="15" t="s">
        <v>7017</v>
      </c>
      <c r="E1322" s="15" t="s">
        <v>7026</v>
      </c>
    </row>
    <row r="1323" spans="1:5" ht="25.5" x14ac:dyDescent="0.2">
      <c r="A1323" s="14" t="s">
        <v>7027</v>
      </c>
      <c r="B1323" s="15" t="s">
        <v>1359</v>
      </c>
      <c r="C1323" s="15" t="s">
        <v>4899</v>
      </c>
      <c r="D1323" s="15" t="s">
        <v>4900</v>
      </c>
      <c r="E1323" s="15" t="s">
        <v>7028</v>
      </c>
    </row>
    <row r="1324" spans="1:5" ht="25.5" x14ac:dyDescent="0.2">
      <c r="A1324" s="14" t="s">
        <v>7029</v>
      </c>
      <c r="B1324" s="15" t="s">
        <v>7030</v>
      </c>
      <c r="C1324" s="15" t="s">
        <v>3406</v>
      </c>
      <c r="D1324" s="15" t="s">
        <v>3407</v>
      </c>
      <c r="E1324" s="15" t="s">
        <v>7031</v>
      </c>
    </row>
    <row r="1325" spans="1:5" ht="25.5" x14ac:dyDescent="0.2">
      <c r="A1325" s="14" t="s">
        <v>7032</v>
      </c>
      <c r="B1325" s="15" t="s">
        <v>7033</v>
      </c>
      <c r="C1325" s="15" t="s">
        <v>4857</v>
      </c>
      <c r="D1325" s="15" t="s">
        <v>4858</v>
      </c>
      <c r="E1325" s="15" t="s">
        <v>7034</v>
      </c>
    </row>
    <row r="1326" spans="1:5" ht="25.5" x14ac:dyDescent="0.2">
      <c r="A1326" s="14" t="s">
        <v>7035</v>
      </c>
      <c r="B1326" s="15" t="s">
        <v>1270</v>
      </c>
      <c r="C1326" s="15" t="s">
        <v>3303</v>
      </c>
      <c r="D1326" s="15" t="s">
        <v>3304</v>
      </c>
      <c r="E1326" s="15" t="s">
        <v>7036</v>
      </c>
    </row>
    <row r="1327" spans="1:5" ht="25.5" x14ac:dyDescent="0.2">
      <c r="A1327" s="14" t="s">
        <v>7037</v>
      </c>
      <c r="B1327" s="15" t="s">
        <v>480</v>
      </c>
      <c r="C1327" s="15" t="s">
        <v>3303</v>
      </c>
      <c r="D1327" s="15" t="s">
        <v>3304</v>
      </c>
      <c r="E1327" s="15" t="s">
        <v>7038</v>
      </c>
    </row>
    <row r="1328" spans="1:5" ht="25.5" x14ac:dyDescent="0.2">
      <c r="A1328" s="14" t="s">
        <v>7039</v>
      </c>
      <c r="B1328" s="15" t="s">
        <v>1269</v>
      </c>
      <c r="C1328" s="15" t="s">
        <v>3303</v>
      </c>
      <c r="D1328" s="15" t="s">
        <v>3304</v>
      </c>
      <c r="E1328" s="15" t="s">
        <v>7040</v>
      </c>
    </row>
    <row r="1329" spans="1:5" ht="25.5" x14ac:dyDescent="0.2">
      <c r="A1329" s="14" t="s">
        <v>7041</v>
      </c>
      <c r="B1329" s="15" t="s">
        <v>7042</v>
      </c>
      <c r="C1329" s="15" t="s">
        <v>4126</v>
      </c>
      <c r="D1329" s="15" t="s">
        <v>4127</v>
      </c>
      <c r="E1329" s="15" t="s">
        <v>7043</v>
      </c>
    </row>
    <row r="1330" spans="1:5" ht="25.5" x14ac:dyDescent="0.2">
      <c r="A1330" s="14" t="s">
        <v>7044</v>
      </c>
      <c r="B1330" s="15" t="s">
        <v>146</v>
      </c>
      <c r="C1330" s="15" t="s">
        <v>7045</v>
      </c>
      <c r="D1330" s="15" t="s">
        <v>7046</v>
      </c>
      <c r="E1330" s="15" t="s">
        <v>7047</v>
      </c>
    </row>
    <row r="1331" spans="1:5" ht="25.5" x14ac:dyDescent="0.2">
      <c r="A1331" s="14" t="s">
        <v>7048</v>
      </c>
      <c r="B1331" s="15" t="s">
        <v>456</v>
      </c>
      <c r="C1331" s="15" t="s">
        <v>7049</v>
      </c>
      <c r="D1331" s="15" t="s">
        <v>7050</v>
      </c>
      <c r="E1331" s="15" t="s">
        <v>7051</v>
      </c>
    </row>
    <row r="1332" spans="1:5" ht="25.5" x14ac:dyDescent="0.2">
      <c r="A1332" s="14" t="s">
        <v>7052</v>
      </c>
      <c r="B1332" s="15" t="s">
        <v>7053</v>
      </c>
      <c r="C1332" s="15" t="s">
        <v>7045</v>
      </c>
      <c r="D1332" s="15" t="s">
        <v>7046</v>
      </c>
      <c r="E1332" s="15" t="s">
        <v>7054</v>
      </c>
    </row>
    <row r="1333" spans="1:5" ht="25.5" x14ac:dyDescent="0.2">
      <c r="A1333" s="14" t="s">
        <v>7055</v>
      </c>
      <c r="B1333" s="15" t="s">
        <v>162</v>
      </c>
      <c r="C1333" s="15" t="s">
        <v>7045</v>
      </c>
      <c r="D1333" s="15" t="s">
        <v>7046</v>
      </c>
      <c r="E1333" s="15" t="s">
        <v>7056</v>
      </c>
    </row>
    <row r="1334" spans="1:5" ht="25.5" x14ac:dyDescent="0.2">
      <c r="A1334" s="14" t="s">
        <v>7057</v>
      </c>
      <c r="B1334" s="15" t="s">
        <v>645</v>
      </c>
      <c r="C1334" s="15" t="s">
        <v>7049</v>
      </c>
      <c r="D1334" s="15" t="s">
        <v>7050</v>
      </c>
      <c r="E1334" s="15" t="s">
        <v>7058</v>
      </c>
    </row>
    <row r="1335" spans="1:5" ht="25.5" x14ac:dyDescent="0.2">
      <c r="A1335" s="14" t="s">
        <v>7059</v>
      </c>
      <c r="B1335" s="15" t="s">
        <v>1244</v>
      </c>
      <c r="C1335" s="15" t="s">
        <v>7049</v>
      </c>
      <c r="D1335" s="15" t="s">
        <v>7050</v>
      </c>
      <c r="E1335" s="15" t="s">
        <v>7060</v>
      </c>
    </row>
    <row r="1336" spans="1:5" ht="25.5" x14ac:dyDescent="0.2">
      <c r="A1336" s="14" t="s">
        <v>7061</v>
      </c>
      <c r="B1336" s="15" t="s">
        <v>964</v>
      </c>
      <c r="C1336" s="15" t="s">
        <v>7049</v>
      </c>
      <c r="D1336" s="15" t="s">
        <v>7050</v>
      </c>
      <c r="E1336" s="15" t="s">
        <v>7062</v>
      </c>
    </row>
    <row r="1337" spans="1:5" ht="25.5" x14ac:dyDescent="0.2">
      <c r="A1337" s="14" t="s">
        <v>7063</v>
      </c>
      <c r="B1337" s="15" t="s">
        <v>1267</v>
      </c>
      <c r="C1337" s="15" t="s">
        <v>7045</v>
      </c>
      <c r="D1337" s="15" t="s">
        <v>7046</v>
      </c>
      <c r="E1337" s="15" t="s">
        <v>7064</v>
      </c>
    </row>
    <row r="1338" spans="1:5" ht="25.5" x14ac:dyDescent="0.2">
      <c r="A1338" s="14" t="s">
        <v>7065</v>
      </c>
      <c r="B1338" s="15" t="s">
        <v>7066</v>
      </c>
      <c r="C1338" s="15" t="s">
        <v>7045</v>
      </c>
      <c r="D1338" s="15" t="s">
        <v>7046</v>
      </c>
      <c r="E1338" s="15" t="s">
        <v>7067</v>
      </c>
    </row>
    <row r="1339" spans="1:5" ht="25.5" x14ac:dyDescent="0.2">
      <c r="A1339" s="14" t="s">
        <v>7068</v>
      </c>
      <c r="B1339" s="15" t="s">
        <v>934</v>
      </c>
      <c r="C1339" s="15" t="s">
        <v>7049</v>
      </c>
      <c r="D1339" s="15" t="s">
        <v>7050</v>
      </c>
      <c r="E1339" s="15" t="s">
        <v>7069</v>
      </c>
    </row>
    <row r="1340" spans="1:5" ht="25.5" x14ac:dyDescent="0.2">
      <c r="A1340" s="14" t="s">
        <v>7070</v>
      </c>
      <c r="B1340" s="15" t="s">
        <v>903</v>
      </c>
      <c r="C1340" s="15" t="s">
        <v>7049</v>
      </c>
      <c r="D1340" s="15" t="s">
        <v>7050</v>
      </c>
      <c r="E1340" s="15" t="s">
        <v>7071</v>
      </c>
    </row>
    <row r="1341" spans="1:5" ht="25.5" x14ac:dyDescent="0.2">
      <c r="A1341" s="14" t="s">
        <v>7072</v>
      </c>
      <c r="B1341" s="15" t="s">
        <v>780</v>
      </c>
      <c r="C1341" s="15" t="s">
        <v>7049</v>
      </c>
      <c r="D1341" s="15" t="s">
        <v>7050</v>
      </c>
      <c r="E1341" s="15" t="s">
        <v>7073</v>
      </c>
    </row>
    <row r="1342" spans="1:5" ht="25.5" x14ac:dyDescent="0.2">
      <c r="A1342" s="14" t="s">
        <v>7074</v>
      </c>
      <c r="B1342" s="15" t="s">
        <v>935</v>
      </c>
      <c r="C1342" s="15" t="s">
        <v>7049</v>
      </c>
      <c r="D1342" s="15" t="s">
        <v>7050</v>
      </c>
      <c r="E1342" s="15" t="s">
        <v>7075</v>
      </c>
    </row>
    <row r="1343" spans="1:5" ht="25.5" x14ac:dyDescent="0.2">
      <c r="A1343" s="14" t="s">
        <v>7076</v>
      </c>
      <c r="B1343" s="15" t="s">
        <v>1266</v>
      </c>
      <c r="C1343" s="15" t="s">
        <v>7049</v>
      </c>
      <c r="D1343" s="15" t="s">
        <v>7050</v>
      </c>
      <c r="E1343" s="15" t="s">
        <v>7077</v>
      </c>
    </row>
    <row r="1344" spans="1:5" ht="25.5" x14ac:dyDescent="0.2">
      <c r="A1344" s="14" t="s">
        <v>7078</v>
      </c>
      <c r="B1344" s="15" t="s">
        <v>810</v>
      </c>
      <c r="C1344" s="15" t="s">
        <v>7049</v>
      </c>
      <c r="D1344" s="15" t="s">
        <v>7050</v>
      </c>
      <c r="E1344" s="15" t="s">
        <v>7079</v>
      </c>
    </row>
    <row r="1345" spans="1:5" ht="25.5" x14ac:dyDescent="0.2">
      <c r="A1345" s="14" t="s">
        <v>7080</v>
      </c>
      <c r="B1345" s="15" t="s">
        <v>1102</v>
      </c>
      <c r="C1345" s="15" t="s">
        <v>7049</v>
      </c>
      <c r="D1345" s="15" t="s">
        <v>7050</v>
      </c>
      <c r="E1345" s="15" t="s">
        <v>7081</v>
      </c>
    </row>
    <row r="1346" spans="1:5" ht="25.5" x14ac:dyDescent="0.2">
      <c r="A1346" s="14" t="s">
        <v>7082</v>
      </c>
      <c r="B1346" s="15" t="s">
        <v>216</v>
      </c>
      <c r="C1346" s="15" t="s">
        <v>7049</v>
      </c>
      <c r="D1346" s="15" t="s">
        <v>7050</v>
      </c>
      <c r="E1346" s="15" t="s">
        <v>7083</v>
      </c>
    </row>
    <row r="1347" spans="1:5" ht="25.5" x14ac:dyDescent="0.2">
      <c r="A1347" s="14" t="s">
        <v>7084</v>
      </c>
      <c r="B1347" s="15" t="s">
        <v>7085</v>
      </c>
      <c r="C1347" s="15" t="s">
        <v>7049</v>
      </c>
      <c r="D1347" s="15" t="s">
        <v>7050</v>
      </c>
      <c r="E1347" s="15" t="s">
        <v>7086</v>
      </c>
    </row>
    <row r="1348" spans="1:5" ht="25.5" x14ac:dyDescent="0.2">
      <c r="A1348" s="14" t="s">
        <v>7087</v>
      </c>
      <c r="B1348" s="15" t="s">
        <v>549</v>
      </c>
      <c r="C1348" s="15" t="s">
        <v>7049</v>
      </c>
      <c r="D1348" s="15" t="s">
        <v>7050</v>
      </c>
      <c r="E1348" s="15" t="s">
        <v>7088</v>
      </c>
    </row>
    <row r="1349" spans="1:5" ht="25.5" x14ac:dyDescent="0.2">
      <c r="A1349" s="14" t="s">
        <v>7089</v>
      </c>
      <c r="B1349" s="15" t="s">
        <v>1043</v>
      </c>
      <c r="C1349" s="15" t="s">
        <v>7049</v>
      </c>
      <c r="D1349" s="15" t="s">
        <v>7050</v>
      </c>
      <c r="E1349" s="15" t="s">
        <v>7090</v>
      </c>
    </row>
    <row r="1350" spans="1:5" ht="25.5" x14ac:dyDescent="0.2">
      <c r="A1350" s="14" t="s">
        <v>7091</v>
      </c>
      <c r="B1350" s="15" t="s">
        <v>926</v>
      </c>
      <c r="C1350" s="15" t="s">
        <v>7049</v>
      </c>
      <c r="D1350" s="15" t="s">
        <v>7050</v>
      </c>
      <c r="E1350" s="15" t="s">
        <v>7092</v>
      </c>
    </row>
    <row r="1351" spans="1:5" ht="25.5" x14ac:dyDescent="0.2">
      <c r="A1351" s="14" t="s">
        <v>7093</v>
      </c>
      <c r="B1351" s="15" t="s">
        <v>7094</v>
      </c>
      <c r="C1351" s="15" t="s">
        <v>7049</v>
      </c>
      <c r="D1351" s="15" t="s">
        <v>7050</v>
      </c>
      <c r="E1351" s="15" t="s">
        <v>7095</v>
      </c>
    </row>
    <row r="1352" spans="1:5" ht="25.5" x14ac:dyDescent="0.2">
      <c r="A1352" s="14" t="s">
        <v>7096</v>
      </c>
      <c r="B1352" s="15" t="s">
        <v>367</v>
      </c>
      <c r="C1352" s="15" t="s">
        <v>7049</v>
      </c>
      <c r="D1352" s="15" t="s">
        <v>7050</v>
      </c>
      <c r="E1352" s="15" t="s">
        <v>7097</v>
      </c>
    </row>
    <row r="1353" spans="1:5" ht="25.5" x14ac:dyDescent="0.2">
      <c r="A1353" s="14" t="s">
        <v>7098</v>
      </c>
      <c r="B1353" s="15" t="s">
        <v>7099</v>
      </c>
      <c r="C1353" s="15" t="s">
        <v>7049</v>
      </c>
      <c r="D1353" s="15" t="s">
        <v>7050</v>
      </c>
      <c r="E1353" s="15" t="s">
        <v>7100</v>
      </c>
    </row>
    <row r="1354" spans="1:5" ht="25.5" x14ac:dyDescent="0.2">
      <c r="A1354" s="14" t="s">
        <v>7101</v>
      </c>
      <c r="B1354" s="15" t="s">
        <v>7102</v>
      </c>
      <c r="C1354" s="15" t="s">
        <v>7103</v>
      </c>
      <c r="D1354" s="15" t="s">
        <v>7104</v>
      </c>
      <c r="E1354" s="15" t="s">
        <v>7105</v>
      </c>
    </row>
    <row r="1355" spans="1:5" ht="25.5" x14ac:dyDescent="0.2">
      <c r="A1355" s="14" t="s">
        <v>7106</v>
      </c>
      <c r="B1355" s="15" t="s">
        <v>1048</v>
      </c>
      <c r="C1355" s="15" t="s">
        <v>7049</v>
      </c>
      <c r="D1355" s="15" t="s">
        <v>7050</v>
      </c>
      <c r="E1355" s="15" t="s">
        <v>7107</v>
      </c>
    </row>
    <row r="1356" spans="1:5" ht="25.5" x14ac:dyDescent="0.2">
      <c r="A1356" s="14" t="s">
        <v>7108</v>
      </c>
      <c r="B1356" s="15" t="s">
        <v>1233</v>
      </c>
      <c r="C1356" s="15" t="s">
        <v>7109</v>
      </c>
      <c r="D1356" s="15" t="s">
        <v>7110</v>
      </c>
      <c r="E1356" s="15" t="s">
        <v>7111</v>
      </c>
    </row>
    <row r="1357" spans="1:5" ht="25.5" x14ac:dyDescent="0.2">
      <c r="A1357" s="14" t="s">
        <v>7112</v>
      </c>
      <c r="B1357" s="15" t="s">
        <v>7113</v>
      </c>
      <c r="C1357" s="15" t="s">
        <v>7109</v>
      </c>
      <c r="D1357" s="15" t="s">
        <v>7110</v>
      </c>
      <c r="E1357" s="15" t="s">
        <v>7114</v>
      </c>
    </row>
    <row r="1358" spans="1:5" ht="25.5" x14ac:dyDescent="0.2">
      <c r="A1358" s="14" t="s">
        <v>7115</v>
      </c>
      <c r="B1358" s="15" t="s">
        <v>7116</v>
      </c>
      <c r="C1358" s="15" t="s">
        <v>7109</v>
      </c>
      <c r="D1358" s="15" t="s">
        <v>7110</v>
      </c>
      <c r="E1358" s="15" t="s">
        <v>7117</v>
      </c>
    </row>
    <row r="1359" spans="1:5" ht="25.5" x14ac:dyDescent="0.2">
      <c r="A1359" s="14" t="s">
        <v>7118</v>
      </c>
      <c r="B1359" s="15" t="s">
        <v>886</v>
      </c>
      <c r="C1359" s="15" t="s">
        <v>7109</v>
      </c>
      <c r="D1359" s="15" t="s">
        <v>7110</v>
      </c>
      <c r="E1359" s="15" t="s">
        <v>7119</v>
      </c>
    </row>
    <row r="1360" spans="1:5" ht="25.5" x14ac:dyDescent="0.2">
      <c r="A1360" s="14" t="s">
        <v>7120</v>
      </c>
      <c r="B1360" s="15" t="s">
        <v>821</v>
      </c>
      <c r="C1360" s="15" t="s">
        <v>7049</v>
      </c>
      <c r="D1360" s="15" t="s">
        <v>7050</v>
      </c>
      <c r="E1360" s="15" t="s">
        <v>7121</v>
      </c>
    </row>
    <row r="1361" spans="1:5" ht="25.5" x14ac:dyDescent="0.2">
      <c r="A1361" s="14" t="s">
        <v>7122</v>
      </c>
      <c r="B1361" s="15" t="s">
        <v>7123</v>
      </c>
      <c r="C1361" s="15" t="s">
        <v>7049</v>
      </c>
      <c r="D1361" s="15" t="s">
        <v>7050</v>
      </c>
      <c r="E1361" s="15" t="s">
        <v>7124</v>
      </c>
    </row>
    <row r="1362" spans="1:5" ht="25.5" x14ac:dyDescent="0.2">
      <c r="A1362" s="14" t="s">
        <v>7125</v>
      </c>
      <c r="B1362" s="15" t="s">
        <v>963</v>
      </c>
      <c r="C1362" s="15" t="s">
        <v>7049</v>
      </c>
      <c r="D1362" s="15" t="s">
        <v>7050</v>
      </c>
      <c r="E1362" s="15" t="s">
        <v>7126</v>
      </c>
    </row>
    <row r="1363" spans="1:5" ht="25.5" x14ac:dyDescent="0.2">
      <c r="A1363" s="14" t="s">
        <v>7127</v>
      </c>
      <c r="B1363" s="15" t="s">
        <v>936</v>
      </c>
      <c r="C1363" s="15" t="s">
        <v>7128</v>
      </c>
      <c r="D1363" s="15" t="s">
        <v>7129</v>
      </c>
      <c r="E1363" s="15" t="s">
        <v>7130</v>
      </c>
    </row>
    <row r="1364" spans="1:5" ht="25.5" x14ac:dyDescent="0.2">
      <c r="A1364" s="14" t="s">
        <v>7131</v>
      </c>
      <c r="B1364" s="15" t="s">
        <v>757</v>
      </c>
      <c r="C1364" s="15" t="s">
        <v>7132</v>
      </c>
      <c r="D1364" s="15" t="s">
        <v>7133</v>
      </c>
      <c r="E1364" s="15" t="s">
        <v>7134</v>
      </c>
    </row>
    <row r="1365" spans="1:5" ht="25.5" x14ac:dyDescent="0.2">
      <c r="A1365" s="14" t="s">
        <v>7135</v>
      </c>
      <c r="B1365" s="15" t="s">
        <v>757</v>
      </c>
      <c r="C1365" s="15" t="s">
        <v>7132</v>
      </c>
      <c r="D1365" s="15" t="s">
        <v>7133</v>
      </c>
      <c r="E1365" s="15" t="s">
        <v>7136</v>
      </c>
    </row>
    <row r="1366" spans="1:5" ht="25.5" x14ac:dyDescent="0.2">
      <c r="A1366" s="14" t="s">
        <v>7137</v>
      </c>
      <c r="B1366" s="15" t="s">
        <v>1046</v>
      </c>
      <c r="C1366" s="15" t="s">
        <v>7138</v>
      </c>
      <c r="D1366" s="15" t="s">
        <v>7139</v>
      </c>
      <c r="E1366" s="15" t="s">
        <v>7140</v>
      </c>
    </row>
    <row r="1367" spans="1:5" ht="25.5" x14ac:dyDescent="0.2">
      <c r="A1367" s="14" t="s">
        <v>7141</v>
      </c>
      <c r="B1367" s="15" t="s">
        <v>778</v>
      </c>
      <c r="C1367" s="15" t="s">
        <v>7138</v>
      </c>
      <c r="D1367" s="15" t="s">
        <v>7139</v>
      </c>
      <c r="E1367" s="15" t="s">
        <v>7142</v>
      </c>
    </row>
    <row r="1368" spans="1:5" ht="25.5" x14ac:dyDescent="0.2">
      <c r="A1368" s="14" t="s">
        <v>7143</v>
      </c>
      <c r="B1368" s="15" t="s">
        <v>7144</v>
      </c>
      <c r="C1368" s="15" t="s">
        <v>7138</v>
      </c>
      <c r="D1368" s="15" t="s">
        <v>7139</v>
      </c>
      <c r="E1368" s="15" t="s">
        <v>7145</v>
      </c>
    </row>
    <row r="1369" spans="1:5" ht="25.5" x14ac:dyDescent="0.2">
      <c r="A1369" s="14" t="s">
        <v>7146</v>
      </c>
      <c r="B1369" s="15" t="s">
        <v>553</v>
      </c>
      <c r="C1369" s="15" t="s">
        <v>7138</v>
      </c>
      <c r="D1369" s="15" t="s">
        <v>7139</v>
      </c>
      <c r="E1369" s="15" t="s">
        <v>7147</v>
      </c>
    </row>
    <row r="1370" spans="1:5" ht="25.5" x14ac:dyDescent="0.2">
      <c r="A1370" s="14" t="s">
        <v>7148</v>
      </c>
      <c r="B1370" s="15" t="s">
        <v>7149</v>
      </c>
      <c r="C1370" s="15" t="s">
        <v>7138</v>
      </c>
      <c r="D1370" s="15" t="s">
        <v>7139</v>
      </c>
      <c r="E1370" s="15" t="s">
        <v>7150</v>
      </c>
    </row>
    <row r="1371" spans="1:5" ht="25.5" x14ac:dyDescent="0.2">
      <c r="A1371" s="14" t="s">
        <v>7151</v>
      </c>
      <c r="B1371" s="15" t="s">
        <v>937</v>
      </c>
      <c r="C1371" s="15" t="s">
        <v>7138</v>
      </c>
      <c r="D1371" s="15" t="s">
        <v>7139</v>
      </c>
      <c r="E1371" s="15" t="s">
        <v>7152</v>
      </c>
    </row>
    <row r="1372" spans="1:5" ht="25.5" x14ac:dyDescent="0.2">
      <c r="A1372" s="14" t="s">
        <v>7153</v>
      </c>
      <c r="B1372" s="15" t="s">
        <v>1104</v>
      </c>
      <c r="C1372" s="15" t="s">
        <v>7138</v>
      </c>
      <c r="D1372" s="15" t="s">
        <v>7139</v>
      </c>
      <c r="E1372" s="15" t="s">
        <v>7154</v>
      </c>
    </row>
    <row r="1373" spans="1:5" ht="25.5" x14ac:dyDescent="0.2">
      <c r="A1373" s="14" t="s">
        <v>7155</v>
      </c>
      <c r="B1373" s="15" t="s">
        <v>641</v>
      </c>
      <c r="C1373" s="15" t="s">
        <v>7138</v>
      </c>
      <c r="D1373" s="15" t="s">
        <v>7139</v>
      </c>
      <c r="E1373" s="15" t="s">
        <v>7156</v>
      </c>
    </row>
    <row r="1374" spans="1:5" ht="25.5" x14ac:dyDescent="0.2">
      <c r="A1374" s="14" t="s">
        <v>7157</v>
      </c>
      <c r="B1374" s="15" t="s">
        <v>7158</v>
      </c>
      <c r="C1374" s="15" t="s">
        <v>7138</v>
      </c>
      <c r="D1374" s="15" t="s">
        <v>7139</v>
      </c>
      <c r="E1374" s="15" t="s">
        <v>7159</v>
      </c>
    </row>
    <row r="1375" spans="1:5" ht="25.5" x14ac:dyDescent="0.2">
      <c r="A1375" s="14" t="s">
        <v>7160</v>
      </c>
      <c r="B1375" s="15" t="s">
        <v>933</v>
      </c>
      <c r="C1375" s="15" t="s">
        <v>7138</v>
      </c>
      <c r="D1375" s="15" t="s">
        <v>7139</v>
      </c>
      <c r="E1375" s="15" t="s">
        <v>7161</v>
      </c>
    </row>
    <row r="1376" spans="1:5" ht="25.5" x14ac:dyDescent="0.2">
      <c r="A1376" s="14" t="s">
        <v>7162</v>
      </c>
      <c r="B1376" s="15" t="s">
        <v>925</v>
      </c>
      <c r="C1376" s="15" t="s">
        <v>7138</v>
      </c>
      <c r="D1376" s="15" t="s">
        <v>7139</v>
      </c>
      <c r="E1376" s="15" t="s">
        <v>7163</v>
      </c>
    </row>
    <row r="1377" spans="1:5" ht="25.5" x14ac:dyDescent="0.2">
      <c r="A1377" s="14" t="s">
        <v>7164</v>
      </c>
      <c r="B1377" s="15" t="s">
        <v>925</v>
      </c>
      <c r="C1377" s="15" t="s">
        <v>7138</v>
      </c>
      <c r="D1377" s="15" t="s">
        <v>7139</v>
      </c>
      <c r="E1377" s="15" t="s">
        <v>7165</v>
      </c>
    </row>
    <row r="1378" spans="1:5" ht="25.5" x14ac:dyDescent="0.2">
      <c r="A1378" s="14" t="s">
        <v>7166</v>
      </c>
      <c r="B1378" s="15" t="s">
        <v>148</v>
      </c>
      <c r="C1378" s="15" t="s">
        <v>7138</v>
      </c>
      <c r="D1378" s="15" t="s">
        <v>7139</v>
      </c>
      <c r="E1378" s="15" t="s">
        <v>7167</v>
      </c>
    </row>
    <row r="1379" spans="1:5" ht="25.5" x14ac:dyDescent="0.2">
      <c r="A1379" s="14" t="s">
        <v>7168</v>
      </c>
      <c r="B1379" s="15" t="s">
        <v>7169</v>
      </c>
      <c r="C1379" s="15" t="s">
        <v>7138</v>
      </c>
      <c r="D1379" s="15" t="s">
        <v>7139</v>
      </c>
      <c r="E1379" s="15" t="s">
        <v>7170</v>
      </c>
    </row>
    <row r="1380" spans="1:5" ht="25.5" x14ac:dyDescent="0.2">
      <c r="A1380" s="14" t="s">
        <v>7171</v>
      </c>
      <c r="B1380" s="15" t="s">
        <v>7172</v>
      </c>
      <c r="C1380" s="15" t="s">
        <v>7138</v>
      </c>
      <c r="D1380" s="15" t="s">
        <v>7139</v>
      </c>
      <c r="E1380" s="15" t="s">
        <v>7173</v>
      </c>
    </row>
    <row r="1381" spans="1:5" ht="25.5" x14ac:dyDescent="0.2">
      <c r="A1381" s="14" t="s">
        <v>7174</v>
      </c>
      <c r="B1381" s="15" t="s">
        <v>1101</v>
      </c>
      <c r="C1381" s="15" t="s">
        <v>7138</v>
      </c>
      <c r="D1381" s="15" t="s">
        <v>7139</v>
      </c>
      <c r="E1381" s="15" t="s">
        <v>7175</v>
      </c>
    </row>
    <row r="1382" spans="1:5" ht="25.5" x14ac:dyDescent="0.2">
      <c r="A1382" s="14" t="s">
        <v>7176</v>
      </c>
      <c r="B1382" s="15" t="s">
        <v>1248</v>
      </c>
      <c r="C1382" s="15" t="s">
        <v>7138</v>
      </c>
      <c r="D1382" s="15" t="s">
        <v>7139</v>
      </c>
      <c r="E1382" s="15" t="s">
        <v>7177</v>
      </c>
    </row>
    <row r="1383" spans="1:5" ht="25.5" x14ac:dyDescent="0.2">
      <c r="A1383" s="14" t="s">
        <v>7178</v>
      </c>
      <c r="B1383" s="15" t="s">
        <v>1105</v>
      </c>
      <c r="C1383" s="15" t="s">
        <v>7138</v>
      </c>
      <c r="D1383" s="15" t="s">
        <v>7139</v>
      </c>
      <c r="E1383" s="15" t="s">
        <v>7179</v>
      </c>
    </row>
    <row r="1384" spans="1:5" ht="25.5" x14ac:dyDescent="0.2">
      <c r="A1384" s="14" t="s">
        <v>7180</v>
      </c>
      <c r="B1384" s="15" t="s">
        <v>7181</v>
      </c>
      <c r="C1384" s="15" t="s">
        <v>7138</v>
      </c>
      <c r="D1384" s="15" t="s">
        <v>7139</v>
      </c>
      <c r="E1384" s="15" t="s">
        <v>7182</v>
      </c>
    </row>
    <row r="1385" spans="1:5" ht="25.5" x14ac:dyDescent="0.2">
      <c r="A1385" s="14" t="s">
        <v>7183</v>
      </c>
      <c r="B1385" s="15" t="s">
        <v>706</v>
      </c>
      <c r="C1385" s="15" t="s">
        <v>7138</v>
      </c>
      <c r="D1385" s="15" t="s">
        <v>7139</v>
      </c>
      <c r="E1385" s="15" t="s">
        <v>7184</v>
      </c>
    </row>
    <row r="1386" spans="1:5" ht="25.5" x14ac:dyDescent="0.2">
      <c r="A1386" s="14" t="s">
        <v>7185</v>
      </c>
      <c r="B1386" s="15" t="s">
        <v>1049</v>
      </c>
      <c r="C1386" s="15" t="s">
        <v>7186</v>
      </c>
      <c r="D1386" s="15" t="s">
        <v>7187</v>
      </c>
      <c r="E1386" s="15" t="s">
        <v>7188</v>
      </c>
    </row>
    <row r="1387" spans="1:5" ht="25.5" x14ac:dyDescent="0.2">
      <c r="A1387" s="14" t="s">
        <v>7189</v>
      </c>
      <c r="B1387" s="15" t="s">
        <v>1001</v>
      </c>
      <c r="C1387" s="15" t="s">
        <v>7190</v>
      </c>
      <c r="D1387" s="15" t="s">
        <v>7191</v>
      </c>
      <c r="E1387" s="15" t="s">
        <v>7192</v>
      </c>
    </row>
    <row r="1388" spans="1:5" ht="25.5" x14ac:dyDescent="0.2">
      <c r="A1388" s="14" t="s">
        <v>7193</v>
      </c>
      <c r="B1388" s="15" t="s">
        <v>1242</v>
      </c>
      <c r="C1388" s="15" t="s">
        <v>7132</v>
      </c>
      <c r="D1388" s="15" t="s">
        <v>7133</v>
      </c>
      <c r="E1388" s="15" t="s">
        <v>7194</v>
      </c>
    </row>
    <row r="1389" spans="1:5" ht="25.5" x14ac:dyDescent="0.2">
      <c r="A1389" s="14" t="s">
        <v>7195</v>
      </c>
      <c r="B1389" s="15" t="s">
        <v>7196</v>
      </c>
      <c r="C1389" s="15" t="s">
        <v>7132</v>
      </c>
      <c r="D1389" s="15" t="s">
        <v>7133</v>
      </c>
      <c r="E1389" s="15" t="s">
        <v>7197</v>
      </c>
    </row>
    <row r="1390" spans="1:5" ht="25.5" x14ac:dyDescent="0.2">
      <c r="A1390" s="14" t="s">
        <v>7198</v>
      </c>
      <c r="B1390" s="15" t="s">
        <v>758</v>
      </c>
      <c r="C1390" s="15" t="s">
        <v>7132</v>
      </c>
      <c r="D1390" s="15" t="s">
        <v>7133</v>
      </c>
      <c r="E1390" s="15" t="s">
        <v>7199</v>
      </c>
    </row>
    <row r="1391" spans="1:5" ht="25.5" x14ac:dyDescent="0.2">
      <c r="A1391" s="14" t="s">
        <v>7200</v>
      </c>
      <c r="B1391" s="15" t="s">
        <v>702</v>
      </c>
      <c r="C1391" s="15" t="s">
        <v>7190</v>
      </c>
      <c r="D1391" s="15" t="s">
        <v>7191</v>
      </c>
      <c r="E1391" s="15" t="s">
        <v>7201</v>
      </c>
    </row>
    <row r="1392" spans="1:5" ht="25.5" x14ac:dyDescent="0.2">
      <c r="A1392" s="14" t="s">
        <v>7202</v>
      </c>
      <c r="B1392" s="15" t="s">
        <v>7203</v>
      </c>
      <c r="C1392" s="15" t="s">
        <v>7190</v>
      </c>
      <c r="D1392" s="15" t="s">
        <v>7191</v>
      </c>
      <c r="E1392" s="15" t="s">
        <v>7204</v>
      </c>
    </row>
    <row r="1393" spans="1:5" ht="25.5" x14ac:dyDescent="0.2">
      <c r="A1393" s="14" t="s">
        <v>7205</v>
      </c>
      <c r="B1393" s="15" t="s">
        <v>927</v>
      </c>
      <c r="C1393" s="15" t="s">
        <v>7190</v>
      </c>
      <c r="D1393" s="15" t="s">
        <v>7191</v>
      </c>
      <c r="E1393" s="15" t="s">
        <v>7206</v>
      </c>
    </row>
    <row r="1394" spans="1:5" ht="25.5" x14ac:dyDescent="0.2">
      <c r="A1394" s="14" t="s">
        <v>7207</v>
      </c>
      <c r="B1394" s="15" t="s">
        <v>928</v>
      </c>
      <c r="C1394" s="15" t="s">
        <v>7190</v>
      </c>
      <c r="D1394" s="15" t="s">
        <v>7191</v>
      </c>
      <c r="E1394" s="15" t="s">
        <v>7208</v>
      </c>
    </row>
    <row r="1395" spans="1:5" ht="25.5" x14ac:dyDescent="0.2">
      <c r="A1395" s="14" t="s">
        <v>7209</v>
      </c>
      <c r="B1395" s="15" t="s">
        <v>258</v>
      </c>
      <c r="C1395" s="15" t="s">
        <v>7190</v>
      </c>
      <c r="D1395" s="15" t="s">
        <v>7191</v>
      </c>
      <c r="E1395" s="15" t="s">
        <v>7210</v>
      </c>
    </row>
    <row r="1396" spans="1:5" ht="25.5" x14ac:dyDescent="0.2">
      <c r="A1396" s="14" t="s">
        <v>7211</v>
      </c>
      <c r="B1396" s="15" t="s">
        <v>705</v>
      </c>
      <c r="C1396" s="15" t="s">
        <v>7190</v>
      </c>
      <c r="D1396" s="15" t="s">
        <v>7191</v>
      </c>
      <c r="E1396" s="15" t="s">
        <v>7212</v>
      </c>
    </row>
    <row r="1397" spans="1:5" ht="25.5" x14ac:dyDescent="0.2">
      <c r="A1397" s="14" t="s">
        <v>7213</v>
      </c>
      <c r="B1397" s="15" t="s">
        <v>7214</v>
      </c>
      <c r="C1397" s="15" t="s">
        <v>7190</v>
      </c>
      <c r="D1397" s="15" t="s">
        <v>7191</v>
      </c>
      <c r="E1397" s="15" t="s">
        <v>7215</v>
      </c>
    </row>
    <row r="1398" spans="1:5" ht="25.5" x14ac:dyDescent="0.2">
      <c r="A1398" s="14" t="s">
        <v>7216</v>
      </c>
      <c r="B1398" s="15" t="s">
        <v>541</v>
      </c>
      <c r="C1398" s="15" t="s">
        <v>7190</v>
      </c>
      <c r="D1398" s="15" t="s">
        <v>7191</v>
      </c>
      <c r="E1398" s="15" t="s">
        <v>7217</v>
      </c>
    </row>
    <row r="1399" spans="1:5" ht="25.5" x14ac:dyDescent="0.2">
      <c r="A1399" s="14" t="s">
        <v>7218</v>
      </c>
      <c r="B1399" s="15" t="s">
        <v>1247</v>
      </c>
      <c r="C1399" s="15" t="s">
        <v>7190</v>
      </c>
      <c r="D1399" s="15" t="s">
        <v>7191</v>
      </c>
      <c r="E1399" s="15" t="s">
        <v>7219</v>
      </c>
    </row>
    <row r="1400" spans="1:5" ht="25.5" x14ac:dyDescent="0.2">
      <c r="A1400" s="14" t="s">
        <v>7220</v>
      </c>
      <c r="B1400" s="15" t="s">
        <v>1051</v>
      </c>
      <c r="C1400" s="15" t="s">
        <v>7190</v>
      </c>
      <c r="D1400" s="15" t="s">
        <v>7191</v>
      </c>
      <c r="E1400" s="15" t="s">
        <v>7221</v>
      </c>
    </row>
    <row r="1401" spans="1:5" ht="25.5" x14ac:dyDescent="0.2">
      <c r="A1401" s="14" t="s">
        <v>7222</v>
      </c>
      <c r="B1401" s="15" t="s">
        <v>1246</v>
      </c>
      <c r="C1401" s="15" t="s">
        <v>7190</v>
      </c>
      <c r="D1401" s="15" t="s">
        <v>7191</v>
      </c>
      <c r="E1401" s="15" t="s">
        <v>7223</v>
      </c>
    </row>
    <row r="1402" spans="1:5" ht="25.5" x14ac:dyDescent="0.2">
      <c r="A1402" s="14" t="s">
        <v>7224</v>
      </c>
      <c r="B1402" s="15" t="s">
        <v>7225</v>
      </c>
      <c r="C1402" s="15" t="s">
        <v>7190</v>
      </c>
      <c r="D1402" s="15" t="s">
        <v>7191</v>
      </c>
      <c r="E1402" s="15" t="s">
        <v>7226</v>
      </c>
    </row>
    <row r="1403" spans="1:5" ht="25.5" x14ac:dyDescent="0.2">
      <c r="A1403" s="14" t="s">
        <v>7227</v>
      </c>
      <c r="B1403" s="15" t="s">
        <v>548</v>
      </c>
      <c r="C1403" s="15" t="s">
        <v>7190</v>
      </c>
      <c r="D1403" s="15" t="s">
        <v>7191</v>
      </c>
      <c r="E1403" s="15" t="s">
        <v>7228</v>
      </c>
    </row>
    <row r="1404" spans="1:5" ht="25.5" x14ac:dyDescent="0.2">
      <c r="A1404" s="14" t="s">
        <v>7229</v>
      </c>
      <c r="B1404" s="15" t="s">
        <v>548</v>
      </c>
      <c r="C1404" s="15" t="s">
        <v>7190</v>
      </c>
      <c r="D1404" s="15" t="s">
        <v>7191</v>
      </c>
      <c r="E1404" s="15" t="s">
        <v>7230</v>
      </c>
    </row>
    <row r="1405" spans="1:5" ht="25.5" x14ac:dyDescent="0.2">
      <c r="A1405" s="14" t="s">
        <v>7231</v>
      </c>
      <c r="B1405" s="15" t="s">
        <v>7232</v>
      </c>
      <c r="C1405" s="15" t="s">
        <v>7190</v>
      </c>
      <c r="D1405" s="15" t="s">
        <v>7191</v>
      </c>
      <c r="E1405" s="15" t="s">
        <v>7233</v>
      </c>
    </row>
    <row r="1406" spans="1:5" ht="25.5" x14ac:dyDescent="0.2">
      <c r="A1406" s="14" t="s">
        <v>7234</v>
      </c>
      <c r="B1406" s="15" t="s">
        <v>172</v>
      </c>
      <c r="C1406" s="15" t="s">
        <v>7190</v>
      </c>
      <c r="D1406" s="15" t="s">
        <v>7191</v>
      </c>
      <c r="E1406" s="15" t="s">
        <v>7235</v>
      </c>
    </row>
    <row r="1407" spans="1:5" ht="25.5" x14ac:dyDescent="0.2">
      <c r="A1407" s="14" t="s">
        <v>7236</v>
      </c>
      <c r="B1407" s="15" t="s">
        <v>7237</v>
      </c>
      <c r="C1407" s="15" t="s">
        <v>7190</v>
      </c>
      <c r="D1407" s="15" t="s">
        <v>7191</v>
      </c>
      <c r="E1407" s="15" t="s">
        <v>7238</v>
      </c>
    </row>
    <row r="1408" spans="1:5" ht="25.5" x14ac:dyDescent="0.2">
      <c r="A1408" s="14" t="s">
        <v>7239</v>
      </c>
      <c r="B1408" s="15" t="s">
        <v>1476</v>
      </c>
      <c r="C1408" s="15" t="s">
        <v>7190</v>
      </c>
      <c r="D1408" s="15" t="s">
        <v>7191</v>
      </c>
      <c r="E1408" s="15" t="s">
        <v>7240</v>
      </c>
    </row>
    <row r="1409" spans="1:5" ht="25.5" x14ac:dyDescent="0.2">
      <c r="A1409" s="14" t="s">
        <v>7241</v>
      </c>
      <c r="B1409" s="15" t="s">
        <v>7242</v>
      </c>
      <c r="C1409" s="15" t="s">
        <v>7190</v>
      </c>
      <c r="D1409" s="15" t="s">
        <v>7191</v>
      </c>
      <c r="E1409" s="15" t="s">
        <v>7243</v>
      </c>
    </row>
    <row r="1410" spans="1:5" ht="25.5" x14ac:dyDescent="0.2">
      <c r="A1410" s="14" t="s">
        <v>7244</v>
      </c>
      <c r="B1410" s="15" t="s">
        <v>7245</v>
      </c>
      <c r="C1410" s="15" t="s">
        <v>7190</v>
      </c>
      <c r="D1410" s="15" t="s">
        <v>7191</v>
      </c>
      <c r="E1410" s="15" t="s">
        <v>7246</v>
      </c>
    </row>
    <row r="1411" spans="1:5" ht="25.5" x14ac:dyDescent="0.2">
      <c r="A1411" s="14" t="s">
        <v>7247</v>
      </c>
      <c r="B1411" s="15" t="s">
        <v>7248</v>
      </c>
      <c r="C1411" s="15" t="s">
        <v>7132</v>
      </c>
      <c r="D1411" s="15" t="s">
        <v>7133</v>
      </c>
      <c r="E1411" s="15" t="s">
        <v>7249</v>
      </c>
    </row>
    <row r="1412" spans="1:5" ht="25.5" x14ac:dyDescent="0.2">
      <c r="A1412" s="14" t="s">
        <v>7250</v>
      </c>
      <c r="B1412" s="15" t="s">
        <v>1050</v>
      </c>
      <c r="C1412" s="15" t="s">
        <v>7132</v>
      </c>
      <c r="D1412" s="15" t="s">
        <v>7133</v>
      </c>
      <c r="E1412" s="15" t="s">
        <v>7251</v>
      </c>
    </row>
    <row r="1413" spans="1:5" ht="25.5" x14ac:dyDescent="0.2">
      <c r="A1413" s="14" t="s">
        <v>7252</v>
      </c>
      <c r="B1413" s="15" t="s">
        <v>1044</v>
      </c>
      <c r="C1413" s="15" t="s">
        <v>7132</v>
      </c>
      <c r="D1413" s="15" t="s">
        <v>7133</v>
      </c>
      <c r="E1413" s="15" t="s">
        <v>7253</v>
      </c>
    </row>
    <row r="1414" spans="1:5" ht="25.5" x14ac:dyDescent="0.2">
      <c r="A1414" s="14" t="s">
        <v>7254</v>
      </c>
      <c r="B1414" s="15" t="s">
        <v>820</v>
      </c>
      <c r="C1414" s="15" t="s">
        <v>7132</v>
      </c>
      <c r="D1414" s="15" t="s">
        <v>7133</v>
      </c>
      <c r="E1414" s="15" t="s">
        <v>7255</v>
      </c>
    </row>
    <row r="1415" spans="1:5" ht="25.5" x14ac:dyDescent="0.2">
      <c r="A1415" s="14" t="s">
        <v>7256</v>
      </c>
      <c r="B1415" s="15" t="s">
        <v>777</v>
      </c>
      <c r="C1415" s="15" t="s">
        <v>7132</v>
      </c>
      <c r="D1415" s="15" t="s">
        <v>7133</v>
      </c>
      <c r="E1415" s="15" t="s">
        <v>7257</v>
      </c>
    </row>
    <row r="1416" spans="1:5" ht="25.5" x14ac:dyDescent="0.2">
      <c r="A1416" s="14" t="s">
        <v>7258</v>
      </c>
      <c r="B1416" s="15" t="s">
        <v>297</v>
      </c>
      <c r="C1416" s="15" t="s">
        <v>7132</v>
      </c>
      <c r="D1416" s="15" t="s">
        <v>7133</v>
      </c>
      <c r="E1416" s="15" t="s">
        <v>7259</v>
      </c>
    </row>
    <row r="1417" spans="1:5" ht="25.5" x14ac:dyDescent="0.2">
      <c r="A1417" s="14" t="s">
        <v>7260</v>
      </c>
      <c r="B1417" s="15" t="s">
        <v>695</v>
      </c>
      <c r="C1417" s="15" t="s">
        <v>7261</v>
      </c>
      <c r="D1417" s="15" t="s">
        <v>7262</v>
      </c>
      <c r="E1417" s="15" t="s">
        <v>7263</v>
      </c>
    </row>
    <row r="1418" spans="1:5" ht="25.5" x14ac:dyDescent="0.2">
      <c r="A1418" s="14" t="s">
        <v>7264</v>
      </c>
      <c r="B1418" s="15" t="s">
        <v>1463</v>
      </c>
      <c r="C1418" s="15" t="s">
        <v>7261</v>
      </c>
      <c r="D1418" s="15" t="s">
        <v>7262</v>
      </c>
      <c r="E1418" s="15" t="s">
        <v>7265</v>
      </c>
    </row>
    <row r="1419" spans="1:5" ht="25.5" x14ac:dyDescent="0.2">
      <c r="A1419" s="14" t="s">
        <v>7266</v>
      </c>
      <c r="B1419" s="15" t="s">
        <v>7267</v>
      </c>
      <c r="C1419" s="15" t="s">
        <v>7261</v>
      </c>
      <c r="D1419" s="15" t="s">
        <v>7262</v>
      </c>
      <c r="E1419" s="15" t="s">
        <v>7268</v>
      </c>
    </row>
    <row r="1420" spans="1:5" ht="25.5" x14ac:dyDescent="0.2">
      <c r="A1420" s="14" t="s">
        <v>7269</v>
      </c>
      <c r="B1420" s="15" t="s">
        <v>7270</v>
      </c>
      <c r="C1420" s="15" t="s">
        <v>7261</v>
      </c>
      <c r="D1420" s="15" t="s">
        <v>7262</v>
      </c>
      <c r="E1420" s="15" t="s">
        <v>7271</v>
      </c>
    </row>
    <row r="1421" spans="1:5" ht="25.5" x14ac:dyDescent="0.2">
      <c r="A1421" s="14" t="s">
        <v>7272</v>
      </c>
      <c r="B1421" s="15" t="s">
        <v>1107</v>
      </c>
      <c r="C1421" s="15" t="s">
        <v>7261</v>
      </c>
      <c r="D1421" s="15" t="s">
        <v>7262</v>
      </c>
      <c r="E1421" s="15" t="s">
        <v>7273</v>
      </c>
    </row>
    <row r="1422" spans="1:5" ht="25.5" x14ac:dyDescent="0.2">
      <c r="A1422" s="14" t="s">
        <v>7274</v>
      </c>
      <c r="B1422" s="15" t="s">
        <v>924</v>
      </c>
      <c r="C1422" s="15" t="s">
        <v>7132</v>
      </c>
      <c r="D1422" s="15" t="s">
        <v>7133</v>
      </c>
      <c r="E1422" s="15" t="s">
        <v>7275</v>
      </c>
    </row>
    <row r="1423" spans="1:5" ht="25.5" x14ac:dyDescent="0.2">
      <c r="A1423" s="14" t="s">
        <v>7276</v>
      </c>
      <c r="B1423" s="15" t="s">
        <v>574</v>
      </c>
      <c r="C1423" s="15" t="s">
        <v>7132</v>
      </c>
      <c r="D1423" s="15" t="s">
        <v>7133</v>
      </c>
      <c r="E1423" s="15" t="s">
        <v>7277</v>
      </c>
    </row>
    <row r="1424" spans="1:5" ht="25.5" x14ac:dyDescent="0.2">
      <c r="A1424" s="14" t="s">
        <v>7278</v>
      </c>
      <c r="B1424" s="15" t="s">
        <v>494</v>
      </c>
      <c r="C1424" s="15" t="s">
        <v>7132</v>
      </c>
      <c r="D1424" s="15" t="s">
        <v>7133</v>
      </c>
      <c r="E1424" s="15" t="s">
        <v>7279</v>
      </c>
    </row>
    <row r="1425" spans="1:5" ht="25.5" x14ac:dyDescent="0.2">
      <c r="A1425" s="14" t="s">
        <v>7280</v>
      </c>
      <c r="B1425" s="15" t="s">
        <v>1108</v>
      </c>
      <c r="C1425" s="15" t="s">
        <v>7132</v>
      </c>
      <c r="D1425" s="15" t="s">
        <v>7133</v>
      </c>
      <c r="E1425" s="15" t="s">
        <v>7281</v>
      </c>
    </row>
    <row r="1426" spans="1:5" ht="25.5" x14ac:dyDescent="0.2">
      <c r="A1426" s="14" t="s">
        <v>7282</v>
      </c>
      <c r="B1426" s="15" t="s">
        <v>1045</v>
      </c>
      <c r="C1426" s="15" t="s">
        <v>7132</v>
      </c>
      <c r="D1426" s="15" t="s">
        <v>7133</v>
      </c>
      <c r="E1426" s="15" t="s">
        <v>7283</v>
      </c>
    </row>
    <row r="1427" spans="1:5" ht="25.5" x14ac:dyDescent="0.2">
      <c r="A1427" s="14" t="s">
        <v>7284</v>
      </c>
      <c r="B1427" s="15" t="s">
        <v>319</v>
      </c>
      <c r="C1427" s="15" t="s">
        <v>7285</v>
      </c>
      <c r="D1427" s="15" t="s">
        <v>7286</v>
      </c>
      <c r="E1427" s="15" t="s">
        <v>7287</v>
      </c>
    </row>
    <row r="1428" spans="1:5" ht="25.5" x14ac:dyDescent="0.2">
      <c r="A1428" s="14" t="s">
        <v>7288</v>
      </c>
      <c r="B1428" s="15" t="s">
        <v>946</v>
      </c>
      <c r="C1428" s="15" t="s">
        <v>7285</v>
      </c>
      <c r="D1428" s="15" t="s">
        <v>7286</v>
      </c>
      <c r="E1428" s="15" t="s">
        <v>7289</v>
      </c>
    </row>
    <row r="1429" spans="1:5" ht="25.5" x14ac:dyDescent="0.2">
      <c r="A1429" s="14" t="s">
        <v>7290</v>
      </c>
      <c r="B1429" s="15" t="s">
        <v>691</v>
      </c>
      <c r="C1429" s="15" t="s">
        <v>7285</v>
      </c>
      <c r="D1429" s="15" t="s">
        <v>7286</v>
      </c>
      <c r="E1429" s="15" t="s">
        <v>7291</v>
      </c>
    </row>
    <row r="1430" spans="1:5" ht="25.5" x14ac:dyDescent="0.2">
      <c r="A1430" s="14" t="s">
        <v>7292</v>
      </c>
      <c r="B1430" s="15" t="s">
        <v>1330</v>
      </c>
      <c r="C1430" s="15" t="s">
        <v>7285</v>
      </c>
      <c r="D1430" s="15" t="s">
        <v>7286</v>
      </c>
      <c r="E1430" s="15" t="s">
        <v>7293</v>
      </c>
    </row>
    <row r="1431" spans="1:5" ht="25.5" x14ac:dyDescent="0.2">
      <c r="A1431" s="14" t="s">
        <v>7294</v>
      </c>
      <c r="B1431" s="15" t="s">
        <v>959</v>
      </c>
      <c r="C1431" s="15" t="s">
        <v>7285</v>
      </c>
      <c r="D1431" s="15" t="s">
        <v>7286</v>
      </c>
      <c r="E1431" s="15" t="s">
        <v>7295</v>
      </c>
    </row>
    <row r="1432" spans="1:5" ht="25.5" x14ac:dyDescent="0.2">
      <c r="A1432" s="14" t="s">
        <v>7296</v>
      </c>
      <c r="B1432" s="15" t="s">
        <v>1278</v>
      </c>
      <c r="C1432" s="15" t="s">
        <v>7285</v>
      </c>
      <c r="D1432" s="15" t="s">
        <v>7286</v>
      </c>
      <c r="E1432" s="15" t="s">
        <v>7297</v>
      </c>
    </row>
    <row r="1433" spans="1:5" ht="25.5" x14ac:dyDescent="0.2">
      <c r="A1433" s="14" t="s">
        <v>7298</v>
      </c>
      <c r="B1433" s="15" t="s">
        <v>929</v>
      </c>
      <c r="C1433" s="15" t="s">
        <v>7285</v>
      </c>
      <c r="D1433" s="15" t="s">
        <v>7286</v>
      </c>
      <c r="E1433" s="15" t="s">
        <v>7299</v>
      </c>
    </row>
    <row r="1434" spans="1:5" ht="25.5" x14ac:dyDescent="0.2">
      <c r="A1434" s="14" t="s">
        <v>7300</v>
      </c>
      <c r="B1434" s="15" t="s">
        <v>7301</v>
      </c>
      <c r="C1434" s="15" t="s">
        <v>7103</v>
      </c>
      <c r="D1434" s="15" t="s">
        <v>7104</v>
      </c>
      <c r="E1434" s="15" t="s">
        <v>7302</v>
      </c>
    </row>
    <row r="1435" spans="1:5" ht="25.5" x14ac:dyDescent="0.2">
      <c r="A1435" s="14" t="s">
        <v>7303</v>
      </c>
      <c r="B1435" s="15" t="s">
        <v>1103</v>
      </c>
      <c r="C1435" s="15" t="s">
        <v>7285</v>
      </c>
      <c r="D1435" s="15" t="s">
        <v>7286</v>
      </c>
      <c r="E1435" s="15" t="s">
        <v>7304</v>
      </c>
    </row>
    <row r="1436" spans="1:5" ht="25.5" x14ac:dyDescent="0.2">
      <c r="A1436" s="14" t="s">
        <v>7305</v>
      </c>
      <c r="B1436" s="15" t="s">
        <v>1042</v>
      </c>
      <c r="C1436" s="15" t="s">
        <v>7285</v>
      </c>
      <c r="D1436" s="15" t="s">
        <v>7286</v>
      </c>
      <c r="E1436" s="15" t="s">
        <v>7306</v>
      </c>
    </row>
    <row r="1437" spans="1:5" ht="25.5" x14ac:dyDescent="0.2">
      <c r="A1437" s="14" t="s">
        <v>7307</v>
      </c>
      <c r="B1437" s="15" t="s">
        <v>7308</v>
      </c>
      <c r="C1437" s="15" t="s">
        <v>7285</v>
      </c>
      <c r="D1437" s="15" t="s">
        <v>7286</v>
      </c>
      <c r="E1437" s="15" t="s">
        <v>7309</v>
      </c>
    </row>
    <row r="1438" spans="1:5" ht="25.5" x14ac:dyDescent="0.2">
      <c r="A1438" s="14" t="s">
        <v>7310</v>
      </c>
      <c r="B1438" s="15" t="s">
        <v>938</v>
      </c>
      <c r="C1438" s="15" t="s">
        <v>7285</v>
      </c>
      <c r="D1438" s="15" t="s">
        <v>7286</v>
      </c>
      <c r="E1438" s="15" t="s">
        <v>7311</v>
      </c>
    </row>
    <row r="1439" spans="1:5" ht="25.5" x14ac:dyDescent="0.2">
      <c r="A1439" s="14" t="s">
        <v>7312</v>
      </c>
      <c r="B1439" s="15" t="s">
        <v>923</v>
      </c>
      <c r="C1439" s="15" t="s">
        <v>7285</v>
      </c>
      <c r="D1439" s="15" t="s">
        <v>7286</v>
      </c>
      <c r="E1439" s="15" t="s">
        <v>7313</v>
      </c>
    </row>
    <row r="1440" spans="1:5" ht="25.5" x14ac:dyDescent="0.2">
      <c r="A1440" s="14" t="s">
        <v>7314</v>
      </c>
      <c r="B1440" s="15" t="s">
        <v>642</v>
      </c>
      <c r="C1440" s="15" t="s">
        <v>7285</v>
      </c>
      <c r="D1440" s="15" t="s">
        <v>7286</v>
      </c>
      <c r="E1440" s="15" t="s">
        <v>7315</v>
      </c>
    </row>
    <row r="1441" spans="1:5" ht="25.5" x14ac:dyDescent="0.2">
      <c r="A1441" s="14" t="s">
        <v>7316</v>
      </c>
      <c r="B1441" s="15" t="s">
        <v>1265</v>
      </c>
      <c r="C1441" s="15" t="s">
        <v>7132</v>
      </c>
      <c r="D1441" s="15" t="s">
        <v>7133</v>
      </c>
      <c r="E1441" s="15" t="s">
        <v>7317</v>
      </c>
    </row>
    <row r="1442" spans="1:5" ht="25.5" x14ac:dyDescent="0.2">
      <c r="A1442" s="14" t="s">
        <v>7318</v>
      </c>
      <c r="B1442" s="15" t="s">
        <v>632</v>
      </c>
      <c r="C1442" s="15" t="s">
        <v>7132</v>
      </c>
      <c r="D1442" s="15" t="s">
        <v>7133</v>
      </c>
      <c r="E1442" s="15" t="s">
        <v>7319</v>
      </c>
    </row>
    <row r="1443" spans="1:5" ht="25.5" x14ac:dyDescent="0.2">
      <c r="A1443" s="14" t="s">
        <v>7320</v>
      </c>
      <c r="B1443" s="15" t="s">
        <v>639</v>
      </c>
      <c r="C1443" s="15" t="s">
        <v>7132</v>
      </c>
      <c r="D1443" s="15" t="s">
        <v>7133</v>
      </c>
      <c r="E1443" s="15" t="s">
        <v>7321</v>
      </c>
    </row>
    <row r="1444" spans="1:5" ht="25.5" x14ac:dyDescent="0.2">
      <c r="A1444" s="14" t="s">
        <v>7322</v>
      </c>
      <c r="B1444" s="15" t="s">
        <v>7323</v>
      </c>
      <c r="C1444" s="15" t="s">
        <v>7324</v>
      </c>
      <c r="D1444" s="15" t="s">
        <v>7325</v>
      </c>
      <c r="E1444" s="15" t="s">
        <v>7326</v>
      </c>
    </row>
    <row r="1445" spans="1:5" ht="25.5" x14ac:dyDescent="0.2">
      <c r="A1445" s="14" t="s">
        <v>7327</v>
      </c>
      <c r="B1445" s="15" t="s">
        <v>7328</v>
      </c>
      <c r="C1445" s="15" t="s">
        <v>7329</v>
      </c>
      <c r="D1445" s="15" t="s">
        <v>7330</v>
      </c>
      <c r="E1445" s="15" t="s">
        <v>7331</v>
      </c>
    </row>
    <row r="1446" spans="1:5" ht="25.5" x14ac:dyDescent="0.2">
      <c r="A1446" s="14" t="s">
        <v>7332</v>
      </c>
      <c r="B1446" s="15" t="s">
        <v>128</v>
      </c>
      <c r="C1446" s="15" t="s">
        <v>7329</v>
      </c>
      <c r="D1446" s="15" t="s">
        <v>7330</v>
      </c>
      <c r="E1446" s="15" t="s">
        <v>7333</v>
      </c>
    </row>
    <row r="1447" spans="1:5" ht="25.5" x14ac:dyDescent="0.2">
      <c r="A1447" s="14" t="s">
        <v>7334</v>
      </c>
      <c r="B1447" s="15" t="s">
        <v>7335</v>
      </c>
      <c r="C1447" s="15" t="s">
        <v>7329</v>
      </c>
      <c r="D1447" s="15" t="s">
        <v>7330</v>
      </c>
      <c r="E1447" s="15" t="s">
        <v>7336</v>
      </c>
    </row>
    <row r="1448" spans="1:5" ht="25.5" x14ac:dyDescent="0.2">
      <c r="A1448" s="14" t="s">
        <v>7337</v>
      </c>
      <c r="B1448" s="15" t="s">
        <v>7338</v>
      </c>
      <c r="C1448" s="15" t="s">
        <v>7329</v>
      </c>
      <c r="D1448" s="15" t="s">
        <v>7330</v>
      </c>
      <c r="E1448" s="15" t="s">
        <v>7339</v>
      </c>
    </row>
    <row r="1449" spans="1:5" ht="25.5" x14ac:dyDescent="0.2">
      <c r="A1449" s="14" t="s">
        <v>7340</v>
      </c>
      <c r="B1449" s="15" t="s">
        <v>1131</v>
      </c>
      <c r="C1449" s="15" t="s">
        <v>7329</v>
      </c>
      <c r="D1449" s="15" t="s">
        <v>7330</v>
      </c>
      <c r="E1449" s="15" t="s">
        <v>7341</v>
      </c>
    </row>
    <row r="1450" spans="1:5" ht="25.5" x14ac:dyDescent="0.2">
      <c r="A1450" s="14" t="s">
        <v>7342</v>
      </c>
      <c r="B1450" s="15" t="s">
        <v>7343</v>
      </c>
      <c r="C1450" s="15" t="s">
        <v>7329</v>
      </c>
      <c r="D1450" s="15" t="s">
        <v>7330</v>
      </c>
      <c r="E1450" s="15" t="s">
        <v>7344</v>
      </c>
    </row>
    <row r="1451" spans="1:5" ht="25.5" x14ac:dyDescent="0.2">
      <c r="A1451" s="14" t="s">
        <v>7345</v>
      </c>
      <c r="B1451" s="15" t="s">
        <v>7346</v>
      </c>
      <c r="C1451" s="15" t="s">
        <v>7329</v>
      </c>
      <c r="D1451" s="15" t="s">
        <v>7330</v>
      </c>
      <c r="E1451" s="15" t="s">
        <v>7347</v>
      </c>
    </row>
    <row r="1452" spans="1:5" ht="25.5" x14ac:dyDescent="0.2">
      <c r="A1452" s="14" t="s">
        <v>7348</v>
      </c>
      <c r="B1452" s="15" t="s">
        <v>1128</v>
      </c>
      <c r="C1452" s="15" t="s">
        <v>7329</v>
      </c>
      <c r="D1452" s="15" t="s">
        <v>7330</v>
      </c>
      <c r="E1452" s="15" t="s">
        <v>7349</v>
      </c>
    </row>
    <row r="1453" spans="1:5" ht="25.5" x14ac:dyDescent="0.2">
      <c r="A1453" s="14" t="s">
        <v>7350</v>
      </c>
      <c r="B1453" s="15" t="s">
        <v>7351</v>
      </c>
      <c r="C1453" s="15" t="s">
        <v>7329</v>
      </c>
      <c r="D1453" s="15" t="s">
        <v>7330</v>
      </c>
      <c r="E1453" s="15" t="s">
        <v>7352</v>
      </c>
    </row>
    <row r="1454" spans="1:5" ht="25.5" x14ac:dyDescent="0.2">
      <c r="A1454" s="14" t="s">
        <v>7353</v>
      </c>
      <c r="B1454" s="15" t="s">
        <v>1003</v>
      </c>
      <c r="C1454" s="15" t="s">
        <v>7329</v>
      </c>
      <c r="D1454" s="15" t="s">
        <v>7330</v>
      </c>
      <c r="E1454" s="15" t="s">
        <v>7354</v>
      </c>
    </row>
    <row r="1455" spans="1:5" ht="25.5" x14ac:dyDescent="0.2">
      <c r="A1455" s="14" t="s">
        <v>7355</v>
      </c>
      <c r="B1455" s="15" t="s">
        <v>1373</v>
      </c>
      <c r="C1455" s="15" t="s">
        <v>7329</v>
      </c>
      <c r="D1455" s="15" t="s">
        <v>7330</v>
      </c>
      <c r="E1455" s="15" t="s">
        <v>7356</v>
      </c>
    </row>
    <row r="1456" spans="1:5" ht="25.5" x14ac:dyDescent="0.2">
      <c r="A1456" s="14" t="s">
        <v>7357</v>
      </c>
      <c r="B1456" s="15" t="s">
        <v>7358</v>
      </c>
      <c r="C1456" s="15" t="s">
        <v>7329</v>
      </c>
      <c r="D1456" s="15" t="s">
        <v>7330</v>
      </c>
      <c r="E1456" s="15" t="s">
        <v>7359</v>
      </c>
    </row>
    <row r="1457" spans="1:5" ht="25.5" x14ac:dyDescent="0.2">
      <c r="A1457" s="14" t="s">
        <v>7360</v>
      </c>
      <c r="B1457" s="15" t="s">
        <v>212</v>
      </c>
      <c r="C1457" s="15" t="s">
        <v>7361</v>
      </c>
      <c r="D1457" s="15" t="s">
        <v>7362</v>
      </c>
      <c r="E1457" s="15" t="s">
        <v>7363</v>
      </c>
    </row>
    <row r="1458" spans="1:5" ht="25.5" x14ac:dyDescent="0.2">
      <c r="A1458" s="14" t="s">
        <v>7364</v>
      </c>
      <c r="B1458" s="15" t="s">
        <v>212</v>
      </c>
      <c r="C1458" s="15" t="s">
        <v>7361</v>
      </c>
      <c r="D1458" s="15" t="s">
        <v>7362</v>
      </c>
      <c r="E1458" s="15" t="s">
        <v>7365</v>
      </c>
    </row>
    <row r="1459" spans="1:5" ht="25.5" x14ac:dyDescent="0.2">
      <c r="A1459" s="14" t="s">
        <v>7366</v>
      </c>
      <c r="B1459" s="15" t="s">
        <v>7367</v>
      </c>
      <c r="C1459" s="15" t="s">
        <v>7361</v>
      </c>
      <c r="D1459" s="15" t="s">
        <v>7362</v>
      </c>
      <c r="E1459" s="15" t="s">
        <v>7368</v>
      </c>
    </row>
    <row r="1460" spans="1:5" ht="25.5" x14ac:dyDescent="0.2">
      <c r="A1460" s="14" t="s">
        <v>7369</v>
      </c>
      <c r="B1460" s="15" t="s">
        <v>640</v>
      </c>
      <c r="C1460" s="15" t="s">
        <v>7361</v>
      </c>
      <c r="D1460" s="15" t="s">
        <v>7362</v>
      </c>
      <c r="E1460" s="15" t="s">
        <v>7370</v>
      </c>
    </row>
    <row r="1461" spans="1:5" ht="25.5" x14ac:dyDescent="0.2">
      <c r="A1461" s="14" t="s">
        <v>7371</v>
      </c>
      <c r="B1461" s="15" t="s">
        <v>1264</v>
      </c>
      <c r="C1461" s="15" t="s">
        <v>7361</v>
      </c>
      <c r="D1461" s="15" t="s">
        <v>7362</v>
      </c>
      <c r="E1461" s="15" t="s">
        <v>7372</v>
      </c>
    </row>
    <row r="1462" spans="1:5" ht="25.5" x14ac:dyDescent="0.2">
      <c r="A1462" s="14" t="s">
        <v>7373</v>
      </c>
      <c r="B1462" s="15" t="s">
        <v>7374</v>
      </c>
      <c r="C1462" s="15" t="s">
        <v>7103</v>
      </c>
      <c r="D1462" s="15" t="s">
        <v>7104</v>
      </c>
      <c r="E1462" s="15" t="s">
        <v>7375</v>
      </c>
    </row>
    <row r="1463" spans="1:5" ht="25.5" x14ac:dyDescent="0.2">
      <c r="A1463" s="14" t="s">
        <v>7376</v>
      </c>
      <c r="B1463" s="15" t="s">
        <v>7377</v>
      </c>
      <c r="C1463" s="15" t="s">
        <v>7378</v>
      </c>
      <c r="D1463" s="15" t="s">
        <v>7379</v>
      </c>
      <c r="E1463" s="15" t="s">
        <v>7380</v>
      </c>
    </row>
    <row r="1464" spans="1:5" ht="25.5" x14ac:dyDescent="0.2">
      <c r="A1464" s="14" t="s">
        <v>7381</v>
      </c>
      <c r="B1464" s="15" t="s">
        <v>531</v>
      </c>
      <c r="C1464" s="15" t="s">
        <v>7378</v>
      </c>
      <c r="D1464" s="15" t="s">
        <v>7379</v>
      </c>
      <c r="E1464" s="15" t="s">
        <v>7382</v>
      </c>
    </row>
    <row r="1465" spans="1:5" ht="25.5" x14ac:dyDescent="0.2">
      <c r="A1465" s="14" t="s">
        <v>7383</v>
      </c>
      <c r="B1465" s="15" t="s">
        <v>1106</v>
      </c>
      <c r="C1465" s="15" t="s">
        <v>7378</v>
      </c>
      <c r="D1465" s="15" t="s">
        <v>7379</v>
      </c>
      <c r="E1465" s="15" t="s">
        <v>7384</v>
      </c>
    </row>
    <row r="1466" spans="1:5" ht="38.25" x14ac:dyDescent="0.2">
      <c r="A1466" s="14" t="s">
        <v>7385</v>
      </c>
      <c r="B1466" s="15" t="s">
        <v>7386</v>
      </c>
      <c r="C1466" s="15" t="s">
        <v>7378</v>
      </c>
      <c r="D1466" s="15" t="s">
        <v>7379</v>
      </c>
      <c r="E1466" s="15" t="s">
        <v>7387</v>
      </c>
    </row>
    <row r="1467" spans="1:5" ht="25.5" x14ac:dyDescent="0.2">
      <c r="A1467" s="14" t="s">
        <v>7388</v>
      </c>
      <c r="B1467" s="15" t="s">
        <v>7389</v>
      </c>
      <c r="C1467" s="15" t="s">
        <v>7378</v>
      </c>
      <c r="D1467" s="15" t="s">
        <v>7379</v>
      </c>
      <c r="E1467" s="15" t="s">
        <v>7390</v>
      </c>
    </row>
    <row r="1468" spans="1:5" ht="25.5" x14ac:dyDescent="0.2">
      <c r="A1468" s="14" t="s">
        <v>7391</v>
      </c>
      <c r="B1468" s="15" t="s">
        <v>7392</v>
      </c>
      <c r="C1468" s="15" t="s">
        <v>7378</v>
      </c>
      <c r="D1468" s="15" t="s">
        <v>7379</v>
      </c>
      <c r="E1468" s="15" t="s">
        <v>7393</v>
      </c>
    </row>
    <row r="1469" spans="1:5" ht="25.5" x14ac:dyDescent="0.2">
      <c r="A1469" s="14" t="s">
        <v>7394</v>
      </c>
      <c r="B1469" s="15" t="s">
        <v>7395</v>
      </c>
      <c r="C1469" s="15" t="s">
        <v>7378</v>
      </c>
      <c r="D1469" s="15" t="s">
        <v>7379</v>
      </c>
      <c r="E1469" s="15" t="s">
        <v>7396</v>
      </c>
    </row>
    <row r="1470" spans="1:5" ht="25.5" x14ac:dyDescent="0.2">
      <c r="A1470" s="14" t="s">
        <v>7397</v>
      </c>
      <c r="B1470" s="15" t="s">
        <v>1245</v>
      </c>
      <c r="C1470" s="15" t="s">
        <v>7378</v>
      </c>
      <c r="D1470" s="15" t="s">
        <v>7379</v>
      </c>
      <c r="E1470" s="15" t="s">
        <v>7398</v>
      </c>
    </row>
    <row r="1471" spans="1:5" ht="25.5" x14ac:dyDescent="0.2">
      <c r="A1471" s="14" t="s">
        <v>7399</v>
      </c>
      <c r="B1471" s="15" t="s">
        <v>7400</v>
      </c>
      <c r="C1471" s="15" t="s">
        <v>7378</v>
      </c>
      <c r="D1471" s="15" t="s">
        <v>7379</v>
      </c>
      <c r="E1471" s="15" t="s">
        <v>7401</v>
      </c>
    </row>
    <row r="1472" spans="1:5" ht="25.5" x14ac:dyDescent="0.2">
      <c r="A1472" s="14" t="s">
        <v>7402</v>
      </c>
      <c r="B1472" s="15" t="s">
        <v>7403</v>
      </c>
      <c r="C1472" s="15" t="s">
        <v>7378</v>
      </c>
      <c r="D1472" s="15" t="s">
        <v>7379</v>
      </c>
      <c r="E1472" s="15" t="s">
        <v>7404</v>
      </c>
    </row>
    <row r="1473" spans="1:5" ht="25.5" x14ac:dyDescent="0.2">
      <c r="A1473" s="14" t="s">
        <v>7405</v>
      </c>
      <c r="B1473" s="15" t="s">
        <v>7406</v>
      </c>
      <c r="C1473" s="15" t="s">
        <v>7407</v>
      </c>
      <c r="D1473" s="15" t="s">
        <v>7408</v>
      </c>
      <c r="E1473" s="15" t="s">
        <v>7409</v>
      </c>
    </row>
    <row r="1474" spans="1:5" ht="25.5" x14ac:dyDescent="0.2">
      <c r="A1474" s="14" t="s">
        <v>7410</v>
      </c>
      <c r="B1474" s="15" t="s">
        <v>7411</v>
      </c>
      <c r="C1474" s="15" t="s">
        <v>7407</v>
      </c>
      <c r="D1474" s="15" t="s">
        <v>7408</v>
      </c>
      <c r="E1474" s="15" t="s">
        <v>7412</v>
      </c>
    </row>
    <row r="1475" spans="1:5" ht="25.5" x14ac:dyDescent="0.2">
      <c r="A1475" s="14" t="s">
        <v>7413</v>
      </c>
      <c r="B1475" s="15" t="s">
        <v>962</v>
      </c>
      <c r="C1475" s="15" t="s">
        <v>7407</v>
      </c>
      <c r="D1475" s="15" t="s">
        <v>7408</v>
      </c>
      <c r="E1475" s="15" t="s">
        <v>7414</v>
      </c>
    </row>
    <row r="1476" spans="1:5" ht="25.5" x14ac:dyDescent="0.2">
      <c r="A1476" s="14" t="s">
        <v>7415</v>
      </c>
      <c r="B1476" s="15" t="s">
        <v>7416</v>
      </c>
      <c r="C1476" s="15" t="s">
        <v>7407</v>
      </c>
      <c r="D1476" s="15" t="s">
        <v>7408</v>
      </c>
      <c r="E1476" s="15" t="s">
        <v>7417</v>
      </c>
    </row>
    <row r="1477" spans="1:5" ht="25.5" x14ac:dyDescent="0.2">
      <c r="A1477" s="14" t="s">
        <v>7418</v>
      </c>
      <c r="B1477" s="15" t="s">
        <v>1127</v>
      </c>
      <c r="C1477" s="15" t="s">
        <v>7407</v>
      </c>
      <c r="D1477" s="15" t="s">
        <v>7408</v>
      </c>
      <c r="E1477" s="15" t="s">
        <v>7419</v>
      </c>
    </row>
    <row r="1478" spans="1:5" ht="25.5" x14ac:dyDescent="0.2">
      <c r="A1478" s="14" t="s">
        <v>7420</v>
      </c>
      <c r="B1478" s="15" t="s">
        <v>7421</v>
      </c>
      <c r="C1478" s="15" t="s">
        <v>7407</v>
      </c>
      <c r="D1478" s="15" t="s">
        <v>7408</v>
      </c>
      <c r="E1478" s="15" t="s">
        <v>7422</v>
      </c>
    </row>
    <row r="1479" spans="1:5" ht="25.5" x14ac:dyDescent="0.2">
      <c r="A1479" s="14" t="s">
        <v>7423</v>
      </c>
      <c r="B1479" s="15" t="s">
        <v>1576</v>
      </c>
      <c r="C1479" s="15" t="s">
        <v>7407</v>
      </c>
      <c r="D1479" s="15" t="s">
        <v>7408</v>
      </c>
      <c r="E1479" s="15" t="s">
        <v>7424</v>
      </c>
    </row>
    <row r="1480" spans="1:5" ht="25.5" x14ac:dyDescent="0.2">
      <c r="A1480" s="14" t="s">
        <v>7425</v>
      </c>
      <c r="B1480" s="15" t="s">
        <v>7426</v>
      </c>
      <c r="C1480" s="15" t="s">
        <v>7407</v>
      </c>
      <c r="D1480" s="15" t="s">
        <v>7408</v>
      </c>
      <c r="E1480" s="15" t="s">
        <v>7427</v>
      </c>
    </row>
    <row r="1481" spans="1:5" ht="25.5" x14ac:dyDescent="0.2">
      <c r="A1481" s="14" t="s">
        <v>7428</v>
      </c>
      <c r="B1481" s="15" t="s">
        <v>7429</v>
      </c>
      <c r="C1481" s="15" t="s">
        <v>7407</v>
      </c>
      <c r="D1481" s="15" t="s">
        <v>7408</v>
      </c>
      <c r="E1481" s="15" t="s">
        <v>7430</v>
      </c>
    </row>
    <row r="1482" spans="1:5" ht="25.5" x14ac:dyDescent="0.2">
      <c r="A1482" s="14" t="s">
        <v>7431</v>
      </c>
      <c r="B1482" s="15" t="s">
        <v>7432</v>
      </c>
      <c r="C1482" s="15" t="s">
        <v>7407</v>
      </c>
      <c r="D1482" s="15" t="s">
        <v>7408</v>
      </c>
      <c r="E1482" s="15" t="s">
        <v>7433</v>
      </c>
    </row>
    <row r="1483" spans="1:5" ht="25.5" x14ac:dyDescent="0.2">
      <c r="A1483" s="14" t="s">
        <v>7434</v>
      </c>
      <c r="B1483" s="15" t="s">
        <v>7435</v>
      </c>
      <c r="C1483" s="15" t="s">
        <v>7407</v>
      </c>
      <c r="D1483" s="15" t="s">
        <v>7408</v>
      </c>
      <c r="E1483" s="15" t="s">
        <v>7436</v>
      </c>
    </row>
    <row r="1484" spans="1:5" ht="25.5" x14ac:dyDescent="0.2">
      <c r="A1484" s="14" t="s">
        <v>7437</v>
      </c>
      <c r="B1484" s="15" t="s">
        <v>7438</v>
      </c>
      <c r="C1484" s="15" t="s">
        <v>7407</v>
      </c>
      <c r="D1484" s="15" t="s">
        <v>7408</v>
      </c>
      <c r="E1484" s="15" t="s">
        <v>7439</v>
      </c>
    </row>
    <row r="1485" spans="1:5" ht="25.5" x14ac:dyDescent="0.2">
      <c r="A1485" s="14" t="s">
        <v>7440</v>
      </c>
      <c r="B1485" s="15" t="s">
        <v>7441</v>
      </c>
      <c r="C1485" s="15" t="s">
        <v>7407</v>
      </c>
      <c r="D1485" s="15" t="s">
        <v>7408</v>
      </c>
      <c r="E1485" s="15" t="s">
        <v>7442</v>
      </c>
    </row>
    <row r="1486" spans="1:5" ht="25.5" x14ac:dyDescent="0.2">
      <c r="A1486" s="14" t="s">
        <v>7443</v>
      </c>
      <c r="B1486" s="15" t="s">
        <v>7444</v>
      </c>
      <c r="C1486" s="15" t="s">
        <v>7407</v>
      </c>
      <c r="D1486" s="15" t="s">
        <v>7408</v>
      </c>
      <c r="E1486" s="15" t="s">
        <v>7445</v>
      </c>
    </row>
    <row r="1487" spans="1:5" ht="25.5" x14ac:dyDescent="0.2">
      <c r="A1487" s="14" t="s">
        <v>7446</v>
      </c>
      <c r="B1487" s="15" t="s">
        <v>7447</v>
      </c>
      <c r="C1487" s="15" t="s">
        <v>7407</v>
      </c>
      <c r="D1487" s="15" t="s">
        <v>7408</v>
      </c>
      <c r="E1487" s="15" t="s">
        <v>7448</v>
      </c>
    </row>
    <row r="1488" spans="1:5" ht="25.5" x14ac:dyDescent="0.2">
      <c r="A1488" s="14" t="s">
        <v>7449</v>
      </c>
      <c r="B1488" s="15" t="s">
        <v>1130</v>
      </c>
      <c r="C1488" s="15" t="s">
        <v>7407</v>
      </c>
      <c r="D1488" s="15" t="s">
        <v>7408</v>
      </c>
      <c r="E1488" s="15" t="s">
        <v>7450</v>
      </c>
    </row>
    <row r="1489" spans="1:5" ht="25.5" x14ac:dyDescent="0.2">
      <c r="A1489" s="14" t="s">
        <v>7451</v>
      </c>
      <c r="B1489" s="15" t="s">
        <v>1129</v>
      </c>
      <c r="C1489" s="15" t="s">
        <v>7407</v>
      </c>
      <c r="D1489" s="15" t="s">
        <v>7408</v>
      </c>
      <c r="E1489" s="15" t="s">
        <v>7452</v>
      </c>
    </row>
    <row r="1490" spans="1:5" ht="25.5" x14ac:dyDescent="0.2">
      <c r="A1490" s="14" t="s">
        <v>7453</v>
      </c>
      <c r="B1490" s="15" t="s">
        <v>214</v>
      </c>
      <c r="C1490" s="15" t="s">
        <v>7454</v>
      </c>
      <c r="D1490" s="15" t="s">
        <v>7455</v>
      </c>
      <c r="E1490" s="15" t="s">
        <v>7456</v>
      </c>
    </row>
    <row r="1491" spans="1:5" ht="25.5" x14ac:dyDescent="0.2">
      <c r="A1491" s="14" t="s">
        <v>7457</v>
      </c>
      <c r="B1491" s="15" t="s">
        <v>1450</v>
      </c>
      <c r="C1491" s="15" t="s">
        <v>7454</v>
      </c>
      <c r="D1491" s="15" t="s">
        <v>7455</v>
      </c>
      <c r="E1491" s="15" t="s">
        <v>7458</v>
      </c>
    </row>
    <row r="1492" spans="1:5" ht="25.5" x14ac:dyDescent="0.2">
      <c r="A1492" s="14" t="s">
        <v>7459</v>
      </c>
      <c r="B1492" s="15" t="s">
        <v>1282</v>
      </c>
      <c r="C1492" s="15" t="s">
        <v>7460</v>
      </c>
      <c r="D1492" s="15" t="s">
        <v>7461</v>
      </c>
      <c r="E1492" s="15" t="s">
        <v>7462</v>
      </c>
    </row>
    <row r="1493" spans="1:5" ht="25.5" x14ac:dyDescent="0.2">
      <c r="A1493" s="14" t="s">
        <v>7463</v>
      </c>
      <c r="B1493" s="15" t="s">
        <v>5</v>
      </c>
      <c r="C1493" s="15" t="s">
        <v>7460</v>
      </c>
      <c r="D1493" s="15" t="s">
        <v>7461</v>
      </c>
      <c r="E1493" s="15" t="s">
        <v>7464</v>
      </c>
    </row>
    <row r="1494" spans="1:5" ht="25.5" x14ac:dyDescent="0.2">
      <c r="A1494" s="14" t="s">
        <v>7465</v>
      </c>
      <c r="B1494" s="15" t="s">
        <v>1132</v>
      </c>
      <c r="C1494" s="15" t="s">
        <v>7460</v>
      </c>
      <c r="D1494" s="15" t="s">
        <v>7461</v>
      </c>
      <c r="E1494" s="15" t="s">
        <v>7466</v>
      </c>
    </row>
    <row r="1495" spans="1:5" ht="25.5" x14ac:dyDescent="0.2">
      <c r="A1495" s="14" t="s">
        <v>7467</v>
      </c>
      <c r="B1495" s="15" t="s">
        <v>4</v>
      </c>
      <c r="C1495" s="15" t="s">
        <v>7460</v>
      </c>
      <c r="D1495" s="15" t="s">
        <v>7461</v>
      </c>
      <c r="E1495" s="15" t="s">
        <v>7468</v>
      </c>
    </row>
    <row r="1496" spans="1:5" ht="25.5" x14ac:dyDescent="0.2">
      <c r="A1496" s="14" t="s">
        <v>7469</v>
      </c>
      <c r="B1496" s="15" t="s">
        <v>341</v>
      </c>
      <c r="C1496" s="15" t="s">
        <v>7470</v>
      </c>
      <c r="D1496" s="15" t="s">
        <v>7471</v>
      </c>
      <c r="E1496" s="15" t="s">
        <v>7472</v>
      </c>
    </row>
    <row r="1497" spans="1:5" ht="25.5" x14ac:dyDescent="0.2">
      <c r="A1497" s="14" t="s">
        <v>7473</v>
      </c>
      <c r="B1497" s="15" t="s">
        <v>749</v>
      </c>
      <c r="C1497" s="15" t="s">
        <v>7470</v>
      </c>
      <c r="D1497" s="15" t="s">
        <v>7471</v>
      </c>
      <c r="E1497" s="15" t="s">
        <v>7474</v>
      </c>
    </row>
    <row r="1498" spans="1:5" ht="25.5" x14ac:dyDescent="0.2">
      <c r="A1498" s="14" t="s">
        <v>7475</v>
      </c>
      <c r="B1498" s="15" t="s">
        <v>822</v>
      </c>
      <c r="C1498" s="15" t="s">
        <v>7470</v>
      </c>
      <c r="D1498" s="15" t="s">
        <v>7471</v>
      </c>
      <c r="E1498" s="15" t="s">
        <v>7476</v>
      </c>
    </row>
    <row r="1499" spans="1:5" ht="25.5" x14ac:dyDescent="0.2">
      <c r="A1499" s="14" t="s">
        <v>7477</v>
      </c>
      <c r="B1499" s="15" t="s">
        <v>365</v>
      </c>
      <c r="C1499" s="15" t="s">
        <v>7470</v>
      </c>
      <c r="D1499" s="15" t="s">
        <v>7471</v>
      </c>
      <c r="E1499" s="15" t="s">
        <v>7478</v>
      </c>
    </row>
    <row r="1500" spans="1:5" ht="25.5" x14ac:dyDescent="0.2">
      <c r="A1500" s="14" t="s">
        <v>7479</v>
      </c>
      <c r="B1500" s="15" t="s">
        <v>544</v>
      </c>
      <c r="C1500" s="15" t="s">
        <v>7470</v>
      </c>
      <c r="D1500" s="15" t="s">
        <v>7471</v>
      </c>
      <c r="E1500" s="15" t="s">
        <v>7480</v>
      </c>
    </row>
    <row r="1501" spans="1:5" ht="25.5" x14ac:dyDescent="0.2">
      <c r="A1501" s="14" t="s">
        <v>7481</v>
      </c>
      <c r="B1501" s="15" t="s">
        <v>7482</v>
      </c>
      <c r="C1501" s="15" t="s">
        <v>7470</v>
      </c>
      <c r="D1501" s="15" t="s">
        <v>7471</v>
      </c>
      <c r="E1501" s="15" t="s">
        <v>7483</v>
      </c>
    </row>
    <row r="1502" spans="1:5" ht="25.5" x14ac:dyDescent="0.2">
      <c r="A1502" s="14" t="s">
        <v>7484</v>
      </c>
      <c r="B1502" s="15" t="s">
        <v>540</v>
      </c>
      <c r="C1502" s="15" t="s">
        <v>7470</v>
      </c>
      <c r="D1502" s="15" t="s">
        <v>7471</v>
      </c>
      <c r="E1502" s="15" t="s">
        <v>7485</v>
      </c>
    </row>
    <row r="1503" spans="1:5" ht="25.5" x14ac:dyDescent="0.2">
      <c r="A1503" s="14" t="s">
        <v>7486</v>
      </c>
      <c r="B1503" s="15" t="s">
        <v>1275</v>
      </c>
      <c r="C1503" s="15" t="s">
        <v>7470</v>
      </c>
      <c r="D1503" s="15" t="s">
        <v>7471</v>
      </c>
      <c r="E1503" s="15" t="s">
        <v>7487</v>
      </c>
    </row>
    <row r="1504" spans="1:5" ht="25.5" x14ac:dyDescent="0.2">
      <c r="A1504" s="14" t="s">
        <v>7488</v>
      </c>
      <c r="B1504" s="15" t="s">
        <v>1047</v>
      </c>
      <c r="C1504" s="15" t="s">
        <v>7049</v>
      </c>
      <c r="D1504" s="15" t="s">
        <v>7050</v>
      </c>
      <c r="E1504" s="15" t="s">
        <v>7489</v>
      </c>
    </row>
    <row r="1505" spans="1:5" ht="25.5" x14ac:dyDescent="0.2">
      <c r="A1505" s="14" t="s">
        <v>7490</v>
      </c>
      <c r="B1505" s="15" t="s">
        <v>7491</v>
      </c>
      <c r="C1505" s="15" t="s">
        <v>7049</v>
      </c>
      <c r="D1505" s="15" t="s">
        <v>7050</v>
      </c>
      <c r="E1505" s="15" t="s">
        <v>7492</v>
      </c>
    </row>
    <row r="1506" spans="1:5" ht="25.5" x14ac:dyDescent="0.2">
      <c r="A1506" s="14" t="s">
        <v>7493</v>
      </c>
      <c r="B1506" s="15" t="s">
        <v>930</v>
      </c>
      <c r="C1506" s="15" t="s">
        <v>7049</v>
      </c>
      <c r="D1506" s="15" t="s">
        <v>7050</v>
      </c>
      <c r="E1506" s="15" t="s">
        <v>7494</v>
      </c>
    </row>
    <row r="1507" spans="1:5" ht="25.5" x14ac:dyDescent="0.2">
      <c r="A1507" s="14" t="s">
        <v>7495</v>
      </c>
      <c r="B1507" s="15" t="s">
        <v>817</v>
      </c>
      <c r="C1507" s="15" t="s">
        <v>7109</v>
      </c>
      <c r="D1507" s="15" t="s">
        <v>7110</v>
      </c>
      <c r="E1507" s="15" t="s">
        <v>7496</v>
      </c>
    </row>
    <row r="1508" spans="1:5" ht="25.5" x14ac:dyDescent="0.2">
      <c r="A1508" s="14" t="s">
        <v>7497</v>
      </c>
      <c r="B1508" s="15" t="s">
        <v>815</v>
      </c>
      <c r="C1508" s="15" t="s">
        <v>7190</v>
      </c>
      <c r="D1508" s="15" t="s">
        <v>7191</v>
      </c>
      <c r="E1508" s="15" t="s">
        <v>7498</v>
      </c>
    </row>
    <row r="1509" spans="1:5" ht="25.5" x14ac:dyDescent="0.2">
      <c r="A1509" s="14" t="s">
        <v>7499</v>
      </c>
      <c r="B1509" s="15" t="s">
        <v>7500</v>
      </c>
      <c r="C1509" s="15" t="s">
        <v>4850</v>
      </c>
      <c r="D1509" s="15" t="s">
        <v>4851</v>
      </c>
      <c r="E1509" s="15" t="s">
        <v>7501</v>
      </c>
    </row>
    <row r="1510" spans="1:5" ht="25.5" x14ac:dyDescent="0.2">
      <c r="A1510" s="14" t="s">
        <v>7502</v>
      </c>
      <c r="B1510" s="15" t="s">
        <v>1262</v>
      </c>
      <c r="C1510" s="15" t="s">
        <v>3303</v>
      </c>
      <c r="D1510" s="15" t="s">
        <v>3304</v>
      </c>
      <c r="E1510" s="15" t="s">
        <v>7503</v>
      </c>
    </row>
    <row r="1511" spans="1:5" ht="25.5" x14ac:dyDescent="0.2">
      <c r="A1511" s="14" t="s">
        <v>7504</v>
      </c>
      <c r="B1511" s="15" t="s">
        <v>7505</v>
      </c>
      <c r="C1511" s="15" t="s">
        <v>4800</v>
      </c>
      <c r="D1511" s="15" t="s">
        <v>4801</v>
      </c>
      <c r="E1511" s="15" t="s">
        <v>7506</v>
      </c>
    </row>
    <row r="1512" spans="1:5" ht="25.5" x14ac:dyDescent="0.2">
      <c r="A1512" s="14" t="s">
        <v>7507</v>
      </c>
      <c r="B1512" s="15" t="s">
        <v>7508</v>
      </c>
      <c r="C1512" s="15" t="s">
        <v>4800</v>
      </c>
      <c r="D1512" s="15" t="s">
        <v>4801</v>
      </c>
      <c r="E1512" s="15" t="s">
        <v>7509</v>
      </c>
    </row>
    <row r="1513" spans="1:5" ht="25.5" x14ac:dyDescent="0.2">
      <c r="A1513" s="14" t="s">
        <v>7510</v>
      </c>
      <c r="B1513" s="15" t="s">
        <v>7511</v>
      </c>
      <c r="C1513" s="15" t="s">
        <v>4800</v>
      </c>
      <c r="D1513" s="15" t="s">
        <v>4801</v>
      </c>
      <c r="E1513" s="15" t="s">
        <v>7512</v>
      </c>
    </row>
    <row r="1514" spans="1:5" ht="25.5" x14ac:dyDescent="0.2">
      <c r="A1514" s="14" t="s">
        <v>7513</v>
      </c>
      <c r="B1514" s="15" t="s">
        <v>7514</v>
      </c>
      <c r="C1514" s="15" t="s">
        <v>4800</v>
      </c>
      <c r="D1514" s="15" t="s">
        <v>4801</v>
      </c>
      <c r="E1514" s="15" t="s">
        <v>7515</v>
      </c>
    </row>
    <row r="1515" spans="1:5" ht="25.5" x14ac:dyDescent="0.2">
      <c r="A1515" s="14" t="s">
        <v>7516</v>
      </c>
      <c r="B1515" s="15" t="s">
        <v>7517</v>
      </c>
      <c r="C1515" s="15" t="s">
        <v>4800</v>
      </c>
      <c r="D1515" s="15" t="s">
        <v>4801</v>
      </c>
      <c r="E1515" s="15" t="s">
        <v>7518</v>
      </c>
    </row>
    <row r="1516" spans="1:5" ht="25.5" x14ac:dyDescent="0.2">
      <c r="A1516" s="14" t="s">
        <v>7519</v>
      </c>
      <c r="B1516" s="15" t="s">
        <v>1272</v>
      </c>
      <c r="C1516" s="15" t="s">
        <v>3303</v>
      </c>
      <c r="D1516" s="15" t="s">
        <v>3304</v>
      </c>
      <c r="E1516" s="15" t="s">
        <v>7520</v>
      </c>
    </row>
    <row r="1517" spans="1:5" ht="25.5" x14ac:dyDescent="0.2">
      <c r="A1517" s="14" t="s">
        <v>7521</v>
      </c>
      <c r="B1517" s="15" t="s">
        <v>189</v>
      </c>
      <c r="C1517" s="15" t="s">
        <v>7522</v>
      </c>
      <c r="D1517" s="15" t="s">
        <v>7523</v>
      </c>
      <c r="E1517" s="15" t="s">
        <v>7524</v>
      </c>
    </row>
    <row r="1518" spans="1:5" ht="25.5" x14ac:dyDescent="0.2">
      <c r="A1518" s="14" t="s">
        <v>7525</v>
      </c>
      <c r="B1518" s="15" t="s">
        <v>7526</v>
      </c>
      <c r="C1518" s="15" t="s">
        <v>5409</v>
      </c>
      <c r="D1518" s="15" t="s">
        <v>5410</v>
      </c>
      <c r="E1518" s="15" t="s">
        <v>7527</v>
      </c>
    </row>
    <row r="1519" spans="1:5" ht="25.5" x14ac:dyDescent="0.2">
      <c r="A1519" s="14" t="s">
        <v>7528</v>
      </c>
      <c r="B1519" s="15" t="s">
        <v>426</v>
      </c>
      <c r="C1519" s="15" t="s">
        <v>6990</v>
      </c>
      <c r="D1519" s="15" t="s">
        <v>6991</v>
      </c>
      <c r="E1519" s="15" t="s">
        <v>7529</v>
      </c>
    </row>
    <row r="1520" spans="1:5" ht="38.25" x14ac:dyDescent="0.2">
      <c r="A1520" s="14" t="s">
        <v>7530</v>
      </c>
      <c r="B1520" s="15" t="s">
        <v>7531</v>
      </c>
      <c r="C1520" s="15" t="s">
        <v>5409</v>
      </c>
      <c r="D1520" s="15" t="s">
        <v>5410</v>
      </c>
      <c r="E1520" s="15" t="s">
        <v>7532</v>
      </c>
    </row>
    <row r="1521" spans="1:5" ht="25.5" x14ac:dyDescent="0.2">
      <c r="A1521" s="14" t="s">
        <v>7533</v>
      </c>
      <c r="B1521" s="15" t="s">
        <v>1053</v>
      </c>
      <c r="C1521" s="15" t="s">
        <v>4203</v>
      </c>
      <c r="D1521" s="15" t="s">
        <v>4204</v>
      </c>
      <c r="E1521" s="15" t="s">
        <v>7534</v>
      </c>
    </row>
    <row r="1522" spans="1:5" ht="25.5" x14ac:dyDescent="0.2">
      <c r="A1522" s="14" t="s">
        <v>7535</v>
      </c>
      <c r="B1522" s="15" t="s">
        <v>7536</v>
      </c>
      <c r="C1522" s="15" t="s">
        <v>4792</v>
      </c>
      <c r="D1522" s="15" t="s">
        <v>4793</v>
      </c>
      <c r="E1522" s="15" t="s">
        <v>7537</v>
      </c>
    </row>
    <row r="1523" spans="1:5" ht="25.5" x14ac:dyDescent="0.2">
      <c r="A1523" s="14" t="s">
        <v>7538</v>
      </c>
      <c r="B1523" s="15" t="s">
        <v>7539</v>
      </c>
      <c r="C1523" s="15" t="s">
        <v>4298</v>
      </c>
      <c r="D1523" s="15" t="s">
        <v>4299</v>
      </c>
      <c r="E1523" s="15" t="s">
        <v>7540</v>
      </c>
    </row>
    <row r="1524" spans="1:5" ht="25.5" x14ac:dyDescent="0.2">
      <c r="A1524" s="14" t="s">
        <v>7541</v>
      </c>
      <c r="B1524" s="15" t="s">
        <v>700</v>
      </c>
      <c r="C1524" s="15" t="s">
        <v>4298</v>
      </c>
      <c r="D1524" s="15" t="s">
        <v>4299</v>
      </c>
      <c r="E1524" s="15" t="s">
        <v>7542</v>
      </c>
    </row>
    <row r="1525" spans="1:5" ht="25.5" x14ac:dyDescent="0.2">
      <c r="A1525" s="14" t="s">
        <v>7543</v>
      </c>
      <c r="B1525" s="15" t="s">
        <v>496</v>
      </c>
      <c r="C1525" s="15" t="s">
        <v>4298</v>
      </c>
      <c r="D1525" s="15" t="s">
        <v>4299</v>
      </c>
      <c r="E1525" s="15" t="s">
        <v>7544</v>
      </c>
    </row>
    <row r="1526" spans="1:5" ht="25.5" x14ac:dyDescent="0.2">
      <c r="A1526" s="14" t="s">
        <v>7545</v>
      </c>
      <c r="B1526" s="15" t="s">
        <v>96</v>
      </c>
      <c r="C1526" s="15" t="s">
        <v>4298</v>
      </c>
      <c r="D1526" s="15" t="s">
        <v>4299</v>
      </c>
      <c r="E1526" s="15" t="s">
        <v>7546</v>
      </c>
    </row>
    <row r="1527" spans="1:5" ht="25.5" x14ac:dyDescent="0.2">
      <c r="A1527" s="14" t="s">
        <v>7547</v>
      </c>
      <c r="B1527" s="15" t="s">
        <v>497</v>
      </c>
      <c r="C1527" s="15" t="s">
        <v>4298</v>
      </c>
      <c r="D1527" s="15" t="s">
        <v>4299</v>
      </c>
      <c r="E1527" s="15" t="s">
        <v>7548</v>
      </c>
    </row>
    <row r="1528" spans="1:5" ht="25.5" x14ac:dyDescent="0.2">
      <c r="A1528" s="14" t="s">
        <v>7549</v>
      </c>
      <c r="B1528" s="15" t="s">
        <v>532</v>
      </c>
      <c r="C1528" s="15" t="s">
        <v>4298</v>
      </c>
      <c r="D1528" s="15" t="s">
        <v>4299</v>
      </c>
      <c r="E1528" s="15" t="s">
        <v>7550</v>
      </c>
    </row>
    <row r="1529" spans="1:5" ht="25.5" x14ac:dyDescent="0.2">
      <c r="A1529" s="14" t="s">
        <v>7551</v>
      </c>
      <c r="B1529" s="15" t="s">
        <v>7552</v>
      </c>
      <c r="C1529" s="15" t="s">
        <v>4298</v>
      </c>
      <c r="D1529" s="15" t="s">
        <v>4299</v>
      </c>
      <c r="E1529" s="15" t="s">
        <v>7553</v>
      </c>
    </row>
    <row r="1530" spans="1:5" ht="25.5" x14ac:dyDescent="0.2">
      <c r="A1530" s="14" t="s">
        <v>7554</v>
      </c>
      <c r="B1530" s="15" t="s">
        <v>533</v>
      </c>
      <c r="C1530" s="15" t="s">
        <v>4298</v>
      </c>
      <c r="D1530" s="15" t="s">
        <v>4299</v>
      </c>
      <c r="E1530" s="15" t="s">
        <v>7555</v>
      </c>
    </row>
    <row r="1531" spans="1:5" ht="38.25" x14ac:dyDescent="0.2">
      <c r="A1531" s="14" t="s">
        <v>7556</v>
      </c>
      <c r="B1531" s="15" t="s">
        <v>7557</v>
      </c>
      <c r="C1531" s="15" t="s">
        <v>4298</v>
      </c>
      <c r="D1531" s="15" t="s">
        <v>4299</v>
      </c>
      <c r="E1531" s="15" t="s">
        <v>7558</v>
      </c>
    </row>
    <row r="1532" spans="1:5" ht="25.5" x14ac:dyDescent="0.2">
      <c r="A1532" s="14" t="s">
        <v>7559</v>
      </c>
      <c r="B1532" s="15" t="s">
        <v>7560</v>
      </c>
      <c r="C1532" s="15" t="s">
        <v>4203</v>
      </c>
      <c r="D1532" s="15" t="s">
        <v>4204</v>
      </c>
      <c r="E1532" s="15" t="s">
        <v>7561</v>
      </c>
    </row>
    <row r="1533" spans="1:5" ht="25.5" x14ac:dyDescent="0.2">
      <c r="A1533" s="14" t="s">
        <v>7562</v>
      </c>
      <c r="B1533" s="15" t="s">
        <v>187</v>
      </c>
      <c r="C1533" s="15" t="s">
        <v>3395</v>
      </c>
      <c r="D1533" s="15" t="s">
        <v>3396</v>
      </c>
      <c r="E1533" s="15" t="s">
        <v>7563</v>
      </c>
    </row>
    <row r="1534" spans="1:5" ht="25.5" x14ac:dyDescent="0.2">
      <c r="A1534" s="14" t="s">
        <v>7564</v>
      </c>
      <c r="B1534" s="15" t="s">
        <v>1521</v>
      </c>
      <c r="C1534" s="15" t="s">
        <v>4132</v>
      </c>
      <c r="D1534" s="15" t="s">
        <v>4133</v>
      </c>
      <c r="E1534" s="15" t="s">
        <v>7565</v>
      </c>
    </row>
    <row r="1535" spans="1:5" ht="25.5" x14ac:dyDescent="0.2">
      <c r="A1535" s="14" t="s">
        <v>7566</v>
      </c>
      <c r="B1535" s="15" t="s">
        <v>1109</v>
      </c>
      <c r="C1535" s="15" t="s">
        <v>4132</v>
      </c>
      <c r="D1535" s="15" t="s">
        <v>4133</v>
      </c>
      <c r="E1535" s="15" t="s">
        <v>7567</v>
      </c>
    </row>
    <row r="1536" spans="1:5" ht="25.5" x14ac:dyDescent="0.2">
      <c r="A1536" s="14" t="s">
        <v>7568</v>
      </c>
      <c r="B1536" s="15" t="s">
        <v>7569</v>
      </c>
      <c r="C1536" s="15" t="s">
        <v>4132</v>
      </c>
      <c r="D1536" s="15" t="s">
        <v>4133</v>
      </c>
      <c r="E1536" s="15" t="s">
        <v>7570</v>
      </c>
    </row>
    <row r="1537" spans="1:5" ht="25.5" x14ac:dyDescent="0.2">
      <c r="A1537" s="14" t="s">
        <v>7571</v>
      </c>
      <c r="B1537" s="15" t="s">
        <v>45</v>
      </c>
      <c r="C1537" s="15" t="s">
        <v>4132</v>
      </c>
      <c r="D1537" s="15" t="s">
        <v>4133</v>
      </c>
      <c r="E1537" s="15" t="s">
        <v>7572</v>
      </c>
    </row>
    <row r="1538" spans="1:5" ht="25.5" x14ac:dyDescent="0.2">
      <c r="A1538" s="14" t="s">
        <v>7573</v>
      </c>
      <c r="B1538" s="15" t="s">
        <v>7574</v>
      </c>
      <c r="C1538" s="15" t="s">
        <v>4132</v>
      </c>
      <c r="D1538" s="15" t="s">
        <v>4133</v>
      </c>
      <c r="E1538" s="15" t="s">
        <v>7575</v>
      </c>
    </row>
    <row r="1539" spans="1:5" ht="25.5" x14ac:dyDescent="0.2">
      <c r="A1539" s="14" t="s">
        <v>7576</v>
      </c>
      <c r="B1539" s="15" t="s">
        <v>7577</v>
      </c>
      <c r="C1539" s="15" t="s">
        <v>4132</v>
      </c>
      <c r="D1539" s="15" t="s">
        <v>4133</v>
      </c>
      <c r="E1539" s="15" t="s">
        <v>7578</v>
      </c>
    </row>
    <row r="1540" spans="1:5" ht="25.5" x14ac:dyDescent="0.2">
      <c r="A1540" s="14" t="s">
        <v>7579</v>
      </c>
      <c r="B1540" s="15" t="s">
        <v>368</v>
      </c>
      <c r="C1540" s="15" t="s">
        <v>4132</v>
      </c>
      <c r="D1540" s="15" t="s">
        <v>4133</v>
      </c>
      <c r="E1540" s="15" t="s">
        <v>7580</v>
      </c>
    </row>
    <row r="1541" spans="1:5" ht="25.5" x14ac:dyDescent="0.2">
      <c r="A1541" s="14" t="s">
        <v>7581</v>
      </c>
      <c r="B1541" s="15" t="s">
        <v>807</v>
      </c>
      <c r="C1541" s="15" t="s">
        <v>4132</v>
      </c>
      <c r="D1541" s="15" t="s">
        <v>4133</v>
      </c>
      <c r="E1541" s="15" t="s">
        <v>7582</v>
      </c>
    </row>
    <row r="1542" spans="1:5" ht="25.5" x14ac:dyDescent="0.2">
      <c r="A1542" s="14" t="s">
        <v>7583</v>
      </c>
      <c r="B1542" s="15" t="s">
        <v>1462</v>
      </c>
      <c r="C1542" s="15" t="s">
        <v>4132</v>
      </c>
      <c r="D1542" s="15" t="s">
        <v>4133</v>
      </c>
      <c r="E1542" s="15" t="s">
        <v>7584</v>
      </c>
    </row>
    <row r="1543" spans="1:5" ht="25.5" x14ac:dyDescent="0.2">
      <c r="A1543" s="14" t="s">
        <v>7585</v>
      </c>
      <c r="B1543" s="15" t="s">
        <v>1512</v>
      </c>
      <c r="C1543" s="15" t="s">
        <v>4132</v>
      </c>
      <c r="D1543" s="15" t="s">
        <v>4133</v>
      </c>
      <c r="E1543" s="15" t="s">
        <v>7586</v>
      </c>
    </row>
    <row r="1544" spans="1:5" ht="25.5" x14ac:dyDescent="0.2">
      <c r="A1544" s="14" t="s">
        <v>7587</v>
      </c>
      <c r="B1544" s="15" t="s">
        <v>1112</v>
      </c>
      <c r="C1544" s="15" t="s">
        <v>4132</v>
      </c>
      <c r="D1544" s="15" t="s">
        <v>4133</v>
      </c>
      <c r="E1544" s="15" t="s">
        <v>7588</v>
      </c>
    </row>
    <row r="1545" spans="1:5" ht="25.5" x14ac:dyDescent="0.2">
      <c r="A1545" s="14" t="s">
        <v>7589</v>
      </c>
      <c r="B1545" s="15" t="s">
        <v>555</v>
      </c>
      <c r="C1545" s="15" t="s">
        <v>4132</v>
      </c>
      <c r="D1545" s="15" t="s">
        <v>4133</v>
      </c>
      <c r="E1545" s="15" t="s">
        <v>7590</v>
      </c>
    </row>
    <row r="1546" spans="1:5" ht="25.5" x14ac:dyDescent="0.2">
      <c r="A1546" s="14" t="s">
        <v>7591</v>
      </c>
      <c r="B1546" s="15" t="s">
        <v>442</v>
      </c>
      <c r="C1546" s="15" t="s">
        <v>4132</v>
      </c>
      <c r="D1546" s="15" t="s">
        <v>4133</v>
      </c>
      <c r="E1546" s="15" t="s">
        <v>7592</v>
      </c>
    </row>
    <row r="1547" spans="1:5" ht="25.5" x14ac:dyDescent="0.2">
      <c r="A1547" s="14" t="s">
        <v>7593</v>
      </c>
      <c r="B1547" s="15" t="s">
        <v>441</v>
      </c>
      <c r="C1547" s="15" t="s">
        <v>4132</v>
      </c>
      <c r="D1547" s="15" t="s">
        <v>4133</v>
      </c>
      <c r="E1547" s="15" t="s">
        <v>7594</v>
      </c>
    </row>
    <row r="1548" spans="1:5" ht="25.5" x14ac:dyDescent="0.2">
      <c r="A1548" s="14" t="s">
        <v>7595</v>
      </c>
      <c r="B1548" s="15" t="s">
        <v>1111</v>
      </c>
      <c r="C1548" s="15" t="s">
        <v>4132</v>
      </c>
      <c r="D1548" s="15" t="s">
        <v>4133</v>
      </c>
      <c r="E1548" s="15" t="s">
        <v>7596</v>
      </c>
    </row>
    <row r="1549" spans="1:5" ht="25.5" x14ac:dyDescent="0.2">
      <c r="A1549" s="14" t="s">
        <v>7597</v>
      </c>
      <c r="B1549" s="15" t="s">
        <v>209</v>
      </c>
      <c r="C1549" s="15" t="s">
        <v>4132</v>
      </c>
      <c r="D1549" s="15" t="s">
        <v>4133</v>
      </c>
      <c r="E1549" s="15" t="s">
        <v>7598</v>
      </c>
    </row>
    <row r="1550" spans="1:5" ht="25.5" x14ac:dyDescent="0.2">
      <c r="A1550" s="14" t="s">
        <v>7599</v>
      </c>
      <c r="B1550" s="15" t="s">
        <v>1263</v>
      </c>
      <c r="C1550" s="15" t="s">
        <v>4132</v>
      </c>
      <c r="D1550" s="15" t="s">
        <v>4133</v>
      </c>
      <c r="E1550" s="15" t="s">
        <v>7600</v>
      </c>
    </row>
    <row r="1551" spans="1:5" ht="25.5" x14ac:dyDescent="0.2">
      <c r="A1551" s="14" t="s">
        <v>7601</v>
      </c>
      <c r="B1551" s="15" t="s">
        <v>1110</v>
      </c>
      <c r="C1551" s="15" t="s">
        <v>4132</v>
      </c>
      <c r="D1551" s="15" t="s">
        <v>4133</v>
      </c>
      <c r="E1551" s="15" t="s">
        <v>7602</v>
      </c>
    </row>
    <row r="1552" spans="1:5" ht="25.5" x14ac:dyDescent="0.2">
      <c r="A1552" s="14" t="s">
        <v>7603</v>
      </c>
      <c r="B1552" s="15" t="s">
        <v>630</v>
      </c>
      <c r="C1552" s="15" t="s">
        <v>5135</v>
      </c>
      <c r="D1552" s="15" t="s">
        <v>5136</v>
      </c>
      <c r="E1552" s="15" t="s">
        <v>7604</v>
      </c>
    </row>
    <row r="1553" spans="1:5" ht="25.5" x14ac:dyDescent="0.2">
      <c r="A1553" s="14" t="s">
        <v>7605</v>
      </c>
      <c r="B1553" s="15" t="s">
        <v>748</v>
      </c>
      <c r="C1553" s="15" t="s">
        <v>3303</v>
      </c>
      <c r="D1553" s="15" t="s">
        <v>3304</v>
      </c>
      <c r="E1553" s="15" t="s">
        <v>7606</v>
      </c>
    </row>
    <row r="1554" spans="1:5" ht="25.5" x14ac:dyDescent="0.2">
      <c r="A1554" s="14" t="s">
        <v>7607</v>
      </c>
      <c r="B1554" s="15" t="s">
        <v>545</v>
      </c>
      <c r="C1554" s="15" t="s">
        <v>3303</v>
      </c>
      <c r="D1554" s="15" t="s">
        <v>3304</v>
      </c>
      <c r="E1554" s="15" t="s">
        <v>7608</v>
      </c>
    </row>
    <row r="1555" spans="1:5" ht="25.5" x14ac:dyDescent="0.2">
      <c r="A1555" s="14" t="s">
        <v>7609</v>
      </c>
      <c r="B1555" s="15" t="s">
        <v>7610</v>
      </c>
      <c r="C1555" s="15" t="s">
        <v>3303</v>
      </c>
      <c r="D1555" s="15" t="s">
        <v>3304</v>
      </c>
      <c r="E1555" s="15" t="s">
        <v>7611</v>
      </c>
    </row>
    <row r="1556" spans="1:5" ht="25.5" x14ac:dyDescent="0.2">
      <c r="A1556" s="14" t="s">
        <v>7612</v>
      </c>
      <c r="B1556" s="15" t="s">
        <v>7613</v>
      </c>
      <c r="C1556" s="15" t="s">
        <v>3303</v>
      </c>
      <c r="D1556" s="15" t="s">
        <v>3304</v>
      </c>
      <c r="E1556" s="15" t="s">
        <v>7614</v>
      </c>
    </row>
    <row r="1557" spans="1:5" ht="25.5" x14ac:dyDescent="0.2">
      <c r="A1557" s="14" t="s">
        <v>7615</v>
      </c>
      <c r="B1557" s="15" t="s">
        <v>1445</v>
      </c>
      <c r="C1557" s="15" t="s">
        <v>7616</v>
      </c>
      <c r="D1557" s="15" t="s">
        <v>7617</v>
      </c>
      <c r="E1557" s="15" t="s">
        <v>7618</v>
      </c>
    </row>
    <row r="1558" spans="1:5" ht="25.5" x14ac:dyDescent="0.2">
      <c r="A1558" s="14" t="s">
        <v>7619</v>
      </c>
      <c r="B1558" s="15" t="s">
        <v>1271</v>
      </c>
      <c r="C1558" s="15" t="s">
        <v>3303</v>
      </c>
      <c r="D1558" s="15" t="s">
        <v>3304</v>
      </c>
      <c r="E1558" s="15" t="s">
        <v>7620</v>
      </c>
    </row>
    <row r="1559" spans="1:5" ht="25.5" x14ac:dyDescent="0.2">
      <c r="A1559" s="14" t="s">
        <v>7621</v>
      </c>
      <c r="B1559" s="15" t="s">
        <v>647</v>
      </c>
      <c r="C1559" s="15" t="s">
        <v>3303</v>
      </c>
      <c r="D1559" s="15" t="s">
        <v>3304</v>
      </c>
      <c r="E1559" s="15" t="s">
        <v>7622</v>
      </c>
    </row>
    <row r="1560" spans="1:5" ht="25.5" x14ac:dyDescent="0.2">
      <c r="A1560" s="14" t="s">
        <v>7623</v>
      </c>
      <c r="B1560" s="15" t="s">
        <v>376</v>
      </c>
      <c r="C1560" s="15" t="s">
        <v>3303</v>
      </c>
      <c r="D1560" s="15" t="s">
        <v>3304</v>
      </c>
      <c r="E1560" s="15" t="s">
        <v>7624</v>
      </c>
    </row>
    <row r="1561" spans="1:5" ht="25.5" x14ac:dyDescent="0.2">
      <c r="A1561" s="14" t="s">
        <v>7625</v>
      </c>
      <c r="B1561" s="15" t="s">
        <v>696</v>
      </c>
      <c r="C1561" s="15" t="s">
        <v>3303</v>
      </c>
      <c r="D1561" s="15" t="s">
        <v>3304</v>
      </c>
      <c r="E1561" s="15" t="s">
        <v>7626</v>
      </c>
    </row>
    <row r="1562" spans="1:5" ht="25.5" x14ac:dyDescent="0.2">
      <c r="A1562" s="14" t="s">
        <v>7627</v>
      </c>
      <c r="B1562" s="15" t="s">
        <v>829</v>
      </c>
      <c r="C1562" s="15" t="s">
        <v>3303</v>
      </c>
      <c r="D1562" s="15" t="s">
        <v>3304</v>
      </c>
      <c r="E1562" s="15" t="s">
        <v>7628</v>
      </c>
    </row>
    <row r="1563" spans="1:5" ht="25.5" x14ac:dyDescent="0.2">
      <c r="A1563" s="14" t="s">
        <v>7629</v>
      </c>
      <c r="B1563" s="15" t="s">
        <v>1499</v>
      </c>
      <c r="C1563" s="15" t="s">
        <v>4764</v>
      </c>
      <c r="D1563" s="15" t="s">
        <v>4765</v>
      </c>
      <c r="E1563" s="15" t="s">
        <v>7630</v>
      </c>
    </row>
    <row r="1564" spans="1:5" ht="25.5" x14ac:dyDescent="0.2">
      <c r="A1564" s="14" t="s">
        <v>7631</v>
      </c>
      <c r="B1564" s="15" t="s">
        <v>1025</v>
      </c>
      <c r="C1564" s="15" t="s">
        <v>5135</v>
      </c>
      <c r="D1564" s="15" t="s">
        <v>5136</v>
      </c>
      <c r="E1564" s="15" t="s">
        <v>7632</v>
      </c>
    </row>
    <row r="1565" spans="1:5" ht="25.5" x14ac:dyDescent="0.2">
      <c r="A1565" s="14" t="s">
        <v>7633</v>
      </c>
      <c r="B1565" s="15" t="s">
        <v>994</v>
      </c>
      <c r="C1565" s="15" t="s">
        <v>7634</v>
      </c>
      <c r="D1565" s="15" t="s">
        <v>7635</v>
      </c>
      <c r="E1565" s="15" t="s">
        <v>7636</v>
      </c>
    </row>
    <row r="1566" spans="1:5" ht="25.5" x14ac:dyDescent="0.2">
      <c r="A1566" s="14" t="s">
        <v>7637</v>
      </c>
      <c r="B1566" s="15" t="s">
        <v>1579</v>
      </c>
      <c r="C1566" s="15" t="s">
        <v>7634</v>
      </c>
      <c r="D1566" s="15" t="s">
        <v>7635</v>
      </c>
      <c r="E1566" s="15" t="s">
        <v>7638</v>
      </c>
    </row>
    <row r="1567" spans="1:5" ht="25.5" x14ac:dyDescent="0.2">
      <c r="A1567" s="14" t="s">
        <v>7639</v>
      </c>
      <c r="B1567" s="15" t="s">
        <v>1070</v>
      </c>
      <c r="C1567" s="15" t="s">
        <v>7634</v>
      </c>
      <c r="D1567" s="15" t="s">
        <v>7635</v>
      </c>
      <c r="E1567" s="15" t="s">
        <v>7640</v>
      </c>
    </row>
    <row r="1568" spans="1:5" ht="25.5" x14ac:dyDescent="0.2">
      <c r="A1568" s="14" t="s">
        <v>7641</v>
      </c>
      <c r="B1568" s="15" t="s">
        <v>7642</v>
      </c>
      <c r="C1568" s="15" t="s">
        <v>7634</v>
      </c>
      <c r="D1568" s="15" t="s">
        <v>7635</v>
      </c>
      <c r="E1568" s="15" t="s">
        <v>7643</v>
      </c>
    </row>
    <row r="1569" spans="1:5" ht="25.5" x14ac:dyDescent="0.2">
      <c r="A1569" s="14" t="s">
        <v>7644</v>
      </c>
      <c r="B1569" s="15" t="s">
        <v>7645</v>
      </c>
      <c r="C1569" s="15" t="s">
        <v>7634</v>
      </c>
      <c r="D1569" s="15" t="s">
        <v>7635</v>
      </c>
      <c r="E1569" s="15" t="s">
        <v>7646</v>
      </c>
    </row>
    <row r="1570" spans="1:5" ht="25.5" x14ac:dyDescent="0.2">
      <c r="A1570" s="14" t="s">
        <v>7647</v>
      </c>
      <c r="B1570" s="15" t="s">
        <v>132</v>
      </c>
      <c r="C1570" s="15" t="s">
        <v>7634</v>
      </c>
      <c r="D1570" s="15" t="s">
        <v>7635</v>
      </c>
      <c r="E1570" s="15" t="s">
        <v>7648</v>
      </c>
    </row>
    <row r="1571" spans="1:5" ht="25.5" x14ac:dyDescent="0.2">
      <c r="A1571" s="14" t="s">
        <v>7649</v>
      </c>
      <c r="B1571" s="15" t="s">
        <v>1605</v>
      </c>
      <c r="C1571" s="15" t="s">
        <v>7634</v>
      </c>
      <c r="D1571" s="15" t="s">
        <v>7635</v>
      </c>
      <c r="E1571" s="15" t="s">
        <v>7650</v>
      </c>
    </row>
    <row r="1572" spans="1:5" ht="25.5" x14ac:dyDescent="0.2">
      <c r="A1572" s="14" t="s">
        <v>7651</v>
      </c>
      <c r="B1572" s="15" t="s">
        <v>7652</v>
      </c>
      <c r="C1572" s="15" t="s">
        <v>7634</v>
      </c>
      <c r="D1572" s="15" t="s">
        <v>7635</v>
      </c>
      <c r="E1572" s="15" t="s">
        <v>7653</v>
      </c>
    </row>
    <row r="1573" spans="1:5" ht="25.5" x14ac:dyDescent="0.2">
      <c r="A1573" s="14" t="s">
        <v>7654</v>
      </c>
      <c r="B1573" s="15" t="s">
        <v>922</v>
      </c>
      <c r="C1573" s="15" t="s">
        <v>7634</v>
      </c>
      <c r="D1573" s="15" t="s">
        <v>7635</v>
      </c>
      <c r="E1573" s="15" t="s">
        <v>7655</v>
      </c>
    </row>
    <row r="1574" spans="1:5" ht="25.5" x14ac:dyDescent="0.2">
      <c r="A1574" s="14" t="s">
        <v>7656</v>
      </c>
      <c r="B1574" s="15" t="s">
        <v>133</v>
      </c>
      <c r="C1574" s="15" t="s">
        <v>7634</v>
      </c>
      <c r="D1574" s="15" t="s">
        <v>7635</v>
      </c>
      <c r="E1574" s="15" t="s">
        <v>7657</v>
      </c>
    </row>
    <row r="1575" spans="1:5" ht="25.5" x14ac:dyDescent="0.2">
      <c r="A1575" s="14" t="s">
        <v>7658</v>
      </c>
      <c r="B1575" s="15" t="s">
        <v>34</v>
      </c>
      <c r="C1575" s="15" t="s">
        <v>7634</v>
      </c>
      <c r="D1575" s="15" t="s">
        <v>7635</v>
      </c>
      <c r="E1575" s="15" t="s">
        <v>7659</v>
      </c>
    </row>
    <row r="1576" spans="1:5" ht="25.5" x14ac:dyDescent="0.2">
      <c r="A1576" s="14" t="s">
        <v>7660</v>
      </c>
      <c r="B1576" s="15" t="s">
        <v>1135</v>
      </c>
      <c r="C1576" s="15" t="s">
        <v>7634</v>
      </c>
      <c r="D1576" s="15" t="s">
        <v>7635</v>
      </c>
      <c r="E1576" s="15" t="s">
        <v>7661</v>
      </c>
    </row>
    <row r="1577" spans="1:5" ht="25.5" x14ac:dyDescent="0.2">
      <c r="A1577" s="14" t="s">
        <v>7662</v>
      </c>
      <c r="B1577" s="15" t="s">
        <v>7663</v>
      </c>
      <c r="C1577" s="15" t="s">
        <v>7634</v>
      </c>
      <c r="D1577" s="15" t="s">
        <v>7635</v>
      </c>
      <c r="E1577" s="15" t="s">
        <v>7664</v>
      </c>
    </row>
    <row r="1578" spans="1:5" ht="25.5" x14ac:dyDescent="0.2">
      <c r="A1578" s="14" t="s">
        <v>7665</v>
      </c>
      <c r="B1578" s="15" t="s">
        <v>135</v>
      </c>
      <c r="C1578" s="15" t="s">
        <v>7634</v>
      </c>
      <c r="D1578" s="15" t="s">
        <v>7635</v>
      </c>
      <c r="E1578" s="15" t="s">
        <v>7666</v>
      </c>
    </row>
    <row r="1579" spans="1:5" ht="25.5" x14ac:dyDescent="0.2">
      <c r="A1579" s="14" t="s">
        <v>7667</v>
      </c>
      <c r="B1579" s="15" t="s">
        <v>467</v>
      </c>
      <c r="C1579" s="15" t="s">
        <v>7634</v>
      </c>
      <c r="D1579" s="15" t="s">
        <v>7635</v>
      </c>
      <c r="E1579" s="15" t="s">
        <v>7668</v>
      </c>
    </row>
    <row r="1580" spans="1:5" ht="25.5" x14ac:dyDescent="0.2">
      <c r="A1580" s="14" t="s">
        <v>7669</v>
      </c>
      <c r="B1580" s="15" t="s">
        <v>1580</v>
      </c>
      <c r="C1580" s="15" t="s">
        <v>7634</v>
      </c>
      <c r="D1580" s="15" t="s">
        <v>7635</v>
      </c>
      <c r="E1580" s="15" t="s">
        <v>7670</v>
      </c>
    </row>
    <row r="1581" spans="1:5" ht="25.5" x14ac:dyDescent="0.2">
      <c r="A1581" s="14" t="s">
        <v>7671</v>
      </c>
      <c r="B1581" s="15" t="s">
        <v>1520</v>
      </c>
      <c r="C1581" s="15" t="s">
        <v>7634</v>
      </c>
      <c r="D1581" s="15" t="s">
        <v>7635</v>
      </c>
      <c r="E1581" s="15" t="s">
        <v>7672</v>
      </c>
    </row>
    <row r="1582" spans="1:5" ht="25.5" x14ac:dyDescent="0.2">
      <c r="A1582" s="14" t="s">
        <v>7673</v>
      </c>
      <c r="B1582" s="15" t="s">
        <v>7674</v>
      </c>
      <c r="C1582" s="15" t="s">
        <v>7634</v>
      </c>
      <c r="D1582" s="15" t="s">
        <v>7635</v>
      </c>
      <c r="E1582" s="15" t="s">
        <v>7675</v>
      </c>
    </row>
    <row r="1583" spans="1:5" ht="25.5" x14ac:dyDescent="0.2">
      <c r="A1583" s="14" t="s">
        <v>7676</v>
      </c>
      <c r="B1583" s="15" t="s">
        <v>1571</v>
      </c>
      <c r="C1583" s="15" t="s">
        <v>7634</v>
      </c>
      <c r="D1583" s="15" t="s">
        <v>7635</v>
      </c>
      <c r="E1583" s="15" t="s">
        <v>7677</v>
      </c>
    </row>
    <row r="1584" spans="1:5" ht="25.5" x14ac:dyDescent="0.2">
      <c r="A1584" s="14" t="s">
        <v>7678</v>
      </c>
      <c r="B1584" s="15" t="s">
        <v>1134</v>
      </c>
      <c r="C1584" s="15" t="s">
        <v>7634</v>
      </c>
      <c r="D1584" s="15" t="s">
        <v>7635</v>
      </c>
      <c r="E1584" s="15" t="s">
        <v>7679</v>
      </c>
    </row>
    <row r="1585" spans="1:5" ht="25.5" x14ac:dyDescent="0.2">
      <c r="A1585" s="14" t="s">
        <v>7680</v>
      </c>
      <c r="B1585" s="15" t="s">
        <v>7681</v>
      </c>
      <c r="C1585" s="15" t="s">
        <v>7634</v>
      </c>
      <c r="D1585" s="15" t="s">
        <v>7635</v>
      </c>
      <c r="E1585" s="15" t="s">
        <v>7682</v>
      </c>
    </row>
    <row r="1586" spans="1:5" ht="25.5" x14ac:dyDescent="0.2">
      <c r="A1586" s="14" t="s">
        <v>7683</v>
      </c>
      <c r="B1586" s="15" t="s">
        <v>134</v>
      </c>
      <c r="C1586" s="15" t="s">
        <v>7634</v>
      </c>
      <c r="D1586" s="15" t="s">
        <v>7635</v>
      </c>
      <c r="E1586" s="15" t="s">
        <v>7684</v>
      </c>
    </row>
    <row r="1587" spans="1:5" ht="25.5" x14ac:dyDescent="0.2">
      <c r="A1587" s="14" t="s">
        <v>7685</v>
      </c>
      <c r="B1587" s="15" t="s">
        <v>940</v>
      </c>
      <c r="C1587" s="15" t="s">
        <v>7634</v>
      </c>
      <c r="D1587" s="15" t="s">
        <v>7635</v>
      </c>
      <c r="E1587" s="15" t="s">
        <v>7686</v>
      </c>
    </row>
    <row r="1588" spans="1:5" ht="25.5" x14ac:dyDescent="0.2">
      <c r="A1588" s="14" t="s">
        <v>7687</v>
      </c>
      <c r="B1588" s="15" t="s">
        <v>7688</v>
      </c>
      <c r="C1588" s="15" t="s">
        <v>7634</v>
      </c>
      <c r="D1588" s="15" t="s">
        <v>7635</v>
      </c>
      <c r="E1588" s="15" t="s">
        <v>7689</v>
      </c>
    </row>
    <row r="1589" spans="1:5" ht="25.5" x14ac:dyDescent="0.2">
      <c r="A1589" s="14" t="s">
        <v>7690</v>
      </c>
      <c r="B1589" s="15" t="s">
        <v>716</v>
      </c>
      <c r="C1589" s="15" t="s">
        <v>7634</v>
      </c>
      <c r="D1589" s="15" t="s">
        <v>7635</v>
      </c>
      <c r="E1589" s="15" t="s">
        <v>7691</v>
      </c>
    </row>
    <row r="1590" spans="1:5" ht="25.5" x14ac:dyDescent="0.2">
      <c r="A1590" s="14" t="s">
        <v>7692</v>
      </c>
      <c r="B1590" s="15" t="s">
        <v>921</v>
      </c>
      <c r="C1590" s="15" t="s">
        <v>7634</v>
      </c>
      <c r="D1590" s="15" t="s">
        <v>7635</v>
      </c>
      <c r="E1590" s="15" t="s">
        <v>7693</v>
      </c>
    </row>
    <row r="1591" spans="1:5" ht="25.5" x14ac:dyDescent="0.2">
      <c r="A1591" s="14" t="s">
        <v>7694</v>
      </c>
      <c r="B1591" s="15" t="s">
        <v>1582</v>
      </c>
      <c r="C1591" s="15" t="s">
        <v>7634</v>
      </c>
      <c r="D1591" s="15" t="s">
        <v>7635</v>
      </c>
      <c r="E1591" s="15" t="s">
        <v>7695</v>
      </c>
    </row>
    <row r="1592" spans="1:5" ht="25.5" x14ac:dyDescent="0.2">
      <c r="A1592" s="14" t="s">
        <v>7696</v>
      </c>
      <c r="B1592" s="15" t="s">
        <v>1581</v>
      </c>
      <c r="C1592" s="15" t="s">
        <v>7634</v>
      </c>
      <c r="D1592" s="15" t="s">
        <v>7635</v>
      </c>
      <c r="E1592" s="15" t="s">
        <v>7697</v>
      </c>
    </row>
    <row r="1593" spans="1:5" ht="25.5" x14ac:dyDescent="0.2">
      <c r="A1593" s="14" t="s">
        <v>7698</v>
      </c>
      <c r="B1593" s="15" t="s">
        <v>1004</v>
      </c>
      <c r="C1593" s="15" t="s">
        <v>7634</v>
      </c>
      <c r="D1593" s="15" t="s">
        <v>7635</v>
      </c>
      <c r="E1593" s="15" t="s">
        <v>7699</v>
      </c>
    </row>
    <row r="1594" spans="1:5" ht="25.5" x14ac:dyDescent="0.2">
      <c r="A1594" s="14" t="s">
        <v>7700</v>
      </c>
      <c r="B1594" s="15" t="s">
        <v>7701</v>
      </c>
      <c r="C1594" s="15" t="s">
        <v>7634</v>
      </c>
      <c r="D1594" s="15" t="s">
        <v>7635</v>
      </c>
      <c r="E1594" s="15" t="s">
        <v>7702</v>
      </c>
    </row>
    <row r="1595" spans="1:5" ht="25.5" x14ac:dyDescent="0.2">
      <c r="A1595" s="14" t="s">
        <v>7703</v>
      </c>
      <c r="B1595" s="15" t="s">
        <v>136</v>
      </c>
      <c r="C1595" s="15" t="s">
        <v>7634</v>
      </c>
      <c r="D1595" s="15" t="s">
        <v>7635</v>
      </c>
      <c r="E1595" s="15" t="s">
        <v>7704</v>
      </c>
    </row>
    <row r="1596" spans="1:5" ht="25.5" x14ac:dyDescent="0.2">
      <c r="A1596" s="14" t="s">
        <v>7705</v>
      </c>
      <c r="B1596" s="15" t="s">
        <v>7706</v>
      </c>
      <c r="C1596" s="15" t="s">
        <v>7634</v>
      </c>
      <c r="D1596" s="15" t="s">
        <v>7635</v>
      </c>
      <c r="E1596" s="15" t="s">
        <v>7707</v>
      </c>
    </row>
    <row r="1597" spans="1:5" ht="25.5" x14ac:dyDescent="0.2">
      <c r="A1597" s="14" t="s">
        <v>7708</v>
      </c>
      <c r="B1597" s="15" t="s">
        <v>967</v>
      </c>
      <c r="C1597" s="15" t="s">
        <v>7634</v>
      </c>
      <c r="D1597" s="15" t="s">
        <v>7635</v>
      </c>
      <c r="E1597" s="15" t="s">
        <v>7709</v>
      </c>
    </row>
    <row r="1598" spans="1:5" ht="25.5" x14ac:dyDescent="0.2">
      <c r="A1598" s="14" t="s">
        <v>7710</v>
      </c>
      <c r="B1598" s="15" t="s">
        <v>7711</v>
      </c>
      <c r="C1598" s="15" t="s">
        <v>7634</v>
      </c>
      <c r="D1598" s="15" t="s">
        <v>7635</v>
      </c>
      <c r="E1598" s="15" t="s">
        <v>7712</v>
      </c>
    </row>
    <row r="1599" spans="1:5" ht="25.5" x14ac:dyDescent="0.2">
      <c r="A1599" s="14" t="s">
        <v>7713</v>
      </c>
      <c r="B1599" s="15" t="s">
        <v>137</v>
      </c>
      <c r="C1599" s="15" t="s">
        <v>7634</v>
      </c>
      <c r="D1599" s="15" t="s">
        <v>7635</v>
      </c>
      <c r="E1599" s="15" t="s">
        <v>7714</v>
      </c>
    </row>
    <row r="1600" spans="1:5" ht="25.5" x14ac:dyDescent="0.2">
      <c r="A1600" s="14" t="s">
        <v>7715</v>
      </c>
      <c r="B1600" s="15" t="s">
        <v>7716</v>
      </c>
      <c r="C1600" s="15" t="s">
        <v>7634</v>
      </c>
      <c r="D1600" s="15" t="s">
        <v>7635</v>
      </c>
      <c r="E1600" s="15" t="s">
        <v>7717</v>
      </c>
    </row>
    <row r="1601" spans="1:5" ht="25.5" x14ac:dyDescent="0.2">
      <c r="A1601" s="14" t="s">
        <v>7718</v>
      </c>
      <c r="B1601" s="15" t="s">
        <v>1451</v>
      </c>
      <c r="C1601" s="15" t="s">
        <v>7634</v>
      </c>
      <c r="D1601" s="15" t="s">
        <v>7635</v>
      </c>
      <c r="E1601" s="15" t="s">
        <v>7719</v>
      </c>
    </row>
    <row r="1602" spans="1:5" ht="25.5" x14ac:dyDescent="0.2">
      <c r="A1602" s="14" t="s">
        <v>7720</v>
      </c>
      <c r="B1602" s="15" t="s">
        <v>1453</v>
      </c>
      <c r="C1602" s="15" t="s">
        <v>7634</v>
      </c>
      <c r="D1602" s="15" t="s">
        <v>7635</v>
      </c>
      <c r="E1602" s="15" t="s">
        <v>7721</v>
      </c>
    </row>
    <row r="1603" spans="1:5" ht="25.5" x14ac:dyDescent="0.2">
      <c r="A1603" s="14" t="s">
        <v>7722</v>
      </c>
      <c r="B1603" s="15" t="s">
        <v>7723</v>
      </c>
      <c r="C1603" s="15" t="s">
        <v>7634</v>
      </c>
      <c r="D1603" s="15" t="s">
        <v>7635</v>
      </c>
      <c r="E1603" s="15" t="s">
        <v>7724</v>
      </c>
    </row>
    <row r="1604" spans="1:5" ht="25.5" x14ac:dyDescent="0.2">
      <c r="A1604" s="14" t="s">
        <v>7725</v>
      </c>
      <c r="B1604" s="15" t="s">
        <v>484</v>
      </c>
      <c r="C1604" s="15" t="s">
        <v>7634</v>
      </c>
      <c r="D1604" s="15" t="s">
        <v>7635</v>
      </c>
      <c r="E1604" s="15" t="s">
        <v>7726</v>
      </c>
    </row>
    <row r="1605" spans="1:5" ht="25.5" x14ac:dyDescent="0.2">
      <c r="A1605" s="14" t="s">
        <v>7727</v>
      </c>
      <c r="B1605" s="15" t="s">
        <v>754</v>
      </c>
      <c r="C1605" s="15" t="s">
        <v>7634</v>
      </c>
      <c r="D1605" s="15" t="s">
        <v>7635</v>
      </c>
      <c r="E1605" s="15" t="s">
        <v>7728</v>
      </c>
    </row>
    <row r="1606" spans="1:5" ht="25.5" x14ac:dyDescent="0.2">
      <c r="A1606" s="14" t="s">
        <v>7729</v>
      </c>
      <c r="B1606" s="15" t="s">
        <v>675</v>
      </c>
      <c r="C1606" s="15" t="s">
        <v>7634</v>
      </c>
      <c r="D1606" s="15" t="s">
        <v>7635</v>
      </c>
      <c r="E1606" s="15" t="s">
        <v>7730</v>
      </c>
    </row>
    <row r="1607" spans="1:5" ht="25.5" x14ac:dyDescent="0.2">
      <c r="A1607" s="14" t="s">
        <v>7731</v>
      </c>
      <c r="B1607" s="15" t="s">
        <v>1583</v>
      </c>
      <c r="C1607" s="15" t="s">
        <v>7634</v>
      </c>
      <c r="D1607" s="15" t="s">
        <v>7635</v>
      </c>
      <c r="E1607" s="15" t="s">
        <v>7732</v>
      </c>
    </row>
    <row r="1608" spans="1:5" ht="25.5" x14ac:dyDescent="0.2">
      <c r="A1608" s="14" t="s">
        <v>7733</v>
      </c>
      <c r="B1608" s="15" t="s">
        <v>87</v>
      </c>
      <c r="C1608" s="15" t="s">
        <v>7634</v>
      </c>
      <c r="D1608" s="15" t="s">
        <v>7635</v>
      </c>
      <c r="E1608" s="15" t="s">
        <v>7734</v>
      </c>
    </row>
    <row r="1609" spans="1:5" ht="25.5" x14ac:dyDescent="0.2">
      <c r="A1609" s="14" t="s">
        <v>7735</v>
      </c>
      <c r="B1609" s="15" t="s">
        <v>7736</v>
      </c>
      <c r="C1609" s="15" t="s">
        <v>7634</v>
      </c>
      <c r="D1609" s="15" t="s">
        <v>7635</v>
      </c>
      <c r="E1609" s="15" t="s">
        <v>7737</v>
      </c>
    </row>
    <row r="1610" spans="1:5" ht="25.5" x14ac:dyDescent="0.2">
      <c r="A1610" s="14" t="s">
        <v>7738</v>
      </c>
      <c r="B1610" s="15" t="s">
        <v>1387</v>
      </c>
      <c r="C1610" s="15" t="s">
        <v>7634</v>
      </c>
      <c r="D1610" s="15" t="s">
        <v>7635</v>
      </c>
      <c r="E1610" s="15" t="s">
        <v>7739</v>
      </c>
    </row>
    <row r="1611" spans="1:5" ht="25.5" x14ac:dyDescent="0.2">
      <c r="A1611" s="14" t="s">
        <v>7740</v>
      </c>
      <c r="B1611" s="15" t="s">
        <v>7741</v>
      </c>
      <c r="C1611" s="15" t="s">
        <v>7634</v>
      </c>
      <c r="D1611" s="15" t="s">
        <v>7635</v>
      </c>
      <c r="E1611" s="15" t="s">
        <v>7742</v>
      </c>
    </row>
    <row r="1612" spans="1:5" ht="25.5" x14ac:dyDescent="0.2">
      <c r="A1612" s="14" t="s">
        <v>7743</v>
      </c>
      <c r="B1612" s="15" t="s">
        <v>939</v>
      </c>
      <c r="C1612" s="15" t="s">
        <v>7634</v>
      </c>
      <c r="D1612" s="15" t="s">
        <v>7635</v>
      </c>
      <c r="E1612" s="15" t="s">
        <v>7744</v>
      </c>
    </row>
    <row r="1613" spans="1:5" ht="25.5" x14ac:dyDescent="0.2">
      <c r="A1613" s="14" t="s">
        <v>7745</v>
      </c>
      <c r="B1613" s="15" t="s">
        <v>1508</v>
      </c>
      <c r="C1613" s="15" t="s">
        <v>7634</v>
      </c>
      <c r="D1613" s="15" t="s">
        <v>7635</v>
      </c>
      <c r="E1613" s="15" t="s">
        <v>7746</v>
      </c>
    </row>
    <row r="1614" spans="1:5" ht="25.5" x14ac:dyDescent="0.2">
      <c r="A1614" s="14" t="s">
        <v>7747</v>
      </c>
      <c r="B1614" s="15" t="s">
        <v>121</v>
      </c>
      <c r="C1614" s="15" t="s">
        <v>7634</v>
      </c>
      <c r="D1614" s="15" t="s">
        <v>7635</v>
      </c>
      <c r="E1614" s="15" t="s">
        <v>7748</v>
      </c>
    </row>
    <row r="1615" spans="1:5" ht="25.5" x14ac:dyDescent="0.2">
      <c r="A1615" s="14" t="s">
        <v>7749</v>
      </c>
      <c r="B1615" s="15" t="s">
        <v>7750</v>
      </c>
      <c r="C1615" s="15" t="s">
        <v>7634</v>
      </c>
      <c r="D1615" s="15" t="s">
        <v>7635</v>
      </c>
      <c r="E1615" s="15" t="s">
        <v>7751</v>
      </c>
    </row>
    <row r="1616" spans="1:5" ht="25.5" x14ac:dyDescent="0.2">
      <c r="A1616" s="14" t="s">
        <v>7752</v>
      </c>
      <c r="B1616" s="15" t="s">
        <v>1385</v>
      </c>
      <c r="C1616" s="15" t="s">
        <v>7634</v>
      </c>
      <c r="D1616" s="15" t="s">
        <v>7635</v>
      </c>
      <c r="E1616" s="15" t="s">
        <v>7753</v>
      </c>
    </row>
    <row r="1617" spans="1:5" ht="25.5" x14ac:dyDescent="0.2">
      <c r="A1617" s="14" t="s">
        <v>7754</v>
      </c>
      <c r="B1617" s="15" t="s">
        <v>1584</v>
      </c>
      <c r="C1617" s="15" t="s">
        <v>7634</v>
      </c>
      <c r="D1617" s="15" t="s">
        <v>7635</v>
      </c>
      <c r="E1617" s="15" t="s">
        <v>7755</v>
      </c>
    </row>
    <row r="1618" spans="1:5" ht="25.5" x14ac:dyDescent="0.2">
      <c r="A1618" s="14" t="s">
        <v>7756</v>
      </c>
      <c r="B1618" s="15" t="s">
        <v>1604</v>
      </c>
      <c r="C1618" s="15" t="s">
        <v>7634</v>
      </c>
      <c r="D1618" s="15" t="s">
        <v>7635</v>
      </c>
      <c r="E1618" s="15" t="s">
        <v>7757</v>
      </c>
    </row>
    <row r="1619" spans="1:5" ht="25.5" x14ac:dyDescent="0.2">
      <c r="A1619" s="14" t="s">
        <v>7758</v>
      </c>
      <c r="B1619" s="15" t="s">
        <v>1604</v>
      </c>
      <c r="C1619" s="15" t="s">
        <v>7634</v>
      </c>
      <c r="D1619" s="15" t="s">
        <v>7635</v>
      </c>
      <c r="E1619" s="15" t="s">
        <v>7759</v>
      </c>
    </row>
    <row r="1620" spans="1:5" ht="25.5" x14ac:dyDescent="0.2">
      <c r="A1620" s="14" t="s">
        <v>7760</v>
      </c>
      <c r="B1620" s="15" t="s">
        <v>131</v>
      </c>
      <c r="C1620" s="15" t="s">
        <v>7634</v>
      </c>
      <c r="D1620" s="15" t="s">
        <v>7635</v>
      </c>
      <c r="E1620" s="15" t="s">
        <v>7761</v>
      </c>
    </row>
    <row r="1621" spans="1:5" ht="25.5" x14ac:dyDescent="0.2">
      <c r="A1621" s="14" t="s">
        <v>7762</v>
      </c>
      <c r="B1621" s="15" t="s">
        <v>247</v>
      </c>
      <c r="C1621" s="15" t="s">
        <v>7634</v>
      </c>
      <c r="D1621" s="15" t="s">
        <v>7635</v>
      </c>
      <c r="E1621" s="15" t="s">
        <v>7763</v>
      </c>
    </row>
    <row r="1622" spans="1:5" ht="25.5" x14ac:dyDescent="0.2">
      <c r="A1622" s="14" t="s">
        <v>7764</v>
      </c>
      <c r="B1622" s="15" t="s">
        <v>7765</v>
      </c>
      <c r="C1622" s="15" t="s">
        <v>7634</v>
      </c>
      <c r="D1622" s="15" t="s">
        <v>7635</v>
      </c>
      <c r="E1622" s="15" t="s">
        <v>7766</v>
      </c>
    </row>
    <row r="1623" spans="1:5" ht="25.5" x14ac:dyDescent="0.2">
      <c r="A1623" s="14" t="s">
        <v>7767</v>
      </c>
      <c r="B1623" s="15" t="s">
        <v>7768</v>
      </c>
      <c r="C1623" s="15" t="s">
        <v>3303</v>
      </c>
      <c r="D1623" s="15" t="s">
        <v>3304</v>
      </c>
      <c r="E1623" s="15" t="s">
        <v>7769</v>
      </c>
    </row>
    <row r="1624" spans="1:5" ht="25.5" x14ac:dyDescent="0.2">
      <c r="A1624" s="14" t="s">
        <v>7770</v>
      </c>
      <c r="B1624" s="15" t="s">
        <v>1563</v>
      </c>
      <c r="C1624" s="15" t="s">
        <v>3303</v>
      </c>
      <c r="D1624" s="15" t="s">
        <v>3304</v>
      </c>
      <c r="E1624" s="15" t="s">
        <v>7771</v>
      </c>
    </row>
    <row r="1625" spans="1:5" ht="25.5" x14ac:dyDescent="0.2">
      <c r="A1625" s="14" t="s">
        <v>7772</v>
      </c>
      <c r="B1625" s="15" t="s">
        <v>1424</v>
      </c>
      <c r="C1625" s="15" t="s">
        <v>3303</v>
      </c>
      <c r="D1625" s="15" t="s">
        <v>3304</v>
      </c>
      <c r="E1625" s="15" t="s">
        <v>7773</v>
      </c>
    </row>
    <row r="1626" spans="1:5" ht="25.5" x14ac:dyDescent="0.2">
      <c r="A1626" s="14" t="s">
        <v>7774</v>
      </c>
      <c r="B1626" s="15" t="s">
        <v>1483</v>
      </c>
      <c r="C1626" s="15" t="s">
        <v>3303</v>
      </c>
      <c r="D1626" s="15" t="s">
        <v>3304</v>
      </c>
      <c r="E1626" s="15" t="s">
        <v>7775</v>
      </c>
    </row>
    <row r="1627" spans="1:5" ht="25.5" x14ac:dyDescent="0.2">
      <c r="A1627" s="14" t="s">
        <v>7776</v>
      </c>
      <c r="B1627" s="15" t="s">
        <v>317</v>
      </c>
      <c r="C1627" s="15" t="s">
        <v>4273</v>
      </c>
      <c r="D1627" s="15" t="s">
        <v>4274</v>
      </c>
      <c r="E1627" s="15" t="s">
        <v>7777</v>
      </c>
    </row>
    <row r="1628" spans="1:5" ht="25.5" x14ac:dyDescent="0.2">
      <c r="A1628" s="14" t="s">
        <v>7778</v>
      </c>
      <c r="B1628" s="15" t="s">
        <v>7779</v>
      </c>
      <c r="C1628" s="15" t="s">
        <v>7780</v>
      </c>
      <c r="D1628" s="15" t="s">
        <v>7781</v>
      </c>
      <c r="E1628" s="15" t="s">
        <v>7782</v>
      </c>
    </row>
    <row r="1629" spans="1:5" ht="25.5" x14ac:dyDescent="0.2">
      <c r="A1629" s="14" t="s">
        <v>7783</v>
      </c>
      <c r="B1629" s="15" t="s">
        <v>7784</v>
      </c>
      <c r="C1629" s="15" t="s">
        <v>4171</v>
      </c>
      <c r="D1629" s="15" t="s">
        <v>4172</v>
      </c>
      <c r="E1629" s="15" t="s">
        <v>7785</v>
      </c>
    </row>
    <row r="1630" spans="1:5" ht="25.5" x14ac:dyDescent="0.2">
      <c r="A1630" s="14" t="s">
        <v>7786</v>
      </c>
      <c r="B1630" s="15" t="s">
        <v>7787</v>
      </c>
      <c r="C1630" s="15" t="s">
        <v>4171</v>
      </c>
      <c r="D1630" s="15" t="s">
        <v>4172</v>
      </c>
      <c r="E1630" s="15" t="s">
        <v>7788</v>
      </c>
    </row>
    <row r="1631" spans="1:5" ht="25.5" x14ac:dyDescent="0.2">
      <c r="A1631" s="14" t="s">
        <v>7789</v>
      </c>
      <c r="B1631" s="15" t="s">
        <v>1492</v>
      </c>
      <c r="C1631" s="15" t="s">
        <v>4203</v>
      </c>
      <c r="D1631" s="15" t="s">
        <v>4204</v>
      </c>
      <c r="E1631" s="15" t="s">
        <v>7790</v>
      </c>
    </row>
    <row r="1632" spans="1:5" ht="25.5" x14ac:dyDescent="0.2">
      <c r="A1632" s="14" t="s">
        <v>7791</v>
      </c>
      <c r="B1632" s="15" t="s">
        <v>1368</v>
      </c>
      <c r="C1632" s="15" t="s">
        <v>4281</v>
      </c>
      <c r="D1632" s="15" t="s">
        <v>4282</v>
      </c>
      <c r="E1632" s="15" t="s">
        <v>7792</v>
      </c>
    </row>
    <row r="1633" spans="1:5" ht="25.5" x14ac:dyDescent="0.2">
      <c r="A1633" s="14" t="s">
        <v>7793</v>
      </c>
      <c r="B1633" s="15" t="s">
        <v>291</v>
      </c>
      <c r="C1633" s="15" t="s">
        <v>4226</v>
      </c>
      <c r="D1633" s="15" t="s">
        <v>4227</v>
      </c>
      <c r="E1633" s="15" t="s">
        <v>7794</v>
      </c>
    </row>
    <row r="1634" spans="1:5" ht="25.5" x14ac:dyDescent="0.2">
      <c r="A1634" s="14" t="s">
        <v>7795</v>
      </c>
      <c r="B1634" s="15" t="s">
        <v>593</v>
      </c>
      <c r="C1634" s="15" t="s">
        <v>7796</v>
      </c>
      <c r="D1634" s="15" t="s">
        <v>7797</v>
      </c>
      <c r="E1634" s="15" t="s">
        <v>7798</v>
      </c>
    </row>
    <row r="1635" spans="1:5" ht="25.5" x14ac:dyDescent="0.2">
      <c r="A1635" s="14" t="s">
        <v>7799</v>
      </c>
      <c r="B1635" s="15" t="s">
        <v>587</v>
      </c>
      <c r="C1635" s="15" t="s">
        <v>5507</v>
      </c>
      <c r="D1635" s="15" t="s">
        <v>5508</v>
      </c>
      <c r="E1635" s="15" t="s">
        <v>7800</v>
      </c>
    </row>
    <row r="1636" spans="1:5" ht="25.5" x14ac:dyDescent="0.2">
      <c r="A1636" s="14" t="s">
        <v>7801</v>
      </c>
      <c r="B1636" s="15" t="s">
        <v>7802</v>
      </c>
      <c r="C1636" s="15" t="s">
        <v>5507</v>
      </c>
      <c r="D1636" s="15" t="s">
        <v>5508</v>
      </c>
      <c r="E1636" s="15" t="s">
        <v>7803</v>
      </c>
    </row>
    <row r="1637" spans="1:5" ht="25.5" x14ac:dyDescent="0.2">
      <c r="A1637" s="14" t="s">
        <v>7804</v>
      </c>
      <c r="B1637" s="15" t="s">
        <v>7805</v>
      </c>
      <c r="C1637" s="15" t="s">
        <v>3410</v>
      </c>
      <c r="D1637" s="15" t="s">
        <v>3411</v>
      </c>
      <c r="E1637" s="15" t="s">
        <v>7806</v>
      </c>
    </row>
    <row r="1638" spans="1:5" ht="25.5" x14ac:dyDescent="0.2">
      <c r="A1638" s="14" t="s">
        <v>7807</v>
      </c>
      <c r="B1638" s="15" t="s">
        <v>1381</v>
      </c>
      <c r="C1638" s="15" t="s">
        <v>6333</v>
      </c>
      <c r="D1638" s="15" t="s">
        <v>6334</v>
      </c>
      <c r="E1638" s="15" t="s">
        <v>7808</v>
      </c>
    </row>
    <row r="1639" spans="1:5" ht="25.5" x14ac:dyDescent="0.2">
      <c r="A1639" s="14" t="s">
        <v>7809</v>
      </c>
      <c r="B1639" s="15" t="s">
        <v>7810</v>
      </c>
      <c r="C1639" s="15" t="s">
        <v>4764</v>
      </c>
      <c r="D1639" s="15" t="s">
        <v>4765</v>
      </c>
      <c r="E1639" s="15" t="s">
        <v>7811</v>
      </c>
    </row>
    <row r="1640" spans="1:5" ht="25.5" x14ac:dyDescent="0.2">
      <c r="A1640" s="14" t="s">
        <v>7812</v>
      </c>
      <c r="B1640" s="15" t="s">
        <v>7813</v>
      </c>
      <c r="C1640" s="15" t="s">
        <v>4764</v>
      </c>
      <c r="D1640" s="15" t="s">
        <v>4765</v>
      </c>
      <c r="E1640" s="15" t="s">
        <v>7814</v>
      </c>
    </row>
    <row r="1641" spans="1:5" ht="25.5" x14ac:dyDescent="0.2">
      <c r="A1641" s="14" t="s">
        <v>7815</v>
      </c>
      <c r="B1641" s="15" t="s">
        <v>7816</v>
      </c>
      <c r="C1641" s="15" t="s">
        <v>4764</v>
      </c>
      <c r="D1641" s="15" t="s">
        <v>4765</v>
      </c>
      <c r="E1641" s="15" t="s">
        <v>7817</v>
      </c>
    </row>
    <row r="1642" spans="1:5" ht="25.5" x14ac:dyDescent="0.2">
      <c r="A1642" s="14" t="s">
        <v>7818</v>
      </c>
      <c r="B1642" s="15" t="s">
        <v>793</v>
      </c>
      <c r="C1642" s="15" t="s">
        <v>4764</v>
      </c>
      <c r="D1642" s="15" t="s">
        <v>4765</v>
      </c>
      <c r="E1642" s="15" t="s">
        <v>7819</v>
      </c>
    </row>
    <row r="1643" spans="1:5" ht="25.5" x14ac:dyDescent="0.2">
      <c r="A1643" s="14" t="s">
        <v>7820</v>
      </c>
      <c r="B1643" s="15" t="s">
        <v>859</v>
      </c>
      <c r="C1643" s="15" t="s">
        <v>4764</v>
      </c>
      <c r="D1643" s="15" t="s">
        <v>4765</v>
      </c>
      <c r="E1643" s="15" t="s">
        <v>7821</v>
      </c>
    </row>
    <row r="1644" spans="1:5" ht="25.5" x14ac:dyDescent="0.2">
      <c r="A1644" s="14" t="s">
        <v>7822</v>
      </c>
      <c r="B1644" s="15" t="s">
        <v>1054</v>
      </c>
      <c r="C1644" s="15" t="s">
        <v>4764</v>
      </c>
      <c r="D1644" s="15" t="s">
        <v>4765</v>
      </c>
      <c r="E1644" s="15" t="s">
        <v>7823</v>
      </c>
    </row>
    <row r="1645" spans="1:5" ht="25.5" x14ac:dyDescent="0.2">
      <c r="A1645" s="14" t="s">
        <v>7824</v>
      </c>
      <c r="B1645" s="15" t="s">
        <v>399</v>
      </c>
      <c r="C1645" s="15" t="s">
        <v>4203</v>
      </c>
      <c r="D1645" s="15" t="s">
        <v>4204</v>
      </c>
      <c r="E1645" s="15" t="s">
        <v>7825</v>
      </c>
    </row>
    <row r="1646" spans="1:5" ht="25.5" x14ac:dyDescent="0.2">
      <c r="A1646" s="14" t="s">
        <v>7826</v>
      </c>
      <c r="B1646" s="15" t="s">
        <v>7827</v>
      </c>
      <c r="C1646" s="15" t="s">
        <v>4203</v>
      </c>
      <c r="D1646" s="15" t="s">
        <v>4204</v>
      </c>
      <c r="E1646" s="15" t="s">
        <v>7828</v>
      </c>
    </row>
    <row r="1647" spans="1:5" ht="25.5" x14ac:dyDescent="0.2">
      <c r="A1647" s="14" t="s">
        <v>7829</v>
      </c>
      <c r="B1647" s="15" t="s">
        <v>7830</v>
      </c>
      <c r="C1647" s="15" t="s">
        <v>4800</v>
      </c>
      <c r="D1647" s="15" t="s">
        <v>4801</v>
      </c>
      <c r="E1647" s="15" t="s">
        <v>7831</v>
      </c>
    </row>
    <row r="1648" spans="1:5" ht="25.5" x14ac:dyDescent="0.2">
      <c r="A1648" s="14" t="s">
        <v>7832</v>
      </c>
      <c r="B1648" s="15" t="s">
        <v>7833</v>
      </c>
      <c r="C1648" s="15" t="s">
        <v>4800</v>
      </c>
      <c r="D1648" s="15" t="s">
        <v>4801</v>
      </c>
      <c r="E1648" s="15" t="s">
        <v>7834</v>
      </c>
    </row>
    <row r="1649" spans="1:5" ht="25.5" x14ac:dyDescent="0.2">
      <c r="A1649" s="14" t="s">
        <v>7835</v>
      </c>
      <c r="B1649" s="15" t="s">
        <v>7836</v>
      </c>
      <c r="C1649" s="15" t="s">
        <v>4800</v>
      </c>
      <c r="D1649" s="15" t="s">
        <v>4801</v>
      </c>
      <c r="E1649" s="15" t="s">
        <v>7837</v>
      </c>
    </row>
    <row r="1650" spans="1:5" ht="25.5" x14ac:dyDescent="0.2">
      <c r="A1650" s="14" t="s">
        <v>7838</v>
      </c>
      <c r="B1650" s="15" t="s">
        <v>7839</v>
      </c>
      <c r="C1650" s="15" t="s">
        <v>4800</v>
      </c>
      <c r="D1650" s="15" t="s">
        <v>4801</v>
      </c>
      <c r="E1650" s="15" t="s">
        <v>7840</v>
      </c>
    </row>
    <row r="1651" spans="1:5" ht="25.5" x14ac:dyDescent="0.2">
      <c r="A1651" s="14" t="s">
        <v>7841</v>
      </c>
      <c r="B1651" s="15" t="s">
        <v>1199</v>
      </c>
      <c r="C1651" s="15" t="s">
        <v>7842</v>
      </c>
      <c r="D1651" s="15" t="s">
        <v>7843</v>
      </c>
      <c r="E1651" s="15" t="s">
        <v>7844</v>
      </c>
    </row>
    <row r="1652" spans="1:5" ht="25.5" x14ac:dyDescent="0.2">
      <c r="A1652" s="14" t="s">
        <v>7845</v>
      </c>
      <c r="B1652" s="15" t="s">
        <v>1197</v>
      </c>
      <c r="C1652" s="15" t="s">
        <v>7842</v>
      </c>
      <c r="D1652" s="15" t="s">
        <v>7843</v>
      </c>
      <c r="E1652" s="15" t="s">
        <v>7846</v>
      </c>
    </row>
    <row r="1653" spans="1:5" ht="25.5" x14ac:dyDescent="0.2">
      <c r="A1653" s="14" t="s">
        <v>7847</v>
      </c>
      <c r="B1653" s="15" t="s">
        <v>7848</v>
      </c>
      <c r="C1653" s="15" t="s">
        <v>7842</v>
      </c>
      <c r="D1653" s="15" t="s">
        <v>7843</v>
      </c>
      <c r="E1653" s="15" t="s">
        <v>7849</v>
      </c>
    </row>
    <row r="1654" spans="1:5" ht="25.5" x14ac:dyDescent="0.2">
      <c r="A1654" s="14" t="s">
        <v>7850</v>
      </c>
      <c r="B1654" s="15" t="s">
        <v>7851</v>
      </c>
      <c r="C1654" s="15" t="s">
        <v>7842</v>
      </c>
      <c r="D1654" s="15" t="s">
        <v>7843</v>
      </c>
      <c r="E1654" s="15" t="s">
        <v>7852</v>
      </c>
    </row>
    <row r="1655" spans="1:5" ht="25.5" x14ac:dyDescent="0.2">
      <c r="A1655" s="14" t="s">
        <v>7853</v>
      </c>
      <c r="B1655" s="15" t="s">
        <v>7854</v>
      </c>
      <c r="C1655" s="15" t="s">
        <v>7842</v>
      </c>
      <c r="D1655" s="15" t="s">
        <v>7843</v>
      </c>
      <c r="E1655" s="15" t="s">
        <v>7855</v>
      </c>
    </row>
    <row r="1656" spans="1:5" ht="25.5" x14ac:dyDescent="0.2">
      <c r="A1656" s="14" t="s">
        <v>7856</v>
      </c>
      <c r="B1656" s="15" t="s">
        <v>1032</v>
      </c>
      <c r="C1656" s="15" t="s">
        <v>7842</v>
      </c>
      <c r="D1656" s="15" t="s">
        <v>7843</v>
      </c>
      <c r="E1656" s="15" t="s">
        <v>7857</v>
      </c>
    </row>
    <row r="1657" spans="1:5" ht="25.5" x14ac:dyDescent="0.2">
      <c r="A1657" s="14" t="s">
        <v>7858</v>
      </c>
      <c r="B1657" s="15" t="s">
        <v>7859</v>
      </c>
      <c r="C1657" s="15" t="s">
        <v>7842</v>
      </c>
      <c r="D1657" s="15" t="s">
        <v>7843</v>
      </c>
      <c r="E1657" s="15" t="s">
        <v>7860</v>
      </c>
    </row>
    <row r="1658" spans="1:5" ht="25.5" x14ac:dyDescent="0.2">
      <c r="A1658" s="14" t="s">
        <v>7861</v>
      </c>
      <c r="B1658" s="15" t="s">
        <v>683</v>
      </c>
      <c r="C1658" s="15" t="s">
        <v>7842</v>
      </c>
      <c r="D1658" s="15" t="s">
        <v>7843</v>
      </c>
      <c r="E1658" s="15" t="s">
        <v>7862</v>
      </c>
    </row>
    <row r="1659" spans="1:5" ht="25.5" x14ac:dyDescent="0.2">
      <c r="A1659" s="14" t="s">
        <v>7863</v>
      </c>
      <c r="B1659" s="15" t="s">
        <v>7864</v>
      </c>
      <c r="C1659" s="15" t="s">
        <v>7842</v>
      </c>
      <c r="D1659" s="15" t="s">
        <v>7843</v>
      </c>
      <c r="E1659" s="15" t="s">
        <v>7865</v>
      </c>
    </row>
    <row r="1660" spans="1:5" ht="25.5" x14ac:dyDescent="0.2">
      <c r="A1660" s="14" t="s">
        <v>7866</v>
      </c>
      <c r="B1660" s="15" t="s">
        <v>977</v>
      </c>
      <c r="C1660" s="15" t="s">
        <v>7842</v>
      </c>
      <c r="D1660" s="15" t="s">
        <v>7843</v>
      </c>
      <c r="E1660" s="15" t="s">
        <v>7867</v>
      </c>
    </row>
    <row r="1661" spans="1:5" ht="25.5" x14ac:dyDescent="0.2">
      <c r="A1661" s="14" t="s">
        <v>7868</v>
      </c>
      <c r="B1661" s="15" t="s">
        <v>977</v>
      </c>
      <c r="C1661" s="15" t="s">
        <v>7842</v>
      </c>
      <c r="D1661" s="15" t="s">
        <v>7843</v>
      </c>
      <c r="E1661" s="15" t="s">
        <v>7869</v>
      </c>
    </row>
    <row r="1662" spans="1:5" ht="25.5" x14ac:dyDescent="0.2">
      <c r="A1662" s="14" t="s">
        <v>7870</v>
      </c>
      <c r="B1662" s="15" t="s">
        <v>7871</v>
      </c>
      <c r="C1662" s="15" t="s">
        <v>7842</v>
      </c>
      <c r="D1662" s="15" t="s">
        <v>7843</v>
      </c>
      <c r="E1662" s="15" t="s">
        <v>7872</v>
      </c>
    </row>
    <row r="1663" spans="1:5" ht="25.5" x14ac:dyDescent="0.2">
      <c r="A1663" s="14" t="s">
        <v>7873</v>
      </c>
      <c r="B1663" s="15" t="s">
        <v>7874</v>
      </c>
      <c r="C1663" s="15" t="s">
        <v>7842</v>
      </c>
      <c r="D1663" s="15" t="s">
        <v>7843</v>
      </c>
      <c r="E1663" s="15" t="s">
        <v>7875</v>
      </c>
    </row>
    <row r="1664" spans="1:5" ht="25.5" x14ac:dyDescent="0.2">
      <c r="A1664" s="14" t="s">
        <v>7876</v>
      </c>
      <c r="B1664" s="15" t="s">
        <v>1234</v>
      </c>
      <c r="C1664" s="15" t="s">
        <v>7842</v>
      </c>
      <c r="D1664" s="15" t="s">
        <v>7843</v>
      </c>
      <c r="E1664" s="15" t="s">
        <v>7877</v>
      </c>
    </row>
    <row r="1665" spans="1:5" ht="25.5" x14ac:dyDescent="0.2">
      <c r="A1665" s="14" t="s">
        <v>7878</v>
      </c>
      <c r="B1665" s="15" t="s">
        <v>1234</v>
      </c>
      <c r="C1665" s="15" t="s">
        <v>7842</v>
      </c>
      <c r="D1665" s="15" t="s">
        <v>7843</v>
      </c>
      <c r="E1665" s="15" t="s">
        <v>7879</v>
      </c>
    </row>
    <row r="1666" spans="1:5" ht="25.5" x14ac:dyDescent="0.2">
      <c r="A1666" s="14" t="s">
        <v>7880</v>
      </c>
      <c r="B1666" s="15" t="s">
        <v>7881</v>
      </c>
      <c r="C1666" s="15" t="s">
        <v>7842</v>
      </c>
      <c r="D1666" s="15" t="s">
        <v>7843</v>
      </c>
      <c r="E1666" s="15" t="s">
        <v>7882</v>
      </c>
    </row>
    <row r="1667" spans="1:5" ht="25.5" x14ac:dyDescent="0.2">
      <c r="A1667" s="14" t="s">
        <v>7883</v>
      </c>
      <c r="B1667" s="15" t="s">
        <v>7884</v>
      </c>
      <c r="C1667" s="15" t="s">
        <v>7842</v>
      </c>
      <c r="D1667" s="15" t="s">
        <v>7843</v>
      </c>
      <c r="E1667" s="15" t="s">
        <v>7885</v>
      </c>
    </row>
    <row r="1668" spans="1:5" ht="25.5" x14ac:dyDescent="0.2">
      <c r="A1668" s="14" t="s">
        <v>7886</v>
      </c>
      <c r="B1668" s="15" t="s">
        <v>1200</v>
      </c>
      <c r="C1668" s="15" t="s">
        <v>7842</v>
      </c>
      <c r="D1668" s="15" t="s">
        <v>7843</v>
      </c>
      <c r="E1668" s="15" t="s">
        <v>7887</v>
      </c>
    </row>
    <row r="1669" spans="1:5" ht="25.5" x14ac:dyDescent="0.2">
      <c r="A1669" s="14" t="s">
        <v>7888</v>
      </c>
      <c r="B1669" s="15" t="s">
        <v>1201</v>
      </c>
      <c r="C1669" s="15" t="s">
        <v>7842</v>
      </c>
      <c r="D1669" s="15" t="s">
        <v>7843</v>
      </c>
      <c r="E1669" s="15" t="s">
        <v>7889</v>
      </c>
    </row>
    <row r="1670" spans="1:5" ht="25.5" x14ac:dyDescent="0.2">
      <c r="A1670" s="14" t="s">
        <v>7890</v>
      </c>
      <c r="B1670" s="15" t="s">
        <v>7891</v>
      </c>
      <c r="C1670" s="15" t="s">
        <v>7842</v>
      </c>
      <c r="D1670" s="15" t="s">
        <v>7843</v>
      </c>
      <c r="E1670" s="15" t="s">
        <v>7892</v>
      </c>
    </row>
    <row r="1671" spans="1:5" ht="25.5" x14ac:dyDescent="0.2">
      <c r="A1671" s="14" t="s">
        <v>7893</v>
      </c>
      <c r="B1671" s="15" t="s">
        <v>7894</v>
      </c>
      <c r="C1671" s="15" t="s">
        <v>7842</v>
      </c>
      <c r="D1671" s="15" t="s">
        <v>7843</v>
      </c>
      <c r="E1671" s="15" t="s">
        <v>7895</v>
      </c>
    </row>
    <row r="1672" spans="1:5" ht="25.5" x14ac:dyDescent="0.2">
      <c r="A1672" s="14" t="s">
        <v>7896</v>
      </c>
      <c r="B1672" s="15" t="s">
        <v>1089</v>
      </c>
      <c r="C1672" s="15" t="s">
        <v>7842</v>
      </c>
      <c r="D1672" s="15" t="s">
        <v>7843</v>
      </c>
      <c r="E1672" s="15" t="s">
        <v>7897</v>
      </c>
    </row>
    <row r="1673" spans="1:5" ht="25.5" x14ac:dyDescent="0.2">
      <c r="A1673" s="14" t="s">
        <v>7898</v>
      </c>
      <c r="B1673" s="15" t="s">
        <v>1089</v>
      </c>
      <c r="C1673" s="15" t="s">
        <v>7842</v>
      </c>
      <c r="D1673" s="15" t="s">
        <v>7843</v>
      </c>
      <c r="E1673" s="15" t="s">
        <v>7899</v>
      </c>
    </row>
    <row r="1674" spans="1:5" ht="25.5" x14ac:dyDescent="0.2">
      <c r="A1674" s="14" t="s">
        <v>7900</v>
      </c>
      <c r="B1674" s="15" t="s">
        <v>7901</v>
      </c>
      <c r="C1674" s="15" t="s">
        <v>7842</v>
      </c>
      <c r="D1674" s="15" t="s">
        <v>7843</v>
      </c>
      <c r="E1674" s="15" t="s">
        <v>7902</v>
      </c>
    </row>
    <row r="1675" spans="1:5" ht="25.5" x14ac:dyDescent="0.2">
      <c r="A1675" s="14" t="s">
        <v>7903</v>
      </c>
      <c r="B1675" s="15" t="s">
        <v>7904</v>
      </c>
      <c r="C1675" s="15" t="s">
        <v>7842</v>
      </c>
      <c r="D1675" s="15" t="s">
        <v>7843</v>
      </c>
      <c r="E1675" s="15" t="s">
        <v>7905</v>
      </c>
    </row>
    <row r="1676" spans="1:5" ht="25.5" x14ac:dyDescent="0.2">
      <c r="A1676" s="14" t="s">
        <v>7906</v>
      </c>
      <c r="B1676" s="15" t="s">
        <v>1235</v>
      </c>
      <c r="C1676" s="15" t="s">
        <v>7842</v>
      </c>
      <c r="D1676" s="15" t="s">
        <v>7843</v>
      </c>
      <c r="E1676" s="15" t="s">
        <v>7907</v>
      </c>
    </row>
    <row r="1677" spans="1:5" ht="25.5" x14ac:dyDescent="0.2">
      <c r="A1677" s="14" t="s">
        <v>7908</v>
      </c>
      <c r="B1677" s="15" t="s">
        <v>1235</v>
      </c>
      <c r="C1677" s="15" t="s">
        <v>7842</v>
      </c>
      <c r="D1677" s="15" t="s">
        <v>7843</v>
      </c>
      <c r="E1677" s="15" t="s">
        <v>7909</v>
      </c>
    </row>
    <row r="1678" spans="1:5" ht="25.5" x14ac:dyDescent="0.2">
      <c r="A1678" s="14" t="s">
        <v>7910</v>
      </c>
      <c r="B1678" s="15" t="s">
        <v>1240</v>
      </c>
      <c r="C1678" s="15" t="s">
        <v>7842</v>
      </c>
      <c r="D1678" s="15" t="s">
        <v>7843</v>
      </c>
      <c r="E1678" s="15" t="s">
        <v>7911</v>
      </c>
    </row>
    <row r="1679" spans="1:5" ht="25.5" x14ac:dyDescent="0.2">
      <c r="A1679" s="14" t="s">
        <v>7912</v>
      </c>
      <c r="B1679" s="15" t="s">
        <v>1464</v>
      </c>
      <c r="C1679" s="15" t="s">
        <v>7842</v>
      </c>
      <c r="D1679" s="15" t="s">
        <v>7843</v>
      </c>
      <c r="E1679" s="15" t="s">
        <v>7913</v>
      </c>
    </row>
    <row r="1680" spans="1:5" ht="25.5" x14ac:dyDescent="0.2">
      <c r="A1680" s="14" t="s">
        <v>7914</v>
      </c>
      <c r="B1680" s="15" t="s">
        <v>316</v>
      </c>
      <c r="C1680" s="15" t="s">
        <v>7842</v>
      </c>
      <c r="D1680" s="15" t="s">
        <v>7843</v>
      </c>
      <c r="E1680" s="15" t="s">
        <v>7915</v>
      </c>
    </row>
    <row r="1681" spans="1:5" ht="25.5" x14ac:dyDescent="0.2">
      <c r="A1681" s="14" t="s">
        <v>7916</v>
      </c>
      <c r="B1681" s="15" t="s">
        <v>316</v>
      </c>
      <c r="C1681" s="15" t="s">
        <v>7842</v>
      </c>
      <c r="D1681" s="15" t="s">
        <v>7843</v>
      </c>
      <c r="E1681" s="15" t="s">
        <v>7917</v>
      </c>
    </row>
    <row r="1682" spans="1:5" ht="25.5" x14ac:dyDescent="0.2">
      <c r="A1682" s="14" t="s">
        <v>7918</v>
      </c>
      <c r="B1682" s="15" t="s">
        <v>1087</v>
      </c>
      <c r="C1682" s="15" t="s">
        <v>7842</v>
      </c>
      <c r="D1682" s="15" t="s">
        <v>7843</v>
      </c>
      <c r="E1682" s="15" t="s">
        <v>7919</v>
      </c>
    </row>
    <row r="1683" spans="1:5" ht="25.5" x14ac:dyDescent="0.2">
      <c r="A1683" s="14" t="s">
        <v>7920</v>
      </c>
      <c r="B1683" s="15" t="s">
        <v>1086</v>
      </c>
      <c r="C1683" s="15" t="s">
        <v>7842</v>
      </c>
      <c r="D1683" s="15" t="s">
        <v>7843</v>
      </c>
      <c r="E1683" s="15" t="s">
        <v>7921</v>
      </c>
    </row>
    <row r="1684" spans="1:5" ht="25.5" x14ac:dyDescent="0.2">
      <c r="A1684" s="14" t="s">
        <v>7922</v>
      </c>
      <c r="B1684" s="15" t="s">
        <v>1085</v>
      </c>
      <c r="C1684" s="15" t="s">
        <v>7842</v>
      </c>
      <c r="D1684" s="15" t="s">
        <v>7843</v>
      </c>
      <c r="E1684" s="15" t="s">
        <v>7923</v>
      </c>
    </row>
    <row r="1685" spans="1:5" ht="25.5" x14ac:dyDescent="0.2">
      <c r="A1685" s="14" t="s">
        <v>7924</v>
      </c>
      <c r="B1685" s="15" t="s">
        <v>1088</v>
      </c>
      <c r="C1685" s="15" t="s">
        <v>7842</v>
      </c>
      <c r="D1685" s="15" t="s">
        <v>7843</v>
      </c>
      <c r="E1685" s="15" t="s">
        <v>7925</v>
      </c>
    </row>
    <row r="1686" spans="1:5" ht="25.5" x14ac:dyDescent="0.2">
      <c r="A1686" s="14" t="s">
        <v>7926</v>
      </c>
      <c r="B1686" s="15" t="s">
        <v>865</v>
      </c>
      <c r="C1686" s="15" t="s">
        <v>7842</v>
      </c>
      <c r="D1686" s="15" t="s">
        <v>7843</v>
      </c>
      <c r="E1686" s="15" t="s">
        <v>7927</v>
      </c>
    </row>
    <row r="1687" spans="1:5" ht="25.5" x14ac:dyDescent="0.2">
      <c r="A1687" s="14" t="s">
        <v>7928</v>
      </c>
      <c r="B1687" s="15" t="s">
        <v>976</v>
      </c>
      <c r="C1687" s="15" t="s">
        <v>7842</v>
      </c>
      <c r="D1687" s="15" t="s">
        <v>7843</v>
      </c>
      <c r="E1687" s="15" t="s">
        <v>7929</v>
      </c>
    </row>
    <row r="1688" spans="1:5" ht="25.5" x14ac:dyDescent="0.2">
      <c r="A1688" s="14" t="s">
        <v>7930</v>
      </c>
      <c r="B1688" s="15" t="s">
        <v>727</v>
      </c>
      <c r="C1688" s="15" t="s">
        <v>7842</v>
      </c>
      <c r="D1688" s="15" t="s">
        <v>7843</v>
      </c>
      <c r="E1688" s="15" t="s">
        <v>7931</v>
      </c>
    </row>
    <row r="1689" spans="1:5" ht="25.5" x14ac:dyDescent="0.2">
      <c r="A1689" s="14" t="s">
        <v>7932</v>
      </c>
      <c r="B1689" s="15" t="s">
        <v>728</v>
      </c>
      <c r="C1689" s="15" t="s">
        <v>7842</v>
      </c>
      <c r="D1689" s="15" t="s">
        <v>7843</v>
      </c>
      <c r="E1689" s="15" t="s">
        <v>7933</v>
      </c>
    </row>
    <row r="1690" spans="1:5" ht="25.5" x14ac:dyDescent="0.2">
      <c r="A1690" s="14" t="s">
        <v>7934</v>
      </c>
      <c r="B1690" s="15" t="s">
        <v>729</v>
      </c>
      <c r="C1690" s="15" t="s">
        <v>7842</v>
      </c>
      <c r="D1690" s="15" t="s">
        <v>7843</v>
      </c>
      <c r="E1690" s="15" t="s">
        <v>7935</v>
      </c>
    </row>
    <row r="1691" spans="1:5" ht="25.5" x14ac:dyDescent="0.2">
      <c r="A1691" s="14" t="s">
        <v>7936</v>
      </c>
      <c r="B1691" s="15" t="s">
        <v>698</v>
      </c>
      <c r="C1691" s="15" t="s">
        <v>7842</v>
      </c>
      <c r="D1691" s="15" t="s">
        <v>7843</v>
      </c>
      <c r="E1691" s="15" t="s">
        <v>7937</v>
      </c>
    </row>
    <row r="1692" spans="1:5" ht="25.5" x14ac:dyDescent="0.2">
      <c r="A1692" s="14" t="s">
        <v>7938</v>
      </c>
      <c r="B1692" s="15" t="s">
        <v>7939</v>
      </c>
      <c r="C1692" s="15" t="s">
        <v>7842</v>
      </c>
      <c r="D1692" s="15" t="s">
        <v>7843</v>
      </c>
      <c r="E1692" s="15" t="s">
        <v>7940</v>
      </c>
    </row>
    <row r="1693" spans="1:5" ht="25.5" x14ac:dyDescent="0.2">
      <c r="A1693" s="14" t="s">
        <v>7941</v>
      </c>
      <c r="B1693" s="15" t="s">
        <v>7942</v>
      </c>
      <c r="C1693" s="15" t="s">
        <v>7842</v>
      </c>
      <c r="D1693" s="15" t="s">
        <v>7843</v>
      </c>
      <c r="E1693" s="15" t="s">
        <v>7943</v>
      </c>
    </row>
    <row r="1694" spans="1:5" ht="25.5" x14ac:dyDescent="0.2">
      <c r="A1694" s="14" t="s">
        <v>7944</v>
      </c>
      <c r="B1694" s="15" t="s">
        <v>1078</v>
      </c>
      <c r="C1694" s="15" t="s">
        <v>7842</v>
      </c>
      <c r="D1694" s="15" t="s">
        <v>7843</v>
      </c>
      <c r="E1694" s="15" t="s">
        <v>7945</v>
      </c>
    </row>
    <row r="1695" spans="1:5" ht="25.5" x14ac:dyDescent="0.2">
      <c r="A1695" s="14" t="s">
        <v>7946</v>
      </c>
      <c r="B1695" s="15" t="s">
        <v>1077</v>
      </c>
      <c r="C1695" s="15" t="s">
        <v>7842</v>
      </c>
      <c r="D1695" s="15" t="s">
        <v>7843</v>
      </c>
      <c r="E1695" s="15" t="s">
        <v>7947</v>
      </c>
    </row>
    <row r="1696" spans="1:5" ht="25.5" x14ac:dyDescent="0.2">
      <c r="A1696" s="14" t="s">
        <v>7948</v>
      </c>
      <c r="B1696" s="15" t="s">
        <v>1076</v>
      </c>
      <c r="C1696" s="15" t="s">
        <v>7842</v>
      </c>
      <c r="D1696" s="15" t="s">
        <v>7843</v>
      </c>
      <c r="E1696" s="15" t="s">
        <v>7949</v>
      </c>
    </row>
    <row r="1697" spans="1:5" ht="25.5" x14ac:dyDescent="0.2">
      <c r="A1697" s="14" t="s">
        <v>7950</v>
      </c>
      <c r="B1697" s="15" t="s">
        <v>1075</v>
      </c>
      <c r="C1697" s="15" t="s">
        <v>7842</v>
      </c>
      <c r="D1697" s="15" t="s">
        <v>7843</v>
      </c>
      <c r="E1697" s="15" t="s">
        <v>7951</v>
      </c>
    </row>
    <row r="1698" spans="1:5" ht="25.5" x14ac:dyDescent="0.2">
      <c r="A1698" s="14" t="s">
        <v>7952</v>
      </c>
      <c r="B1698" s="15" t="s">
        <v>1074</v>
      </c>
      <c r="C1698" s="15" t="s">
        <v>7842</v>
      </c>
      <c r="D1698" s="15" t="s">
        <v>7843</v>
      </c>
      <c r="E1698" s="15" t="s">
        <v>7953</v>
      </c>
    </row>
    <row r="1699" spans="1:5" ht="25.5" x14ac:dyDescent="0.2">
      <c r="A1699" s="14" t="s">
        <v>7954</v>
      </c>
      <c r="B1699" s="15" t="s">
        <v>1073</v>
      </c>
      <c r="C1699" s="15" t="s">
        <v>7842</v>
      </c>
      <c r="D1699" s="15" t="s">
        <v>7843</v>
      </c>
      <c r="E1699" s="15" t="s">
        <v>7955</v>
      </c>
    </row>
    <row r="1700" spans="1:5" ht="25.5" x14ac:dyDescent="0.2">
      <c r="A1700" s="14" t="s">
        <v>7956</v>
      </c>
      <c r="B1700" s="15" t="s">
        <v>1072</v>
      </c>
      <c r="C1700" s="15" t="s">
        <v>7842</v>
      </c>
      <c r="D1700" s="15" t="s">
        <v>7843</v>
      </c>
      <c r="E1700" s="15" t="s">
        <v>7957</v>
      </c>
    </row>
    <row r="1701" spans="1:5" ht="25.5" x14ac:dyDescent="0.2">
      <c r="A1701" s="14" t="s">
        <v>7958</v>
      </c>
      <c r="B1701" s="15" t="s">
        <v>1071</v>
      </c>
      <c r="C1701" s="15" t="s">
        <v>7842</v>
      </c>
      <c r="D1701" s="15" t="s">
        <v>7843</v>
      </c>
      <c r="E1701" s="15" t="s">
        <v>7959</v>
      </c>
    </row>
    <row r="1702" spans="1:5" ht="25.5" x14ac:dyDescent="0.2">
      <c r="A1702" s="14" t="s">
        <v>7960</v>
      </c>
      <c r="B1702" s="15" t="s">
        <v>7961</v>
      </c>
      <c r="C1702" s="15" t="s">
        <v>7842</v>
      </c>
      <c r="D1702" s="15" t="s">
        <v>7843</v>
      </c>
      <c r="E1702" s="15" t="s">
        <v>7962</v>
      </c>
    </row>
    <row r="1703" spans="1:5" ht="25.5" x14ac:dyDescent="0.2">
      <c r="A1703" s="14" t="s">
        <v>7963</v>
      </c>
      <c r="B1703" s="15" t="s">
        <v>7964</v>
      </c>
      <c r="C1703" s="15" t="s">
        <v>7842</v>
      </c>
      <c r="D1703" s="15" t="s">
        <v>7843</v>
      </c>
      <c r="E1703" s="15" t="s">
        <v>7965</v>
      </c>
    </row>
    <row r="1704" spans="1:5" ht="25.5" x14ac:dyDescent="0.2">
      <c r="A1704" s="14" t="s">
        <v>7966</v>
      </c>
      <c r="B1704" s="15" t="s">
        <v>7967</v>
      </c>
      <c r="C1704" s="15" t="s">
        <v>7842</v>
      </c>
      <c r="D1704" s="15" t="s">
        <v>7843</v>
      </c>
      <c r="E1704" s="15" t="s">
        <v>7968</v>
      </c>
    </row>
    <row r="1705" spans="1:5" ht="25.5" x14ac:dyDescent="0.2">
      <c r="A1705" s="14" t="s">
        <v>7969</v>
      </c>
      <c r="B1705" s="15" t="s">
        <v>694</v>
      </c>
      <c r="C1705" s="15" t="s">
        <v>7842</v>
      </c>
      <c r="D1705" s="15" t="s">
        <v>7843</v>
      </c>
      <c r="E1705" s="15" t="s">
        <v>7970</v>
      </c>
    </row>
    <row r="1706" spans="1:5" ht="25.5" x14ac:dyDescent="0.2">
      <c r="A1706" s="14" t="s">
        <v>7971</v>
      </c>
      <c r="B1706" s="15" t="s">
        <v>7972</v>
      </c>
      <c r="C1706" s="15" t="s">
        <v>7842</v>
      </c>
      <c r="D1706" s="15" t="s">
        <v>7843</v>
      </c>
      <c r="E1706" s="15" t="s">
        <v>7973</v>
      </c>
    </row>
    <row r="1707" spans="1:5" ht="25.5" x14ac:dyDescent="0.2">
      <c r="A1707" s="14" t="s">
        <v>7974</v>
      </c>
      <c r="B1707" s="15" t="s">
        <v>7975</v>
      </c>
      <c r="C1707" s="15" t="s">
        <v>7842</v>
      </c>
      <c r="D1707" s="15" t="s">
        <v>7843</v>
      </c>
      <c r="E1707" s="15" t="s">
        <v>7976</v>
      </c>
    </row>
    <row r="1708" spans="1:5" ht="25.5" x14ac:dyDescent="0.2">
      <c r="A1708" s="14" t="s">
        <v>7977</v>
      </c>
      <c r="B1708" s="15" t="s">
        <v>7978</v>
      </c>
      <c r="C1708" s="15" t="s">
        <v>7842</v>
      </c>
      <c r="D1708" s="15" t="s">
        <v>7843</v>
      </c>
      <c r="E1708" s="15" t="s">
        <v>7979</v>
      </c>
    </row>
    <row r="1709" spans="1:5" ht="25.5" x14ac:dyDescent="0.2">
      <c r="A1709" s="14" t="s">
        <v>7980</v>
      </c>
      <c r="B1709" s="15" t="s">
        <v>7981</v>
      </c>
      <c r="C1709" s="15" t="s">
        <v>7842</v>
      </c>
      <c r="D1709" s="15" t="s">
        <v>7843</v>
      </c>
      <c r="E1709" s="15" t="s">
        <v>7982</v>
      </c>
    </row>
    <row r="1710" spans="1:5" ht="25.5" x14ac:dyDescent="0.2">
      <c r="A1710" s="14" t="s">
        <v>7983</v>
      </c>
      <c r="B1710" s="15" t="s">
        <v>7984</v>
      </c>
      <c r="C1710" s="15" t="s">
        <v>7842</v>
      </c>
      <c r="D1710" s="15" t="s">
        <v>7843</v>
      </c>
      <c r="E1710" s="15" t="s">
        <v>7985</v>
      </c>
    </row>
    <row r="1711" spans="1:5" ht="25.5" x14ac:dyDescent="0.2">
      <c r="A1711" s="14" t="s">
        <v>7986</v>
      </c>
      <c r="B1711" s="15" t="s">
        <v>707</v>
      </c>
      <c r="C1711" s="15" t="s">
        <v>7842</v>
      </c>
      <c r="D1711" s="15" t="s">
        <v>7843</v>
      </c>
      <c r="E1711" s="15" t="s">
        <v>7987</v>
      </c>
    </row>
    <row r="1712" spans="1:5" ht="25.5" x14ac:dyDescent="0.2">
      <c r="A1712" s="14" t="s">
        <v>7988</v>
      </c>
      <c r="B1712" s="15" t="s">
        <v>708</v>
      </c>
      <c r="C1712" s="15" t="s">
        <v>7842</v>
      </c>
      <c r="D1712" s="15" t="s">
        <v>7843</v>
      </c>
      <c r="E1712" s="15" t="s">
        <v>7989</v>
      </c>
    </row>
    <row r="1713" spans="1:5" ht="25.5" x14ac:dyDescent="0.2">
      <c r="A1713" s="14" t="s">
        <v>7990</v>
      </c>
      <c r="B1713" s="15" t="s">
        <v>709</v>
      </c>
      <c r="C1713" s="15" t="s">
        <v>7842</v>
      </c>
      <c r="D1713" s="15" t="s">
        <v>7843</v>
      </c>
      <c r="E1713" s="15" t="s">
        <v>7991</v>
      </c>
    </row>
    <row r="1714" spans="1:5" ht="25.5" x14ac:dyDescent="0.2">
      <c r="A1714" s="14" t="s">
        <v>7992</v>
      </c>
      <c r="B1714" s="15" t="s">
        <v>464</v>
      </c>
      <c r="C1714" s="15" t="s">
        <v>7842</v>
      </c>
      <c r="D1714" s="15" t="s">
        <v>7843</v>
      </c>
      <c r="E1714" s="15" t="s">
        <v>7993</v>
      </c>
    </row>
    <row r="1715" spans="1:5" ht="25.5" x14ac:dyDescent="0.2">
      <c r="A1715" s="14" t="s">
        <v>7994</v>
      </c>
      <c r="B1715" s="15" t="s">
        <v>751</v>
      </c>
      <c r="C1715" s="15" t="s">
        <v>7842</v>
      </c>
      <c r="D1715" s="15" t="s">
        <v>7843</v>
      </c>
      <c r="E1715" s="15" t="s">
        <v>7995</v>
      </c>
    </row>
    <row r="1716" spans="1:5" ht="25.5" x14ac:dyDescent="0.2">
      <c r="A1716" s="14" t="s">
        <v>7996</v>
      </c>
      <c r="B1716" s="15" t="s">
        <v>180</v>
      </c>
      <c r="C1716" s="15" t="s">
        <v>7842</v>
      </c>
      <c r="D1716" s="15" t="s">
        <v>7843</v>
      </c>
      <c r="E1716" s="15" t="s">
        <v>7997</v>
      </c>
    </row>
    <row r="1717" spans="1:5" ht="25.5" x14ac:dyDescent="0.2">
      <c r="A1717" s="14" t="s">
        <v>7998</v>
      </c>
      <c r="B1717" s="15" t="s">
        <v>1560</v>
      </c>
      <c r="C1717" s="15" t="s">
        <v>7842</v>
      </c>
      <c r="D1717" s="15" t="s">
        <v>7843</v>
      </c>
      <c r="E1717" s="15" t="s">
        <v>7999</v>
      </c>
    </row>
    <row r="1718" spans="1:5" ht="25.5" x14ac:dyDescent="0.2">
      <c r="A1718" s="14" t="s">
        <v>8000</v>
      </c>
      <c r="B1718" s="15" t="s">
        <v>8001</v>
      </c>
      <c r="C1718" s="15" t="s">
        <v>7842</v>
      </c>
      <c r="D1718" s="15" t="s">
        <v>7843</v>
      </c>
      <c r="E1718" s="15" t="s">
        <v>8002</v>
      </c>
    </row>
    <row r="1719" spans="1:5" ht="25.5" x14ac:dyDescent="0.2">
      <c r="A1719" s="14" t="s">
        <v>8003</v>
      </c>
      <c r="B1719" s="15" t="s">
        <v>8004</v>
      </c>
      <c r="C1719" s="15" t="s">
        <v>7842</v>
      </c>
      <c r="D1719" s="15" t="s">
        <v>7843</v>
      </c>
      <c r="E1719" s="15" t="s">
        <v>8005</v>
      </c>
    </row>
    <row r="1720" spans="1:5" ht="25.5" x14ac:dyDescent="0.2">
      <c r="A1720" s="14" t="s">
        <v>8006</v>
      </c>
      <c r="B1720" s="15" t="s">
        <v>1204</v>
      </c>
      <c r="C1720" s="15" t="s">
        <v>7842</v>
      </c>
      <c r="D1720" s="15" t="s">
        <v>7843</v>
      </c>
      <c r="E1720" s="15" t="s">
        <v>8007</v>
      </c>
    </row>
    <row r="1721" spans="1:5" ht="25.5" x14ac:dyDescent="0.2">
      <c r="A1721" s="14" t="s">
        <v>8008</v>
      </c>
      <c r="B1721" s="15" t="s">
        <v>8009</v>
      </c>
      <c r="C1721" s="15" t="s">
        <v>7842</v>
      </c>
      <c r="D1721" s="15" t="s">
        <v>7843</v>
      </c>
      <c r="E1721" s="15" t="s">
        <v>8010</v>
      </c>
    </row>
    <row r="1722" spans="1:5" ht="25.5" x14ac:dyDescent="0.2">
      <c r="A1722" s="14" t="s">
        <v>8011</v>
      </c>
      <c r="B1722" s="15" t="s">
        <v>8012</v>
      </c>
      <c r="C1722" s="15" t="s">
        <v>7842</v>
      </c>
      <c r="D1722" s="15" t="s">
        <v>7843</v>
      </c>
      <c r="E1722" s="15" t="s">
        <v>8013</v>
      </c>
    </row>
    <row r="1723" spans="1:5" ht="25.5" x14ac:dyDescent="0.2">
      <c r="A1723" s="14" t="s">
        <v>8014</v>
      </c>
      <c r="B1723" s="15" t="s">
        <v>1465</v>
      </c>
      <c r="C1723" s="15" t="s">
        <v>7842</v>
      </c>
      <c r="D1723" s="15" t="s">
        <v>7843</v>
      </c>
      <c r="E1723" s="15" t="s">
        <v>8015</v>
      </c>
    </row>
    <row r="1724" spans="1:5" ht="25.5" x14ac:dyDescent="0.2">
      <c r="A1724" s="14" t="s">
        <v>8016</v>
      </c>
      <c r="B1724" s="15" t="s">
        <v>8017</v>
      </c>
      <c r="C1724" s="15" t="s">
        <v>7842</v>
      </c>
      <c r="D1724" s="15" t="s">
        <v>7843</v>
      </c>
      <c r="E1724" s="15" t="s">
        <v>8018</v>
      </c>
    </row>
    <row r="1725" spans="1:5" ht="25.5" x14ac:dyDescent="0.2">
      <c r="A1725" s="14" t="s">
        <v>8019</v>
      </c>
      <c r="B1725" s="15" t="s">
        <v>825</v>
      </c>
      <c r="C1725" s="15" t="s">
        <v>7842</v>
      </c>
      <c r="D1725" s="15" t="s">
        <v>7843</v>
      </c>
      <c r="E1725" s="15" t="s">
        <v>8020</v>
      </c>
    </row>
    <row r="1726" spans="1:5" ht="25.5" x14ac:dyDescent="0.2">
      <c r="A1726" s="14" t="s">
        <v>8021</v>
      </c>
      <c r="B1726" s="15" t="s">
        <v>8022</v>
      </c>
      <c r="C1726" s="15" t="s">
        <v>7842</v>
      </c>
      <c r="D1726" s="15" t="s">
        <v>7843</v>
      </c>
      <c r="E1726" s="15" t="s">
        <v>8023</v>
      </c>
    </row>
    <row r="1727" spans="1:5" ht="25.5" x14ac:dyDescent="0.2">
      <c r="A1727" s="14" t="s">
        <v>8024</v>
      </c>
      <c r="B1727" s="15" t="s">
        <v>1207</v>
      </c>
      <c r="C1727" s="15" t="s">
        <v>7842</v>
      </c>
      <c r="D1727" s="15" t="s">
        <v>7843</v>
      </c>
      <c r="E1727" s="15" t="s">
        <v>8025</v>
      </c>
    </row>
    <row r="1728" spans="1:5" ht="25.5" x14ac:dyDescent="0.2">
      <c r="A1728" s="14" t="s">
        <v>8026</v>
      </c>
      <c r="B1728" s="15" t="s">
        <v>8027</v>
      </c>
      <c r="C1728" s="15" t="s">
        <v>7842</v>
      </c>
      <c r="D1728" s="15" t="s">
        <v>7843</v>
      </c>
      <c r="E1728" s="15" t="s">
        <v>8028</v>
      </c>
    </row>
    <row r="1729" spans="1:5" ht="25.5" x14ac:dyDescent="0.2">
      <c r="A1729" s="14" t="s">
        <v>8029</v>
      </c>
      <c r="B1729" s="15" t="s">
        <v>8030</v>
      </c>
      <c r="C1729" s="15" t="s">
        <v>7842</v>
      </c>
      <c r="D1729" s="15" t="s">
        <v>7843</v>
      </c>
      <c r="E1729" s="15" t="s">
        <v>8031</v>
      </c>
    </row>
    <row r="1730" spans="1:5" ht="25.5" x14ac:dyDescent="0.2">
      <c r="A1730" s="14" t="s">
        <v>8032</v>
      </c>
      <c r="B1730" s="15" t="s">
        <v>8033</v>
      </c>
      <c r="C1730" s="15" t="s">
        <v>7842</v>
      </c>
      <c r="D1730" s="15" t="s">
        <v>7843</v>
      </c>
      <c r="E1730" s="15" t="s">
        <v>8034</v>
      </c>
    </row>
    <row r="1731" spans="1:5" ht="25.5" x14ac:dyDescent="0.2">
      <c r="A1731" s="14" t="s">
        <v>8035</v>
      </c>
      <c r="B1731" s="15" t="s">
        <v>8036</v>
      </c>
      <c r="C1731" s="15" t="s">
        <v>7842</v>
      </c>
      <c r="D1731" s="15" t="s">
        <v>7843</v>
      </c>
      <c r="E1731" s="15" t="s">
        <v>8037</v>
      </c>
    </row>
    <row r="1732" spans="1:5" ht="25.5" x14ac:dyDescent="0.2">
      <c r="A1732" s="14" t="s">
        <v>8038</v>
      </c>
      <c r="B1732" s="15" t="s">
        <v>873</v>
      </c>
      <c r="C1732" s="15" t="s">
        <v>8039</v>
      </c>
      <c r="D1732" s="15" t="s">
        <v>8040</v>
      </c>
      <c r="E1732" s="15" t="s">
        <v>8041</v>
      </c>
    </row>
    <row r="1733" spans="1:5" ht="25.5" x14ac:dyDescent="0.2">
      <c r="A1733" s="14" t="s">
        <v>8042</v>
      </c>
      <c r="B1733" s="15" t="s">
        <v>8043</v>
      </c>
      <c r="C1733" s="15" t="s">
        <v>7842</v>
      </c>
      <c r="D1733" s="15" t="s">
        <v>7843</v>
      </c>
      <c r="E1733" s="15" t="s">
        <v>8044</v>
      </c>
    </row>
    <row r="1734" spans="1:5" ht="25.5" x14ac:dyDescent="0.2">
      <c r="A1734" s="14" t="s">
        <v>8045</v>
      </c>
      <c r="B1734" s="15" t="s">
        <v>8046</v>
      </c>
      <c r="C1734" s="15" t="s">
        <v>7842</v>
      </c>
      <c r="D1734" s="15" t="s">
        <v>7843</v>
      </c>
      <c r="E1734" s="15" t="s">
        <v>8047</v>
      </c>
    </row>
    <row r="1735" spans="1:5" ht="25.5" x14ac:dyDescent="0.2">
      <c r="A1735" s="14" t="s">
        <v>8048</v>
      </c>
      <c r="B1735" s="15" t="s">
        <v>1469</v>
      </c>
      <c r="C1735" s="15" t="s">
        <v>7842</v>
      </c>
      <c r="D1735" s="15" t="s">
        <v>7843</v>
      </c>
      <c r="E1735" s="15" t="s">
        <v>8049</v>
      </c>
    </row>
    <row r="1736" spans="1:5" ht="25.5" x14ac:dyDescent="0.2">
      <c r="A1736" s="14" t="s">
        <v>8050</v>
      </c>
      <c r="B1736" s="15" t="s">
        <v>8051</v>
      </c>
      <c r="C1736" s="15" t="s">
        <v>7842</v>
      </c>
      <c r="D1736" s="15" t="s">
        <v>7843</v>
      </c>
      <c r="E1736" s="15" t="s">
        <v>8052</v>
      </c>
    </row>
    <row r="1737" spans="1:5" ht="25.5" x14ac:dyDescent="0.2">
      <c r="A1737" s="14" t="s">
        <v>8053</v>
      </c>
      <c r="B1737" s="15" t="s">
        <v>1400</v>
      </c>
      <c r="C1737" s="15" t="s">
        <v>7842</v>
      </c>
      <c r="D1737" s="15" t="s">
        <v>7843</v>
      </c>
      <c r="E1737" s="15" t="s">
        <v>8054</v>
      </c>
    </row>
    <row r="1738" spans="1:5" ht="25.5" x14ac:dyDescent="0.2">
      <c r="A1738" s="14" t="s">
        <v>8055</v>
      </c>
      <c r="B1738" s="15" t="s">
        <v>1241</v>
      </c>
      <c r="C1738" s="15" t="s">
        <v>7842</v>
      </c>
      <c r="D1738" s="15" t="s">
        <v>7843</v>
      </c>
      <c r="E1738" s="15" t="s">
        <v>8056</v>
      </c>
    </row>
    <row r="1739" spans="1:5" ht="25.5" x14ac:dyDescent="0.2">
      <c r="A1739" s="14" t="s">
        <v>8057</v>
      </c>
      <c r="B1739" s="15" t="s">
        <v>1237</v>
      </c>
      <c r="C1739" s="15" t="s">
        <v>7842</v>
      </c>
      <c r="D1739" s="15" t="s">
        <v>7843</v>
      </c>
      <c r="E1739" s="15" t="s">
        <v>8058</v>
      </c>
    </row>
    <row r="1740" spans="1:5" ht="25.5" x14ac:dyDescent="0.2">
      <c r="A1740" s="14" t="s">
        <v>8059</v>
      </c>
      <c r="B1740" s="15" t="s">
        <v>1237</v>
      </c>
      <c r="C1740" s="15" t="s">
        <v>7842</v>
      </c>
      <c r="D1740" s="15" t="s">
        <v>7843</v>
      </c>
      <c r="E1740" s="15" t="s">
        <v>8060</v>
      </c>
    </row>
    <row r="1741" spans="1:5" ht="25.5" x14ac:dyDescent="0.2">
      <c r="A1741" s="14" t="s">
        <v>8061</v>
      </c>
      <c r="B1741" s="15" t="s">
        <v>182</v>
      </c>
      <c r="C1741" s="15" t="s">
        <v>7842</v>
      </c>
      <c r="D1741" s="15" t="s">
        <v>7843</v>
      </c>
      <c r="E1741" s="15" t="s">
        <v>8062</v>
      </c>
    </row>
    <row r="1742" spans="1:5" ht="25.5" x14ac:dyDescent="0.2">
      <c r="A1742" s="14" t="s">
        <v>8063</v>
      </c>
      <c r="B1742" s="15" t="s">
        <v>816</v>
      </c>
      <c r="C1742" s="15" t="s">
        <v>7842</v>
      </c>
      <c r="D1742" s="15" t="s">
        <v>7843</v>
      </c>
      <c r="E1742" s="15" t="s">
        <v>8064</v>
      </c>
    </row>
    <row r="1743" spans="1:5" ht="25.5" x14ac:dyDescent="0.2">
      <c r="A1743" s="14" t="s">
        <v>8065</v>
      </c>
      <c r="B1743" s="15" t="s">
        <v>1401</v>
      </c>
      <c r="C1743" s="15" t="s">
        <v>7842</v>
      </c>
      <c r="D1743" s="15" t="s">
        <v>7843</v>
      </c>
      <c r="E1743" s="15" t="s">
        <v>8066</v>
      </c>
    </row>
    <row r="1744" spans="1:5" ht="25.5" x14ac:dyDescent="0.2">
      <c r="A1744" s="14" t="s">
        <v>8067</v>
      </c>
      <c r="B1744" s="15" t="s">
        <v>1252</v>
      </c>
      <c r="C1744" s="15" t="s">
        <v>7842</v>
      </c>
      <c r="D1744" s="15" t="s">
        <v>7843</v>
      </c>
      <c r="E1744" s="15" t="s">
        <v>8068</v>
      </c>
    </row>
    <row r="1745" spans="1:5" ht="25.5" x14ac:dyDescent="0.2">
      <c r="A1745" s="14" t="s">
        <v>8069</v>
      </c>
      <c r="B1745" s="15" t="s">
        <v>1253</v>
      </c>
      <c r="C1745" s="15" t="s">
        <v>7842</v>
      </c>
      <c r="D1745" s="15" t="s">
        <v>7843</v>
      </c>
      <c r="E1745" s="15" t="s">
        <v>8070</v>
      </c>
    </row>
    <row r="1746" spans="1:5" ht="25.5" x14ac:dyDescent="0.2">
      <c r="A1746" s="14" t="s">
        <v>8071</v>
      </c>
      <c r="B1746" s="15" t="s">
        <v>1372</v>
      </c>
      <c r="C1746" s="15" t="s">
        <v>7842</v>
      </c>
      <c r="D1746" s="15" t="s">
        <v>7843</v>
      </c>
      <c r="E1746" s="15" t="s">
        <v>8072</v>
      </c>
    </row>
    <row r="1747" spans="1:5" ht="25.5" x14ac:dyDescent="0.2">
      <c r="A1747" s="14" t="s">
        <v>8073</v>
      </c>
      <c r="B1747" s="15" t="s">
        <v>1236</v>
      </c>
      <c r="C1747" s="15" t="s">
        <v>7842</v>
      </c>
      <c r="D1747" s="15" t="s">
        <v>7843</v>
      </c>
      <c r="E1747" s="15" t="s">
        <v>8074</v>
      </c>
    </row>
    <row r="1748" spans="1:5" ht="25.5" x14ac:dyDescent="0.2">
      <c r="A1748" s="14" t="s">
        <v>8075</v>
      </c>
      <c r="B1748" s="15" t="s">
        <v>1036</v>
      </c>
      <c r="C1748" s="15" t="s">
        <v>7842</v>
      </c>
      <c r="D1748" s="15" t="s">
        <v>7843</v>
      </c>
      <c r="E1748" s="15" t="s">
        <v>8076</v>
      </c>
    </row>
    <row r="1749" spans="1:5" ht="25.5" x14ac:dyDescent="0.2">
      <c r="A1749" s="14" t="s">
        <v>8077</v>
      </c>
      <c r="B1749" s="15" t="s">
        <v>8078</v>
      </c>
      <c r="C1749" s="15" t="s">
        <v>7842</v>
      </c>
      <c r="D1749" s="15" t="s">
        <v>7843</v>
      </c>
      <c r="E1749" s="15" t="s">
        <v>8079</v>
      </c>
    </row>
    <row r="1750" spans="1:5" ht="25.5" x14ac:dyDescent="0.2">
      <c r="A1750" s="14" t="s">
        <v>8080</v>
      </c>
      <c r="B1750" s="15" t="s">
        <v>8081</v>
      </c>
      <c r="C1750" s="15" t="s">
        <v>7842</v>
      </c>
      <c r="D1750" s="15" t="s">
        <v>7843</v>
      </c>
      <c r="E1750" s="15" t="s">
        <v>8082</v>
      </c>
    </row>
    <row r="1751" spans="1:5" ht="25.5" x14ac:dyDescent="0.2">
      <c r="A1751" s="14" t="s">
        <v>8083</v>
      </c>
      <c r="B1751" s="15" t="s">
        <v>1238</v>
      </c>
      <c r="C1751" s="15" t="s">
        <v>7842</v>
      </c>
      <c r="D1751" s="15" t="s">
        <v>7843</v>
      </c>
      <c r="E1751" s="15" t="s">
        <v>8084</v>
      </c>
    </row>
    <row r="1752" spans="1:5" ht="25.5" x14ac:dyDescent="0.2">
      <c r="A1752" s="14" t="s">
        <v>8085</v>
      </c>
      <c r="B1752" s="15" t="s">
        <v>1250</v>
      </c>
      <c r="C1752" s="15" t="s">
        <v>7842</v>
      </c>
      <c r="D1752" s="15" t="s">
        <v>7843</v>
      </c>
      <c r="E1752" s="15" t="s">
        <v>8086</v>
      </c>
    </row>
    <row r="1753" spans="1:5" ht="25.5" x14ac:dyDescent="0.2">
      <c r="A1753" s="14" t="s">
        <v>8087</v>
      </c>
      <c r="B1753" s="15" t="s">
        <v>8088</v>
      </c>
      <c r="C1753" s="15" t="s">
        <v>7842</v>
      </c>
      <c r="D1753" s="15" t="s">
        <v>7843</v>
      </c>
      <c r="E1753" s="15" t="s">
        <v>8089</v>
      </c>
    </row>
    <row r="1754" spans="1:5" ht="25.5" x14ac:dyDescent="0.2">
      <c r="A1754" s="14" t="s">
        <v>8090</v>
      </c>
      <c r="B1754" s="15" t="s">
        <v>8091</v>
      </c>
      <c r="C1754" s="15" t="s">
        <v>7842</v>
      </c>
      <c r="D1754" s="15" t="s">
        <v>7843</v>
      </c>
      <c r="E1754" s="15" t="s">
        <v>8092</v>
      </c>
    </row>
    <row r="1755" spans="1:5" ht="25.5" x14ac:dyDescent="0.2">
      <c r="A1755" s="14" t="s">
        <v>8093</v>
      </c>
      <c r="B1755" s="15" t="s">
        <v>8094</v>
      </c>
      <c r="C1755" s="15" t="s">
        <v>7842</v>
      </c>
      <c r="D1755" s="15" t="s">
        <v>7843</v>
      </c>
      <c r="E1755" s="15" t="s">
        <v>8095</v>
      </c>
    </row>
    <row r="1756" spans="1:5" ht="25.5" x14ac:dyDescent="0.2">
      <c r="A1756" s="14" t="s">
        <v>8096</v>
      </c>
      <c r="B1756" s="15" t="s">
        <v>1402</v>
      </c>
      <c r="C1756" s="15" t="s">
        <v>7842</v>
      </c>
      <c r="D1756" s="15" t="s">
        <v>7843</v>
      </c>
      <c r="E1756" s="15" t="s">
        <v>8097</v>
      </c>
    </row>
    <row r="1757" spans="1:5" ht="25.5" x14ac:dyDescent="0.2">
      <c r="A1757" s="14" t="s">
        <v>8098</v>
      </c>
      <c r="B1757" s="15" t="s">
        <v>960</v>
      </c>
      <c r="C1757" s="15" t="s">
        <v>7842</v>
      </c>
      <c r="D1757" s="15" t="s">
        <v>7843</v>
      </c>
      <c r="E1757" s="15" t="s">
        <v>8099</v>
      </c>
    </row>
    <row r="1758" spans="1:5" ht="25.5" x14ac:dyDescent="0.2">
      <c r="A1758" s="14" t="s">
        <v>8100</v>
      </c>
      <c r="B1758" s="15" t="s">
        <v>8101</v>
      </c>
      <c r="C1758" s="15" t="s">
        <v>7842</v>
      </c>
      <c r="D1758" s="15" t="s">
        <v>7843</v>
      </c>
      <c r="E1758" s="15" t="s">
        <v>8102</v>
      </c>
    </row>
    <row r="1759" spans="1:5" ht="25.5" x14ac:dyDescent="0.2">
      <c r="A1759" s="14" t="s">
        <v>8103</v>
      </c>
      <c r="B1759" s="15" t="s">
        <v>1467</v>
      </c>
      <c r="C1759" s="15" t="s">
        <v>7842</v>
      </c>
      <c r="D1759" s="15" t="s">
        <v>7843</v>
      </c>
      <c r="E1759" s="15" t="s">
        <v>8104</v>
      </c>
    </row>
    <row r="1760" spans="1:5" ht="25.5" x14ac:dyDescent="0.2">
      <c r="A1760" s="14" t="s">
        <v>8105</v>
      </c>
      <c r="B1760" s="15" t="s">
        <v>1466</v>
      </c>
      <c r="C1760" s="15" t="s">
        <v>7842</v>
      </c>
      <c r="D1760" s="15" t="s">
        <v>7843</v>
      </c>
      <c r="E1760" s="15" t="s">
        <v>8106</v>
      </c>
    </row>
    <row r="1761" spans="1:5" ht="25.5" x14ac:dyDescent="0.2">
      <c r="A1761" s="14" t="s">
        <v>8107</v>
      </c>
      <c r="B1761" s="15" t="s">
        <v>1205</v>
      </c>
      <c r="C1761" s="15" t="s">
        <v>7842</v>
      </c>
      <c r="D1761" s="15" t="s">
        <v>7843</v>
      </c>
      <c r="E1761" s="15" t="s">
        <v>8108</v>
      </c>
    </row>
    <row r="1762" spans="1:5" ht="25.5" x14ac:dyDescent="0.2">
      <c r="A1762" s="14" t="s">
        <v>8109</v>
      </c>
      <c r="B1762" s="15" t="s">
        <v>1194</v>
      </c>
      <c r="C1762" s="15" t="s">
        <v>7842</v>
      </c>
      <c r="D1762" s="15" t="s">
        <v>7843</v>
      </c>
      <c r="E1762" s="15" t="s">
        <v>8110</v>
      </c>
    </row>
    <row r="1763" spans="1:5" ht="25.5" x14ac:dyDescent="0.2">
      <c r="A1763" s="14" t="s">
        <v>8111</v>
      </c>
      <c r="B1763" s="15" t="s">
        <v>8112</v>
      </c>
      <c r="C1763" s="15" t="s">
        <v>7842</v>
      </c>
      <c r="D1763" s="15" t="s">
        <v>7843</v>
      </c>
      <c r="E1763" s="15" t="s">
        <v>8113</v>
      </c>
    </row>
    <row r="1764" spans="1:5" ht="25.5" x14ac:dyDescent="0.2">
      <c r="A1764" s="14" t="s">
        <v>8114</v>
      </c>
      <c r="B1764" s="15" t="s">
        <v>8115</v>
      </c>
      <c r="C1764" s="15" t="s">
        <v>7842</v>
      </c>
      <c r="D1764" s="15" t="s">
        <v>7843</v>
      </c>
      <c r="E1764" s="15" t="s">
        <v>8116</v>
      </c>
    </row>
    <row r="1765" spans="1:5" ht="25.5" x14ac:dyDescent="0.2">
      <c r="A1765" s="14" t="s">
        <v>8117</v>
      </c>
      <c r="B1765" s="15" t="s">
        <v>8118</v>
      </c>
      <c r="C1765" s="15" t="s">
        <v>7842</v>
      </c>
      <c r="D1765" s="15" t="s">
        <v>7843</v>
      </c>
      <c r="E1765" s="15" t="s">
        <v>8119</v>
      </c>
    </row>
    <row r="1766" spans="1:5" ht="25.5" x14ac:dyDescent="0.2">
      <c r="A1766" s="14" t="s">
        <v>8120</v>
      </c>
      <c r="B1766" s="15" t="s">
        <v>176</v>
      </c>
      <c r="C1766" s="15" t="s">
        <v>7842</v>
      </c>
      <c r="D1766" s="15" t="s">
        <v>7843</v>
      </c>
      <c r="E1766" s="15" t="s">
        <v>8121</v>
      </c>
    </row>
    <row r="1767" spans="1:5" ht="25.5" x14ac:dyDescent="0.2">
      <c r="A1767" s="14" t="s">
        <v>8122</v>
      </c>
      <c r="B1767" s="15" t="s">
        <v>1195</v>
      </c>
      <c r="C1767" s="15" t="s">
        <v>7842</v>
      </c>
      <c r="D1767" s="15" t="s">
        <v>7843</v>
      </c>
      <c r="E1767" s="15" t="s">
        <v>8123</v>
      </c>
    </row>
    <row r="1768" spans="1:5" ht="25.5" x14ac:dyDescent="0.2">
      <c r="A1768" s="14" t="s">
        <v>8124</v>
      </c>
      <c r="B1768" s="15" t="s">
        <v>1206</v>
      </c>
      <c r="C1768" s="15" t="s">
        <v>7842</v>
      </c>
      <c r="D1768" s="15" t="s">
        <v>7843</v>
      </c>
      <c r="E1768" s="15" t="s">
        <v>8125</v>
      </c>
    </row>
    <row r="1769" spans="1:5" ht="25.5" x14ac:dyDescent="0.2">
      <c r="A1769" s="14" t="s">
        <v>8126</v>
      </c>
      <c r="B1769" s="15" t="s">
        <v>961</v>
      </c>
      <c r="C1769" s="15" t="s">
        <v>7842</v>
      </c>
      <c r="D1769" s="15" t="s">
        <v>7843</v>
      </c>
      <c r="E1769" s="15" t="s">
        <v>8127</v>
      </c>
    </row>
    <row r="1770" spans="1:5" ht="25.5" x14ac:dyDescent="0.2">
      <c r="A1770" s="14" t="s">
        <v>8128</v>
      </c>
      <c r="B1770" s="15" t="s">
        <v>1193</v>
      </c>
      <c r="C1770" s="15" t="s">
        <v>7842</v>
      </c>
      <c r="D1770" s="15" t="s">
        <v>7843</v>
      </c>
      <c r="E1770" s="15" t="s">
        <v>8129</v>
      </c>
    </row>
    <row r="1771" spans="1:5" ht="25.5" x14ac:dyDescent="0.2">
      <c r="A1771" s="14" t="s">
        <v>8130</v>
      </c>
      <c r="B1771" s="15" t="s">
        <v>1208</v>
      </c>
      <c r="C1771" s="15" t="s">
        <v>7842</v>
      </c>
      <c r="D1771" s="15" t="s">
        <v>7843</v>
      </c>
      <c r="E1771" s="15" t="s">
        <v>8131</v>
      </c>
    </row>
    <row r="1772" spans="1:5" ht="25.5" x14ac:dyDescent="0.2">
      <c r="A1772" s="14" t="s">
        <v>8132</v>
      </c>
      <c r="B1772" s="15" t="s">
        <v>1196</v>
      </c>
      <c r="C1772" s="15" t="s">
        <v>7842</v>
      </c>
      <c r="D1772" s="15" t="s">
        <v>7843</v>
      </c>
      <c r="E1772" s="15" t="s">
        <v>8133</v>
      </c>
    </row>
    <row r="1773" spans="1:5" ht="25.5" x14ac:dyDescent="0.2">
      <c r="A1773" s="14" t="s">
        <v>8134</v>
      </c>
      <c r="B1773" s="15" t="s">
        <v>746</v>
      </c>
      <c r="C1773" s="15" t="s">
        <v>7842</v>
      </c>
      <c r="D1773" s="15" t="s">
        <v>7843</v>
      </c>
      <c r="E1773" s="15" t="s">
        <v>8135</v>
      </c>
    </row>
    <row r="1774" spans="1:5" ht="25.5" x14ac:dyDescent="0.2">
      <c r="A1774" s="14" t="s">
        <v>8136</v>
      </c>
      <c r="B1774" s="15" t="s">
        <v>1203</v>
      </c>
      <c r="C1774" s="15" t="s">
        <v>7842</v>
      </c>
      <c r="D1774" s="15" t="s">
        <v>7843</v>
      </c>
      <c r="E1774" s="15" t="s">
        <v>8137</v>
      </c>
    </row>
    <row r="1775" spans="1:5" ht="25.5" x14ac:dyDescent="0.2">
      <c r="A1775" s="14" t="s">
        <v>8138</v>
      </c>
      <c r="B1775" s="15" t="s">
        <v>8139</v>
      </c>
      <c r="C1775" s="15" t="s">
        <v>7842</v>
      </c>
      <c r="D1775" s="15" t="s">
        <v>7843</v>
      </c>
      <c r="E1775" s="15" t="s">
        <v>8140</v>
      </c>
    </row>
    <row r="1776" spans="1:5" ht="25.5" x14ac:dyDescent="0.2">
      <c r="A1776" s="14" t="s">
        <v>8141</v>
      </c>
      <c r="B1776" s="15" t="s">
        <v>8142</v>
      </c>
      <c r="C1776" s="15" t="s">
        <v>7842</v>
      </c>
      <c r="D1776" s="15" t="s">
        <v>7843</v>
      </c>
      <c r="E1776" s="15" t="s">
        <v>8143</v>
      </c>
    </row>
    <row r="1777" spans="1:5" ht="25.5" x14ac:dyDescent="0.2">
      <c r="A1777" s="14" t="s">
        <v>8144</v>
      </c>
      <c r="B1777" s="15" t="s">
        <v>1198</v>
      </c>
      <c r="C1777" s="15" t="s">
        <v>7842</v>
      </c>
      <c r="D1777" s="15" t="s">
        <v>7843</v>
      </c>
      <c r="E1777" s="15" t="s">
        <v>8145</v>
      </c>
    </row>
    <row r="1778" spans="1:5" ht="25.5" x14ac:dyDescent="0.2">
      <c r="A1778" s="14" t="s">
        <v>8146</v>
      </c>
      <c r="B1778" s="15" t="s">
        <v>2</v>
      </c>
      <c r="C1778" s="15" t="s">
        <v>7842</v>
      </c>
      <c r="D1778" s="15" t="s">
        <v>7843</v>
      </c>
      <c r="E1778" s="15" t="s">
        <v>8147</v>
      </c>
    </row>
    <row r="1779" spans="1:5" ht="25.5" x14ac:dyDescent="0.2">
      <c r="A1779" s="14" t="s">
        <v>8148</v>
      </c>
      <c r="B1779" s="15" t="s">
        <v>315</v>
      </c>
      <c r="C1779" s="15" t="s">
        <v>7842</v>
      </c>
      <c r="D1779" s="15" t="s">
        <v>7843</v>
      </c>
      <c r="E1779" s="15" t="s">
        <v>8149</v>
      </c>
    </row>
    <row r="1780" spans="1:5" ht="25.5" x14ac:dyDescent="0.2">
      <c r="A1780" s="14" t="s">
        <v>8150</v>
      </c>
      <c r="B1780" s="15" t="s">
        <v>315</v>
      </c>
      <c r="C1780" s="15" t="s">
        <v>7842</v>
      </c>
      <c r="D1780" s="15" t="s">
        <v>7843</v>
      </c>
      <c r="E1780" s="15" t="s">
        <v>8151</v>
      </c>
    </row>
    <row r="1781" spans="1:5" ht="25.5" x14ac:dyDescent="0.2">
      <c r="A1781" s="14" t="s">
        <v>8152</v>
      </c>
      <c r="B1781" s="15" t="s">
        <v>315</v>
      </c>
      <c r="C1781" s="15" t="s">
        <v>7842</v>
      </c>
      <c r="D1781" s="15" t="s">
        <v>7843</v>
      </c>
      <c r="E1781" s="15" t="s">
        <v>8153</v>
      </c>
    </row>
    <row r="1782" spans="1:5" ht="25.5" x14ac:dyDescent="0.2">
      <c r="A1782" s="14" t="s">
        <v>8154</v>
      </c>
      <c r="B1782" s="15" t="s">
        <v>1239</v>
      </c>
      <c r="C1782" s="15" t="s">
        <v>7842</v>
      </c>
      <c r="D1782" s="15" t="s">
        <v>7843</v>
      </c>
      <c r="E1782" s="15" t="s">
        <v>8155</v>
      </c>
    </row>
    <row r="1783" spans="1:5" ht="25.5" x14ac:dyDescent="0.2">
      <c r="A1783" s="14" t="s">
        <v>8156</v>
      </c>
      <c r="B1783" s="15" t="s">
        <v>1239</v>
      </c>
      <c r="C1783" s="15" t="s">
        <v>7842</v>
      </c>
      <c r="D1783" s="15" t="s">
        <v>7843</v>
      </c>
      <c r="E1783" s="15" t="s">
        <v>8157</v>
      </c>
    </row>
    <row r="1784" spans="1:5" ht="25.5" x14ac:dyDescent="0.2">
      <c r="A1784" s="14" t="s">
        <v>8158</v>
      </c>
      <c r="B1784" s="15" t="s">
        <v>1251</v>
      </c>
      <c r="C1784" s="15" t="s">
        <v>7842</v>
      </c>
      <c r="D1784" s="15" t="s">
        <v>7843</v>
      </c>
      <c r="E1784" s="15" t="s">
        <v>8159</v>
      </c>
    </row>
    <row r="1785" spans="1:5" ht="25.5" x14ac:dyDescent="0.2">
      <c r="A1785" s="14" t="s">
        <v>8160</v>
      </c>
      <c r="B1785" s="15" t="s">
        <v>8161</v>
      </c>
      <c r="C1785" s="15" t="s">
        <v>4850</v>
      </c>
      <c r="D1785" s="15" t="s">
        <v>4851</v>
      </c>
      <c r="E1785" s="15" t="s">
        <v>8162</v>
      </c>
    </row>
    <row r="1786" spans="1:5" ht="25.5" x14ac:dyDescent="0.2">
      <c r="A1786" s="14" t="s">
        <v>8163</v>
      </c>
      <c r="B1786" s="15" t="s">
        <v>8164</v>
      </c>
      <c r="C1786" s="15" t="s">
        <v>4800</v>
      </c>
      <c r="D1786" s="15" t="s">
        <v>4801</v>
      </c>
      <c r="E1786" s="15" t="s">
        <v>8165</v>
      </c>
    </row>
    <row r="1787" spans="1:5" ht="25.5" x14ac:dyDescent="0.2">
      <c r="A1787" s="14" t="s">
        <v>8166</v>
      </c>
      <c r="B1787" s="15" t="s">
        <v>8167</v>
      </c>
      <c r="C1787" s="15" t="s">
        <v>4800</v>
      </c>
      <c r="D1787" s="15" t="s">
        <v>4801</v>
      </c>
      <c r="E1787" s="15" t="s">
        <v>8168</v>
      </c>
    </row>
    <row r="1788" spans="1:5" ht="25.5" x14ac:dyDescent="0.2">
      <c r="A1788" s="14" t="s">
        <v>8169</v>
      </c>
      <c r="B1788" s="15" t="s">
        <v>8170</v>
      </c>
      <c r="C1788" s="15" t="s">
        <v>4800</v>
      </c>
      <c r="D1788" s="15" t="s">
        <v>4801</v>
      </c>
      <c r="E1788" s="15" t="s">
        <v>8171</v>
      </c>
    </row>
    <row r="1789" spans="1:5" ht="25.5" x14ac:dyDescent="0.2">
      <c r="A1789" s="14" t="s">
        <v>8172</v>
      </c>
      <c r="B1789" s="15" t="s">
        <v>8173</v>
      </c>
      <c r="C1789" s="15" t="s">
        <v>4800</v>
      </c>
      <c r="D1789" s="15" t="s">
        <v>4801</v>
      </c>
      <c r="E1789" s="15" t="s">
        <v>8174</v>
      </c>
    </row>
    <row r="1790" spans="1:5" ht="25.5" x14ac:dyDescent="0.2">
      <c r="A1790" s="14" t="s">
        <v>8175</v>
      </c>
      <c r="B1790" s="15" t="s">
        <v>8176</v>
      </c>
      <c r="C1790" s="15" t="s">
        <v>3323</v>
      </c>
      <c r="D1790" s="15" t="s">
        <v>3324</v>
      </c>
      <c r="E1790" s="15" t="s">
        <v>8177</v>
      </c>
    </row>
    <row r="1791" spans="1:5" ht="25.5" x14ac:dyDescent="0.2">
      <c r="A1791" s="14" t="s">
        <v>8178</v>
      </c>
      <c r="B1791" s="15" t="s">
        <v>8179</v>
      </c>
      <c r="C1791" s="15" t="s">
        <v>3323</v>
      </c>
      <c r="D1791" s="15" t="s">
        <v>3324</v>
      </c>
      <c r="E1791" s="15" t="s">
        <v>8180</v>
      </c>
    </row>
    <row r="1792" spans="1:5" ht="25.5" x14ac:dyDescent="0.2">
      <c r="A1792" s="14" t="s">
        <v>8181</v>
      </c>
      <c r="B1792" s="15" t="s">
        <v>8182</v>
      </c>
      <c r="C1792" s="15" t="s">
        <v>3323</v>
      </c>
      <c r="D1792" s="15" t="s">
        <v>3324</v>
      </c>
      <c r="E1792" s="15" t="s">
        <v>8183</v>
      </c>
    </row>
    <row r="1793" spans="1:5" ht="25.5" x14ac:dyDescent="0.2">
      <c r="A1793" s="14" t="s">
        <v>8184</v>
      </c>
      <c r="B1793" s="15" t="s">
        <v>1362</v>
      </c>
      <c r="C1793" s="15" t="s">
        <v>8185</v>
      </c>
      <c r="D1793" s="15" t="s">
        <v>8186</v>
      </c>
      <c r="E1793" s="15" t="s">
        <v>8187</v>
      </c>
    </row>
    <row r="1794" spans="1:5" ht="25.5" x14ac:dyDescent="0.2">
      <c r="A1794" s="14" t="s">
        <v>8188</v>
      </c>
      <c r="B1794" s="15" t="s">
        <v>138</v>
      </c>
      <c r="C1794" s="15" t="s">
        <v>3323</v>
      </c>
      <c r="D1794" s="15" t="s">
        <v>3324</v>
      </c>
      <c r="E1794" s="15" t="s">
        <v>8189</v>
      </c>
    </row>
    <row r="1795" spans="1:5" ht="25.5" x14ac:dyDescent="0.2">
      <c r="A1795" s="14" t="s">
        <v>8190</v>
      </c>
      <c r="B1795" s="15" t="s">
        <v>8191</v>
      </c>
      <c r="C1795" s="15" t="s">
        <v>4179</v>
      </c>
      <c r="D1795" s="15" t="s">
        <v>4180</v>
      </c>
      <c r="E1795" s="15" t="s">
        <v>8192</v>
      </c>
    </row>
    <row r="1796" spans="1:5" ht="25.5" x14ac:dyDescent="0.2">
      <c r="A1796" s="14" t="s">
        <v>8193</v>
      </c>
      <c r="B1796" s="15" t="s">
        <v>8194</v>
      </c>
      <c r="C1796" s="15" t="s">
        <v>3318</v>
      </c>
      <c r="D1796" s="15" t="s">
        <v>3319</v>
      </c>
      <c r="E1796" s="15" t="s">
        <v>8195</v>
      </c>
    </row>
    <row r="1797" spans="1:5" ht="25.5" x14ac:dyDescent="0.2">
      <c r="A1797" s="14" t="s">
        <v>8196</v>
      </c>
      <c r="B1797" s="15" t="s">
        <v>710</v>
      </c>
      <c r="C1797" s="15" t="s">
        <v>3318</v>
      </c>
      <c r="D1797" s="15" t="s">
        <v>3319</v>
      </c>
      <c r="E1797" s="15" t="s">
        <v>8197</v>
      </c>
    </row>
    <row r="1798" spans="1:5" ht="25.5" x14ac:dyDescent="0.2">
      <c r="A1798" s="14" t="s">
        <v>8198</v>
      </c>
      <c r="B1798" s="15" t="s">
        <v>8199</v>
      </c>
      <c r="C1798" s="15" t="s">
        <v>3318</v>
      </c>
      <c r="D1798" s="15" t="s">
        <v>3319</v>
      </c>
      <c r="E1798" s="15" t="s">
        <v>8200</v>
      </c>
    </row>
    <row r="1799" spans="1:5" ht="25.5" x14ac:dyDescent="0.2">
      <c r="A1799" s="14" t="s">
        <v>8201</v>
      </c>
      <c r="B1799" s="15" t="s">
        <v>8202</v>
      </c>
      <c r="C1799" s="15" t="s">
        <v>4104</v>
      </c>
      <c r="D1799" s="15" t="s">
        <v>4105</v>
      </c>
      <c r="E1799" s="15" t="s">
        <v>8203</v>
      </c>
    </row>
    <row r="1800" spans="1:5" ht="25.5" x14ac:dyDescent="0.2">
      <c r="A1800" s="14" t="s">
        <v>8204</v>
      </c>
      <c r="B1800" s="15" t="s">
        <v>8205</v>
      </c>
      <c r="C1800" s="15" t="s">
        <v>3318</v>
      </c>
      <c r="D1800" s="15" t="s">
        <v>3319</v>
      </c>
      <c r="E1800" s="15" t="s">
        <v>8206</v>
      </c>
    </row>
    <row r="1801" spans="1:5" ht="25.5" x14ac:dyDescent="0.2">
      <c r="A1801" s="14" t="s">
        <v>8207</v>
      </c>
      <c r="B1801" s="15" t="s">
        <v>8208</v>
      </c>
      <c r="C1801" s="15" t="s">
        <v>4349</v>
      </c>
      <c r="D1801" s="15" t="s">
        <v>4350</v>
      </c>
      <c r="E1801" s="15" t="s">
        <v>8209</v>
      </c>
    </row>
    <row r="1802" spans="1:5" ht="25.5" x14ac:dyDescent="0.2">
      <c r="A1802" s="14" t="s">
        <v>8210</v>
      </c>
      <c r="B1802" s="15" t="s">
        <v>8211</v>
      </c>
      <c r="C1802" s="15" t="s">
        <v>4349</v>
      </c>
      <c r="D1802" s="15" t="s">
        <v>4350</v>
      </c>
      <c r="E1802" s="15" t="s">
        <v>8212</v>
      </c>
    </row>
    <row r="1803" spans="1:5" ht="25.5" x14ac:dyDescent="0.2">
      <c r="A1803" s="14" t="s">
        <v>8213</v>
      </c>
      <c r="B1803" s="15" t="s">
        <v>8214</v>
      </c>
      <c r="C1803" s="15" t="s">
        <v>4349</v>
      </c>
      <c r="D1803" s="15" t="s">
        <v>4350</v>
      </c>
      <c r="E1803" s="15" t="s">
        <v>8215</v>
      </c>
    </row>
    <row r="1804" spans="1:5" ht="25.5" x14ac:dyDescent="0.2">
      <c r="A1804" s="14" t="s">
        <v>8216</v>
      </c>
      <c r="B1804" s="15" t="s">
        <v>8217</v>
      </c>
      <c r="C1804" s="15" t="s">
        <v>4349</v>
      </c>
      <c r="D1804" s="15" t="s">
        <v>4350</v>
      </c>
      <c r="E1804" s="15" t="s">
        <v>8218</v>
      </c>
    </row>
    <row r="1805" spans="1:5" ht="25.5" x14ac:dyDescent="0.2">
      <c r="A1805" s="14" t="s">
        <v>8219</v>
      </c>
      <c r="B1805" s="15" t="s">
        <v>8220</v>
      </c>
      <c r="C1805" s="15" t="s">
        <v>4349</v>
      </c>
      <c r="D1805" s="15" t="s">
        <v>4350</v>
      </c>
      <c r="E1805" s="15" t="s">
        <v>8221</v>
      </c>
    </row>
    <row r="1806" spans="1:5" ht="25.5" x14ac:dyDescent="0.2">
      <c r="A1806" s="14" t="s">
        <v>8222</v>
      </c>
      <c r="B1806" s="15" t="s">
        <v>8223</v>
      </c>
      <c r="C1806" s="15" t="s">
        <v>4349</v>
      </c>
      <c r="D1806" s="15" t="s">
        <v>4350</v>
      </c>
      <c r="E1806" s="15" t="s">
        <v>8224</v>
      </c>
    </row>
    <row r="1807" spans="1:5" ht="25.5" x14ac:dyDescent="0.2">
      <c r="A1807" s="14" t="s">
        <v>8225</v>
      </c>
      <c r="B1807" s="15" t="s">
        <v>8226</v>
      </c>
      <c r="C1807" s="15" t="s">
        <v>4349</v>
      </c>
      <c r="D1807" s="15" t="s">
        <v>4350</v>
      </c>
      <c r="E1807" s="15" t="s">
        <v>8227</v>
      </c>
    </row>
    <row r="1808" spans="1:5" ht="25.5" x14ac:dyDescent="0.2">
      <c r="A1808" s="14" t="s">
        <v>8228</v>
      </c>
      <c r="B1808" s="15" t="s">
        <v>8229</v>
      </c>
      <c r="C1808" s="15" t="s">
        <v>4349</v>
      </c>
      <c r="D1808" s="15" t="s">
        <v>4350</v>
      </c>
      <c r="E1808" s="15" t="s">
        <v>8230</v>
      </c>
    </row>
    <row r="1809" spans="1:5" ht="25.5" x14ac:dyDescent="0.2">
      <c r="A1809" s="14" t="s">
        <v>8231</v>
      </c>
      <c r="B1809" s="15" t="s">
        <v>8232</v>
      </c>
      <c r="C1809" s="15" t="s">
        <v>4349</v>
      </c>
      <c r="D1809" s="15" t="s">
        <v>4350</v>
      </c>
      <c r="E1809" s="15" t="s">
        <v>8233</v>
      </c>
    </row>
    <row r="1810" spans="1:5" ht="25.5" x14ac:dyDescent="0.2">
      <c r="A1810" s="14" t="s">
        <v>8234</v>
      </c>
      <c r="B1810" s="15" t="s">
        <v>8235</v>
      </c>
      <c r="C1810" s="15" t="s">
        <v>4349</v>
      </c>
      <c r="D1810" s="15" t="s">
        <v>4350</v>
      </c>
      <c r="E1810" s="15" t="s">
        <v>8236</v>
      </c>
    </row>
    <row r="1811" spans="1:5" ht="25.5" x14ac:dyDescent="0.2">
      <c r="A1811" s="14" t="s">
        <v>8237</v>
      </c>
      <c r="B1811" s="15" t="s">
        <v>434</v>
      </c>
      <c r="C1811" s="15" t="s">
        <v>4349</v>
      </c>
      <c r="D1811" s="15" t="s">
        <v>4350</v>
      </c>
      <c r="E1811" s="15" t="s">
        <v>8238</v>
      </c>
    </row>
    <row r="1812" spans="1:5" ht="25.5" x14ac:dyDescent="0.2">
      <c r="A1812" s="14" t="s">
        <v>8239</v>
      </c>
      <c r="B1812" s="15" t="s">
        <v>969</v>
      </c>
      <c r="C1812" s="15" t="s">
        <v>4349</v>
      </c>
      <c r="D1812" s="15" t="s">
        <v>4350</v>
      </c>
      <c r="E1812" s="15" t="s">
        <v>8240</v>
      </c>
    </row>
    <row r="1813" spans="1:5" ht="25.5" x14ac:dyDescent="0.2">
      <c r="A1813" s="14" t="s">
        <v>8241</v>
      </c>
      <c r="B1813" s="15" t="s">
        <v>264</v>
      </c>
      <c r="C1813" s="15" t="s">
        <v>4349</v>
      </c>
      <c r="D1813" s="15" t="s">
        <v>4350</v>
      </c>
      <c r="E1813" s="15" t="s">
        <v>8242</v>
      </c>
    </row>
    <row r="1814" spans="1:5" ht="25.5" x14ac:dyDescent="0.2">
      <c r="A1814" s="14" t="s">
        <v>8243</v>
      </c>
      <c r="B1814" s="15" t="s">
        <v>108</v>
      </c>
      <c r="C1814" s="15" t="s">
        <v>8244</v>
      </c>
      <c r="D1814" s="15" t="s">
        <v>8245</v>
      </c>
      <c r="E1814" s="15" t="s">
        <v>8246</v>
      </c>
    </row>
    <row r="1815" spans="1:5" ht="25.5" x14ac:dyDescent="0.2">
      <c r="A1815" s="14" t="s">
        <v>8247</v>
      </c>
      <c r="B1815" s="15" t="s">
        <v>439</v>
      </c>
      <c r="C1815" s="15" t="s">
        <v>4226</v>
      </c>
      <c r="D1815" s="15" t="s">
        <v>4227</v>
      </c>
      <c r="E1815" s="15" t="s">
        <v>8248</v>
      </c>
    </row>
    <row r="1816" spans="1:5" ht="25.5" x14ac:dyDescent="0.2">
      <c r="A1816" s="14" t="s">
        <v>8249</v>
      </c>
      <c r="B1816" s="15" t="s">
        <v>8250</v>
      </c>
      <c r="C1816" s="15" t="s">
        <v>4175</v>
      </c>
      <c r="D1816" s="15" t="s">
        <v>4176</v>
      </c>
      <c r="E1816" s="15" t="s">
        <v>8251</v>
      </c>
    </row>
    <row r="1817" spans="1:5" ht="25.5" x14ac:dyDescent="0.2">
      <c r="A1817" s="14" t="s">
        <v>8252</v>
      </c>
      <c r="B1817" s="15" t="s">
        <v>256</v>
      </c>
      <c r="C1817" s="15" t="s">
        <v>4226</v>
      </c>
      <c r="D1817" s="15" t="s">
        <v>4227</v>
      </c>
      <c r="E1817" s="15" t="s">
        <v>8253</v>
      </c>
    </row>
    <row r="1818" spans="1:5" ht="25.5" x14ac:dyDescent="0.2">
      <c r="A1818" s="14" t="s">
        <v>8254</v>
      </c>
      <c r="B1818" s="15" t="s">
        <v>8255</v>
      </c>
      <c r="C1818" s="15" t="s">
        <v>5459</v>
      </c>
      <c r="D1818" s="15" t="s">
        <v>5460</v>
      </c>
      <c r="E1818" s="15" t="s">
        <v>8256</v>
      </c>
    </row>
    <row r="1819" spans="1:5" ht="38.25" x14ac:dyDescent="0.2">
      <c r="A1819" s="14" t="s">
        <v>8257</v>
      </c>
      <c r="B1819" s="15" t="s">
        <v>130</v>
      </c>
      <c r="C1819" s="15" t="s">
        <v>5459</v>
      </c>
      <c r="D1819" s="15" t="s">
        <v>5460</v>
      </c>
      <c r="E1819" s="15" t="s">
        <v>8258</v>
      </c>
    </row>
    <row r="1820" spans="1:5" ht="38.25" x14ac:dyDescent="0.2">
      <c r="A1820" s="14" t="s">
        <v>8259</v>
      </c>
      <c r="B1820" s="15" t="s">
        <v>8260</v>
      </c>
      <c r="C1820" s="15" t="s">
        <v>5459</v>
      </c>
      <c r="D1820" s="15" t="s">
        <v>5460</v>
      </c>
      <c r="E1820" s="15" t="s">
        <v>8261</v>
      </c>
    </row>
    <row r="1821" spans="1:5" ht="38.25" x14ac:dyDescent="0.2">
      <c r="A1821" s="14" t="s">
        <v>8262</v>
      </c>
      <c r="B1821" s="15" t="s">
        <v>120</v>
      </c>
      <c r="C1821" s="15" t="s">
        <v>5459</v>
      </c>
      <c r="D1821" s="15" t="s">
        <v>5460</v>
      </c>
      <c r="E1821" s="15" t="s">
        <v>8263</v>
      </c>
    </row>
    <row r="1822" spans="1:5" ht="38.25" x14ac:dyDescent="0.2">
      <c r="A1822" s="14" t="s">
        <v>8264</v>
      </c>
      <c r="B1822" s="15" t="s">
        <v>8265</v>
      </c>
      <c r="C1822" s="15" t="s">
        <v>5459</v>
      </c>
      <c r="D1822" s="15" t="s">
        <v>5460</v>
      </c>
      <c r="E1822" s="15" t="s">
        <v>8266</v>
      </c>
    </row>
    <row r="1823" spans="1:5" ht="25.5" x14ac:dyDescent="0.2">
      <c r="A1823" s="14" t="s">
        <v>8267</v>
      </c>
      <c r="B1823" s="15" t="s">
        <v>8268</v>
      </c>
      <c r="C1823" s="15" t="s">
        <v>8269</v>
      </c>
      <c r="D1823" s="15" t="s">
        <v>8270</v>
      </c>
      <c r="E1823" s="15" t="s">
        <v>8271</v>
      </c>
    </row>
    <row r="1824" spans="1:5" ht="25.5" x14ac:dyDescent="0.2">
      <c r="A1824" s="14" t="s">
        <v>8272</v>
      </c>
      <c r="B1824" s="15" t="s">
        <v>202</v>
      </c>
      <c r="C1824" s="15" t="s">
        <v>8269</v>
      </c>
      <c r="D1824" s="15" t="s">
        <v>8270</v>
      </c>
      <c r="E1824" s="15" t="s">
        <v>8273</v>
      </c>
    </row>
    <row r="1825" spans="1:5" ht="25.5" x14ac:dyDescent="0.2">
      <c r="A1825" s="14" t="s">
        <v>8274</v>
      </c>
      <c r="B1825" s="15" t="s">
        <v>202</v>
      </c>
      <c r="C1825" s="15" t="s">
        <v>8269</v>
      </c>
      <c r="D1825" s="15" t="s">
        <v>8270</v>
      </c>
      <c r="E1825" s="15" t="s">
        <v>8275</v>
      </c>
    </row>
    <row r="1826" spans="1:5" ht="25.5" x14ac:dyDescent="0.2">
      <c r="A1826" s="14" t="s">
        <v>8276</v>
      </c>
      <c r="B1826" s="15" t="s">
        <v>1174</v>
      </c>
      <c r="C1826" s="15" t="s">
        <v>8269</v>
      </c>
      <c r="D1826" s="15" t="s">
        <v>8270</v>
      </c>
      <c r="E1826" s="15" t="s">
        <v>8277</v>
      </c>
    </row>
    <row r="1827" spans="1:5" ht="25.5" x14ac:dyDescent="0.2">
      <c r="A1827" s="14" t="s">
        <v>8278</v>
      </c>
      <c r="B1827" s="15" t="s">
        <v>471</v>
      </c>
      <c r="C1827" s="15" t="s">
        <v>8279</v>
      </c>
      <c r="D1827" s="15" t="s">
        <v>8280</v>
      </c>
      <c r="E1827" s="15" t="s">
        <v>8281</v>
      </c>
    </row>
    <row r="1828" spans="1:5" ht="25.5" x14ac:dyDescent="0.2">
      <c r="A1828" s="14" t="s">
        <v>8282</v>
      </c>
      <c r="B1828" s="15" t="s">
        <v>858</v>
      </c>
      <c r="C1828" s="15" t="s">
        <v>4800</v>
      </c>
      <c r="D1828" s="15" t="s">
        <v>4801</v>
      </c>
      <c r="E1828" s="15" t="s">
        <v>8283</v>
      </c>
    </row>
    <row r="1829" spans="1:5" ht="25.5" x14ac:dyDescent="0.2">
      <c r="A1829" s="14" t="s">
        <v>8284</v>
      </c>
      <c r="B1829" s="15" t="s">
        <v>1138</v>
      </c>
      <c r="C1829" s="15" t="s">
        <v>4800</v>
      </c>
      <c r="D1829" s="15" t="s">
        <v>4801</v>
      </c>
      <c r="E1829" s="15" t="s">
        <v>8285</v>
      </c>
    </row>
    <row r="1830" spans="1:5" ht="25.5" x14ac:dyDescent="0.2">
      <c r="A1830" s="14" t="s">
        <v>8286</v>
      </c>
      <c r="B1830" s="15" t="s">
        <v>8287</v>
      </c>
      <c r="C1830" s="15" t="s">
        <v>4668</v>
      </c>
      <c r="D1830" s="15" t="s">
        <v>4669</v>
      </c>
      <c r="E1830" s="15" t="s">
        <v>8288</v>
      </c>
    </row>
    <row r="1831" spans="1:5" ht="25.5" x14ac:dyDescent="0.2">
      <c r="A1831" s="14" t="s">
        <v>8289</v>
      </c>
      <c r="B1831" s="15" t="s">
        <v>8290</v>
      </c>
      <c r="C1831" s="15" t="s">
        <v>4668</v>
      </c>
      <c r="D1831" s="15" t="s">
        <v>4669</v>
      </c>
      <c r="E1831" s="15" t="s">
        <v>8291</v>
      </c>
    </row>
    <row r="1832" spans="1:5" ht="25.5" x14ac:dyDescent="0.2">
      <c r="A1832" s="14" t="s">
        <v>8292</v>
      </c>
      <c r="B1832" s="15" t="s">
        <v>1443</v>
      </c>
      <c r="C1832" s="15" t="s">
        <v>4668</v>
      </c>
      <c r="D1832" s="15" t="s">
        <v>4669</v>
      </c>
      <c r="E1832" s="15" t="s">
        <v>8293</v>
      </c>
    </row>
    <row r="1833" spans="1:5" ht="25.5" x14ac:dyDescent="0.2">
      <c r="A1833" s="14" t="s">
        <v>8294</v>
      </c>
      <c r="B1833" s="15" t="s">
        <v>8295</v>
      </c>
      <c r="C1833" s="15" t="s">
        <v>4668</v>
      </c>
      <c r="D1833" s="15" t="s">
        <v>4669</v>
      </c>
      <c r="E1833" s="15" t="s">
        <v>8296</v>
      </c>
    </row>
    <row r="1834" spans="1:5" ht="25.5" x14ac:dyDescent="0.2">
      <c r="A1834" s="14" t="s">
        <v>8297</v>
      </c>
      <c r="B1834" s="15" t="s">
        <v>8298</v>
      </c>
      <c r="C1834" s="15" t="s">
        <v>4800</v>
      </c>
      <c r="D1834" s="15" t="s">
        <v>4801</v>
      </c>
      <c r="E1834" s="15" t="s">
        <v>8299</v>
      </c>
    </row>
    <row r="1835" spans="1:5" ht="25.5" x14ac:dyDescent="0.2">
      <c r="A1835" s="14" t="s">
        <v>8300</v>
      </c>
      <c r="B1835" s="15" t="s">
        <v>8301</v>
      </c>
      <c r="C1835" s="15" t="s">
        <v>8302</v>
      </c>
      <c r="D1835" s="15" t="s">
        <v>8303</v>
      </c>
      <c r="E1835" s="15" t="s">
        <v>8304</v>
      </c>
    </row>
    <row r="1836" spans="1:5" ht="25.5" x14ac:dyDescent="0.2">
      <c r="A1836" s="14" t="s">
        <v>8305</v>
      </c>
      <c r="B1836" s="15" t="s">
        <v>8306</v>
      </c>
      <c r="C1836" s="15" t="s">
        <v>6609</v>
      </c>
      <c r="D1836" s="15" t="s">
        <v>6610</v>
      </c>
      <c r="E1836" s="15" t="s">
        <v>8307</v>
      </c>
    </row>
    <row r="1837" spans="1:5" ht="25.5" x14ac:dyDescent="0.2">
      <c r="A1837" s="14" t="s">
        <v>8308</v>
      </c>
      <c r="B1837" s="15" t="s">
        <v>8309</v>
      </c>
      <c r="C1837" s="15" t="s">
        <v>6609</v>
      </c>
      <c r="D1837" s="15" t="s">
        <v>6610</v>
      </c>
      <c r="E1837" s="15" t="s">
        <v>8310</v>
      </c>
    </row>
    <row r="1838" spans="1:5" ht="25.5" x14ac:dyDescent="0.2">
      <c r="A1838" s="14" t="s">
        <v>8311</v>
      </c>
      <c r="B1838" s="15" t="s">
        <v>232</v>
      </c>
      <c r="C1838" s="15" t="s">
        <v>4226</v>
      </c>
      <c r="D1838" s="15" t="s">
        <v>4227</v>
      </c>
      <c r="E1838" s="15" t="s">
        <v>8312</v>
      </c>
    </row>
    <row r="1839" spans="1:5" ht="25.5" x14ac:dyDescent="0.2">
      <c r="A1839" s="14" t="s">
        <v>8313</v>
      </c>
      <c r="B1839" s="15" t="s">
        <v>8314</v>
      </c>
      <c r="C1839" s="15" t="s">
        <v>6333</v>
      </c>
      <c r="D1839" s="15" t="s">
        <v>6334</v>
      </c>
      <c r="E1839" s="15" t="s">
        <v>8315</v>
      </c>
    </row>
    <row r="1840" spans="1:5" ht="25.5" x14ac:dyDescent="0.2">
      <c r="A1840" s="14" t="s">
        <v>8316</v>
      </c>
      <c r="B1840" s="15" t="s">
        <v>1192</v>
      </c>
      <c r="C1840" s="15" t="s">
        <v>6333</v>
      </c>
      <c r="D1840" s="15" t="s">
        <v>6334</v>
      </c>
      <c r="E1840" s="15" t="s">
        <v>8317</v>
      </c>
    </row>
    <row r="1841" spans="1:5" ht="25.5" x14ac:dyDescent="0.2">
      <c r="A1841" s="14" t="s">
        <v>8318</v>
      </c>
      <c r="B1841" s="15" t="s">
        <v>292</v>
      </c>
      <c r="C1841" s="15" t="s">
        <v>4874</v>
      </c>
      <c r="D1841" s="15" t="s">
        <v>4875</v>
      </c>
      <c r="E1841" s="15" t="s">
        <v>8319</v>
      </c>
    </row>
    <row r="1842" spans="1:5" ht="25.5" x14ac:dyDescent="0.2">
      <c r="A1842" s="14" t="s">
        <v>8320</v>
      </c>
      <c r="B1842" s="15" t="s">
        <v>8321</v>
      </c>
      <c r="C1842" s="15" t="s">
        <v>4029</v>
      </c>
      <c r="D1842" s="15" t="s">
        <v>4030</v>
      </c>
      <c r="E1842" s="15" t="s">
        <v>8322</v>
      </c>
    </row>
    <row r="1843" spans="1:5" ht="25.5" x14ac:dyDescent="0.2">
      <c r="A1843" s="14" t="s">
        <v>8323</v>
      </c>
      <c r="B1843" s="15" t="s">
        <v>1261</v>
      </c>
      <c r="C1843" s="15" t="s">
        <v>4764</v>
      </c>
      <c r="D1843" s="15" t="s">
        <v>4765</v>
      </c>
      <c r="E1843" s="15" t="s">
        <v>8324</v>
      </c>
    </row>
    <row r="1844" spans="1:5" ht="25.5" x14ac:dyDescent="0.2">
      <c r="A1844" s="14" t="s">
        <v>8325</v>
      </c>
      <c r="B1844" s="15" t="s">
        <v>8326</v>
      </c>
      <c r="C1844" s="15" t="s">
        <v>4764</v>
      </c>
      <c r="D1844" s="15" t="s">
        <v>4765</v>
      </c>
      <c r="E1844" s="15" t="s">
        <v>8327</v>
      </c>
    </row>
    <row r="1845" spans="1:5" ht="25.5" x14ac:dyDescent="0.2">
      <c r="A1845" s="14" t="s">
        <v>8328</v>
      </c>
      <c r="B1845" s="15" t="s">
        <v>1487</v>
      </c>
      <c r="C1845" s="15" t="s">
        <v>7522</v>
      </c>
      <c r="D1845" s="15" t="s">
        <v>7523</v>
      </c>
      <c r="E1845" s="15" t="s">
        <v>8329</v>
      </c>
    </row>
    <row r="1846" spans="1:5" ht="25.5" x14ac:dyDescent="0.2">
      <c r="A1846" s="14" t="s">
        <v>8330</v>
      </c>
      <c r="B1846" s="15" t="s">
        <v>8331</v>
      </c>
      <c r="C1846" s="15" t="s">
        <v>5671</v>
      </c>
      <c r="D1846" s="15" t="s">
        <v>5672</v>
      </c>
      <c r="E1846" s="15" t="s">
        <v>8332</v>
      </c>
    </row>
    <row r="1847" spans="1:5" ht="25.5" x14ac:dyDescent="0.2">
      <c r="A1847" s="14" t="s">
        <v>8333</v>
      </c>
      <c r="B1847" s="15" t="s">
        <v>1562</v>
      </c>
      <c r="C1847" s="15" t="s">
        <v>4764</v>
      </c>
      <c r="D1847" s="15" t="s">
        <v>4765</v>
      </c>
      <c r="E1847" s="15" t="s">
        <v>8334</v>
      </c>
    </row>
    <row r="1848" spans="1:5" ht="25.5" x14ac:dyDescent="0.2">
      <c r="A1848" s="14" t="s">
        <v>8335</v>
      </c>
      <c r="B1848" s="15" t="s">
        <v>1294</v>
      </c>
      <c r="C1848" s="15" t="s">
        <v>4764</v>
      </c>
      <c r="D1848" s="15" t="s">
        <v>4765</v>
      </c>
      <c r="E1848" s="15" t="s">
        <v>8336</v>
      </c>
    </row>
    <row r="1849" spans="1:5" ht="25.5" x14ac:dyDescent="0.2">
      <c r="A1849" s="14" t="s">
        <v>8337</v>
      </c>
      <c r="B1849" s="15" t="s">
        <v>8338</v>
      </c>
      <c r="C1849" s="15" t="s">
        <v>4175</v>
      </c>
      <c r="D1849" s="15" t="s">
        <v>4176</v>
      </c>
      <c r="E1849" s="15" t="s">
        <v>8339</v>
      </c>
    </row>
    <row r="1850" spans="1:5" ht="25.5" x14ac:dyDescent="0.2">
      <c r="A1850" s="14" t="s">
        <v>8340</v>
      </c>
      <c r="B1850" s="15" t="s">
        <v>8341</v>
      </c>
      <c r="C1850" s="15" t="s">
        <v>4175</v>
      </c>
      <c r="D1850" s="15" t="s">
        <v>4176</v>
      </c>
      <c r="E1850" s="15" t="s">
        <v>8342</v>
      </c>
    </row>
    <row r="1851" spans="1:5" ht="25.5" x14ac:dyDescent="0.2">
      <c r="A1851" s="14" t="s">
        <v>8343</v>
      </c>
      <c r="B1851" s="15" t="s">
        <v>8344</v>
      </c>
      <c r="C1851" s="15" t="s">
        <v>7616</v>
      </c>
      <c r="D1851" s="15" t="s">
        <v>7617</v>
      </c>
      <c r="E1851" s="15" t="s">
        <v>8345</v>
      </c>
    </row>
    <row r="1852" spans="1:5" ht="25.5" x14ac:dyDescent="0.2">
      <c r="A1852" s="14" t="s">
        <v>8346</v>
      </c>
      <c r="B1852" s="15" t="s">
        <v>54</v>
      </c>
      <c r="C1852" s="15" t="s">
        <v>4764</v>
      </c>
      <c r="D1852" s="15" t="s">
        <v>4765</v>
      </c>
      <c r="E1852" s="15" t="s">
        <v>8347</v>
      </c>
    </row>
    <row r="1853" spans="1:5" ht="25.5" x14ac:dyDescent="0.2">
      <c r="A1853" s="14" t="s">
        <v>8348</v>
      </c>
      <c r="B1853" s="15" t="s">
        <v>55</v>
      </c>
      <c r="C1853" s="15" t="s">
        <v>4764</v>
      </c>
      <c r="D1853" s="15" t="s">
        <v>4765</v>
      </c>
      <c r="E1853" s="15" t="s">
        <v>8349</v>
      </c>
    </row>
    <row r="1854" spans="1:5" ht="38.25" x14ac:dyDescent="0.2">
      <c r="A1854" s="14" t="s">
        <v>8350</v>
      </c>
      <c r="B1854" s="15" t="s">
        <v>1218</v>
      </c>
      <c r="C1854" s="15" t="s">
        <v>3343</v>
      </c>
      <c r="D1854" s="15" t="s">
        <v>3344</v>
      </c>
      <c r="E1854" s="15" t="s">
        <v>8351</v>
      </c>
    </row>
    <row r="1855" spans="1:5" ht="25.5" x14ac:dyDescent="0.2">
      <c r="A1855" s="14" t="s">
        <v>8352</v>
      </c>
      <c r="B1855" s="15" t="s">
        <v>1538</v>
      </c>
      <c r="C1855" s="15" t="s">
        <v>3343</v>
      </c>
      <c r="D1855" s="15" t="s">
        <v>3344</v>
      </c>
      <c r="E1855" s="15" t="s">
        <v>8353</v>
      </c>
    </row>
    <row r="1856" spans="1:5" ht="25.5" x14ac:dyDescent="0.2">
      <c r="A1856" s="14" t="s">
        <v>8354</v>
      </c>
      <c r="B1856" s="15" t="s">
        <v>1533</v>
      </c>
      <c r="C1856" s="15" t="s">
        <v>3343</v>
      </c>
      <c r="D1856" s="15" t="s">
        <v>3344</v>
      </c>
      <c r="E1856" s="15" t="s">
        <v>8355</v>
      </c>
    </row>
    <row r="1857" spans="1:5" ht="25.5" x14ac:dyDescent="0.2">
      <c r="A1857" s="14" t="s">
        <v>8356</v>
      </c>
      <c r="B1857" s="15" t="s">
        <v>1601</v>
      </c>
      <c r="C1857" s="15" t="s">
        <v>8357</v>
      </c>
      <c r="D1857" s="15" t="s">
        <v>8358</v>
      </c>
      <c r="E1857" s="15" t="s">
        <v>8359</v>
      </c>
    </row>
    <row r="1858" spans="1:5" ht="38.25" x14ac:dyDescent="0.2">
      <c r="A1858" s="14" t="s">
        <v>8360</v>
      </c>
      <c r="B1858" s="15" t="s">
        <v>1602</v>
      </c>
      <c r="C1858" s="15" t="s">
        <v>3343</v>
      </c>
      <c r="D1858" s="15" t="s">
        <v>3344</v>
      </c>
      <c r="E1858" s="15" t="s">
        <v>8361</v>
      </c>
    </row>
    <row r="1859" spans="1:5" ht="25.5" x14ac:dyDescent="0.2">
      <c r="A1859" s="14" t="s">
        <v>8362</v>
      </c>
      <c r="B1859" s="15" t="s">
        <v>8363</v>
      </c>
      <c r="C1859" s="15" t="s">
        <v>8364</v>
      </c>
      <c r="D1859" s="15" t="s">
        <v>8365</v>
      </c>
      <c r="E1859" s="15" t="s">
        <v>8366</v>
      </c>
    </row>
    <row r="1860" spans="1:5" ht="25.5" x14ac:dyDescent="0.2">
      <c r="A1860" s="14" t="s">
        <v>8367</v>
      </c>
      <c r="B1860" s="15" t="s">
        <v>8368</v>
      </c>
      <c r="C1860" s="15" t="s">
        <v>8364</v>
      </c>
      <c r="D1860" s="15" t="s">
        <v>8365</v>
      </c>
      <c r="E1860" s="15" t="s">
        <v>8369</v>
      </c>
    </row>
    <row r="1861" spans="1:5" ht="25.5" x14ac:dyDescent="0.2">
      <c r="A1861" s="14" t="s">
        <v>8370</v>
      </c>
      <c r="B1861" s="15" t="s">
        <v>1442</v>
      </c>
      <c r="C1861" s="15" t="s">
        <v>4829</v>
      </c>
      <c r="D1861" s="15" t="s">
        <v>4830</v>
      </c>
      <c r="E1861" s="15" t="s">
        <v>8371</v>
      </c>
    </row>
    <row r="1862" spans="1:5" ht="25.5" x14ac:dyDescent="0.2">
      <c r="A1862" s="14" t="s">
        <v>8372</v>
      </c>
      <c r="B1862" s="15" t="s">
        <v>8373</v>
      </c>
      <c r="C1862" s="15" t="s">
        <v>4069</v>
      </c>
      <c r="D1862" s="15" t="s">
        <v>4070</v>
      </c>
      <c r="E1862" s="15" t="s">
        <v>8374</v>
      </c>
    </row>
    <row r="1863" spans="1:5" ht="38.25" x14ac:dyDescent="0.2">
      <c r="A1863" s="14" t="s">
        <v>8375</v>
      </c>
      <c r="B1863" s="15" t="s">
        <v>8376</v>
      </c>
      <c r="C1863" s="15" t="s">
        <v>3303</v>
      </c>
      <c r="D1863" s="15" t="s">
        <v>3304</v>
      </c>
      <c r="E1863" s="15" t="s">
        <v>8377</v>
      </c>
    </row>
    <row r="1864" spans="1:5" ht="25.5" x14ac:dyDescent="0.2">
      <c r="A1864" s="14" t="s">
        <v>8378</v>
      </c>
      <c r="B1864" s="15" t="s">
        <v>181</v>
      </c>
      <c r="C1864" s="15" t="s">
        <v>8379</v>
      </c>
      <c r="D1864" s="15" t="s">
        <v>8380</v>
      </c>
      <c r="E1864" s="15" t="s">
        <v>8381</v>
      </c>
    </row>
    <row r="1865" spans="1:5" ht="25.5" x14ac:dyDescent="0.2">
      <c r="A1865" s="14" t="s">
        <v>8382</v>
      </c>
      <c r="B1865" s="15" t="s">
        <v>836</v>
      </c>
      <c r="C1865" s="15" t="s">
        <v>8383</v>
      </c>
      <c r="D1865" s="15" t="s">
        <v>8384</v>
      </c>
      <c r="E1865" s="15" t="s">
        <v>8385</v>
      </c>
    </row>
    <row r="1866" spans="1:5" ht="25.5" x14ac:dyDescent="0.2">
      <c r="A1866" s="14" t="s">
        <v>8386</v>
      </c>
      <c r="B1866" s="15" t="s">
        <v>8387</v>
      </c>
      <c r="C1866" s="15" t="s">
        <v>4800</v>
      </c>
      <c r="D1866" s="15" t="s">
        <v>4801</v>
      </c>
      <c r="E1866" s="15" t="s">
        <v>8388</v>
      </c>
    </row>
    <row r="1867" spans="1:5" ht="25.5" x14ac:dyDescent="0.2">
      <c r="A1867" s="14" t="s">
        <v>8389</v>
      </c>
      <c r="B1867" s="15" t="s">
        <v>165</v>
      </c>
      <c r="C1867" s="15" t="s">
        <v>8379</v>
      </c>
      <c r="D1867" s="15" t="s">
        <v>8380</v>
      </c>
      <c r="E1867" s="15" t="s">
        <v>8390</v>
      </c>
    </row>
    <row r="1868" spans="1:5" ht="25.5" x14ac:dyDescent="0.2">
      <c r="A1868" s="14" t="s">
        <v>8391</v>
      </c>
      <c r="B1868" s="15" t="s">
        <v>329</v>
      </c>
      <c r="C1868" s="15" t="s">
        <v>8383</v>
      </c>
      <c r="D1868" s="15" t="s">
        <v>8384</v>
      </c>
      <c r="E1868" s="15" t="s">
        <v>8392</v>
      </c>
    </row>
    <row r="1869" spans="1:5" ht="25.5" x14ac:dyDescent="0.2">
      <c r="A1869" s="14" t="s">
        <v>8393</v>
      </c>
      <c r="B1869" s="15" t="s">
        <v>8394</v>
      </c>
      <c r="C1869" s="15" t="s">
        <v>4800</v>
      </c>
      <c r="D1869" s="15" t="s">
        <v>4801</v>
      </c>
      <c r="E1869" s="15" t="s">
        <v>8395</v>
      </c>
    </row>
    <row r="1870" spans="1:5" ht="25.5" x14ac:dyDescent="0.2">
      <c r="A1870" s="14" t="s">
        <v>8396</v>
      </c>
      <c r="B1870" s="15" t="s">
        <v>8397</v>
      </c>
      <c r="C1870" s="15" t="s">
        <v>4878</v>
      </c>
      <c r="D1870" s="15" t="s">
        <v>4879</v>
      </c>
      <c r="E1870" s="15" t="s">
        <v>8398</v>
      </c>
    </row>
    <row r="1871" spans="1:5" ht="38.25" x14ac:dyDescent="0.2">
      <c r="A1871" s="14" t="s">
        <v>8399</v>
      </c>
      <c r="B1871" s="15" t="s">
        <v>8400</v>
      </c>
      <c r="C1871" s="15" t="s">
        <v>4029</v>
      </c>
      <c r="D1871" s="15" t="s">
        <v>4030</v>
      </c>
      <c r="E1871" s="15" t="s">
        <v>8401</v>
      </c>
    </row>
    <row r="1872" spans="1:5" ht="25.5" x14ac:dyDescent="0.2">
      <c r="A1872" s="14" t="s">
        <v>8402</v>
      </c>
      <c r="B1872" s="15" t="s">
        <v>8403</v>
      </c>
      <c r="C1872" s="15" t="s">
        <v>4029</v>
      </c>
      <c r="D1872" s="15" t="s">
        <v>4030</v>
      </c>
      <c r="E1872" s="15" t="s">
        <v>8404</v>
      </c>
    </row>
    <row r="1873" spans="1:5" ht="25.5" x14ac:dyDescent="0.2">
      <c r="A1873" s="14" t="s">
        <v>8405</v>
      </c>
      <c r="B1873" s="15" t="s">
        <v>8406</v>
      </c>
      <c r="C1873" s="15" t="s">
        <v>4029</v>
      </c>
      <c r="D1873" s="15" t="s">
        <v>4030</v>
      </c>
      <c r="E1873" s="15" t="s">
        <v>8407</v>
      </c>
    </row>
    <row r="1874" spans="1:5" ht="25.5" x14ac:dyDescent="0.2">
      <c r="A1874" s="14" t="s">
        <v>8408</v>
      </c>
      <c r="B1874" s="15" t="s">
        <v>8409</v>
      </c>
      <c r="C1874" s="15" t="s">
        <v>4029</v>
      </c>
      <c r="D1874" s="15" t="s">
        <v>4030</v>
      </c>
      <c r="E1874" s="15" t="s">
        <v>8410</v>
      </c>
    </row>
    <row r="1875" spans="1:5" ht="25.5" x14ac:dyDescent="0.2">
      <c r="A1875" s="14" t="s">
        <v>8411</v>
      </c>
      <c r="B1875" s="15" t="s">
        <v>347</v>
      </c>
      <c r="C1875" s="15" t="s">
        <v>8279</v>
      </c>
      <c r="D1875" s="15" t="s">
        <v>8280</v>
      </c>
      <c r="E1875" s="15" t="s">
        <v>8412</v>
      </c>
    </row>
    <row r="1876" spans="1:5" ht="25.5" x14ac:dyDescent="0.2">
      <c r="A1876" s="14" t="s">
        <v>8413</v>
      </c>
      <c r="B1876" s="15" t="s">
        <v>8414</v>
      </c>
      <c r="C1876" s="15" t="s">
        <v>3395</v>
      </c>
      <c r="D1876" s="15" t="s">
        <v>3396</v>
      </c>
      <c r="E1876" s="15" t="s">
        <v>8415</v>
      </c>
    </row>
    <row r="1877" spans="1:5" ht="25.5" x14ac:dyDescent="0.2">
      <c r="A1877" s="14" t="s">
        <v>8416</v>
      </c>
      <c r="B1877" s="15" t="s">
        <v>8414</v>
      </c>
      <c r="C1877" s="15" t="s">
        <v>4792</v>
      </c>
      <c r="D1877" s="15" t="s">
        <v>4793</v>
      </c>
      <c r="E1877" s="15" t="s">
        <v>8417</v>
      </c>
    </row>
    <row r="1878" spans="1:5" ht="25.5" x14ac:dyDescent="0.2">
      <c r="A1878" s="14" t="s">
        <v>8418</v>
      </c>
      <c r="B1878" s="15" t="s">
        <v>8419</v>
      </c>
      <c r="C1878" s="15" t="s">
        <v>3395</v>
      </c>
      <c r="D1878" s="15" t="s">
        <v>3396</v>
      </c>
      <c r="E1878" s="15" t="s">
        <v>8420</v>
      </c>
    </row>
    <row r="1879" spans="1:5" ht="38.25" x14ac:dyDescent="0.2">
      <c r="A1879" s="14" t="s">
        <v>8421</v>
      </c>
      <c r="B1879" s="15" t="s">
        <v>8422</v>
      </c>
      <c r="C1879" s="15" t="s">
        <v>4792</v>
      </c>
      <c r="D1879" s="15" t="s">
        <v>4793</v>
      </c>
      <c r="E1879" s="15" t="s">
        <v>8423</v>
      </c>
    </row>
    <row r="1880" spans="1:5" ht="25.5" x14ac:dyDescent="0.2">
      <c r="A1880" s="14" t="s">
        <v>8424</v>
      </c>
      <c r="B1880" s="15" t="s">
        <v>8425</v>
      </c>
      <c r="C1880" s="15" t="s">
        <v>4029</v>
      </c>
      <c r="D1880" s="15" t="s">
        <v>4030</v>
      </c>
      <c r="E1880" s="15" t="s">
        <v>8426</v>
      </c>
    </row>
    <row r="1881" spans="1:5" ht="25.5" x14ac:dyDescent="0.2">
      <c r="A1881" s="14" t="s">
        <v>8427</v>
      </c>
      <c r="B1881" s="15" t="s">
        <v>8428</v>
      </c>
      <c r="C1881" s="15" t="s">
        <v>4104</v>
      </c>
      <c r="D1881" s="15" t="s">
        <v>4105</v>
      </c>
      <c r="E1881" s="15" t="s">
        <v>8429</v>
      </c>
    </row>
    <row r="1882" spans="1:5" ht="25.5" x14ac:dyDescent="0.2">
      <c r="A1882" s="14" t="s">
        <v>8430</v>
      </c>
      <c r="B1882" s="15" t="s">
        <v>163</v>
      </c>
      <c r="C1882" s="15" t="s">
        <v>4082</v>
      </c>
      <c r="D1882" s="15" t="s">
        <v>4083</v>
      </c>
      <c r="E1882" s="15" t="s">
        <v>8431</v>
      </c>
    </row>
    <row r="1883" spans="1:5" ht="25.5" x14ac:dyDescent="0.2">
      <c r="A1883" s="14" t="s">
        <v>8432</v>
      </c>
      <c r="B1883" s="15" t="s">
        <v>8433</v>
      </c>
      <c r="C1883" s="15" t="s">
        <v>8434</v>
      </c>
      <c r="D1883" s="15" t="s">
        <v>8435</v>
      </c>
      <c r="E1883" s="15" t="s">
        <v>8436</v>
      </c>
    </row>
    <row r="1884" spans="1:5" ht="25.5" x14ac:dyDescent="0.2">
      <c r="A1884" s="14" t="s">
        <v>8437</v>
      </c>
      <c r="B1884" s="15" t="s">
        <v>8438</v>
      </c>
      <c r="C1884" s="15" t="s">
        <v>3318</v>
      </c>
      <c r="D1884" s="15" t="s">
        <v>3319</v>
      </c>
      <c r="E1884" s="15" t="s">
        <v>8439</v>
      </c>
    </row>
    <row r="1885" spans="1:5" ht="25.5" x14ac:dyDescent="0.2">
      <c r="A1885" s="14" t="s">
        <v>8440</v>
      </c>
      <c r="B1885" s="15" t="s">
        <v>768</v>
      </c>
      <c r="C1885" s="15" t="s">
        <v>4800</v>
      </c>
      <c r="D1885" s="15" t="s">
        <v>4801</v>
      </c>
      <c r="E1885" s="15" t="s">
        <v>8441</v>
      </c>
    </row>
    <row r="1886" spans="1:5" ht="25.5" x14ac:dyDescent="0.2">
      <c r="A1886" s="14" t="s">
        <v>8442</v>
      </c>
      <c r="B1886" s="15" t="s">
        <v>8443</v>
      </c>
      <c r="C1886" s="15" t="s">
        <v>6036</v>
      </c>
      <c r="D1886" s="15" t="s">
        <v>6037</v>
      </c>
      <c r="E1886" s="15" t="s">
        <v>8444</v>
      </c>
    </row>
    <row r="1887" spans="1:5" ht="25.5" x14ac:dyDescent="0.2">
      <c r="A1887" s="14" t="s">
        <v>8445</v>
      </c>
      <c r="B1887" s="15" t="s">
        <v>8446</v>
      </c>
      <c r="C1887" s="15" t="s">
        <v>6036</v>
      </c>
      <c r="D1887" s="15" t="s">
        <v>6037</v>
      </c>
      <c r="E1887" s="15" t="s">
        <v>8447</v>
      </c>
    </row>
    <row r="1888" spans="1:5" ht="25.5" x14ac:dyDescent="0.2">
      <c r="A1888" s="14" t="s">
        <v>8448</v>
      </c>
      <c r="B1888" s="15" t="s">
        <v>8449</v>
      </c>
      <c r="C1888" s="15" t="s">
        <v>6036</v>
      </c>
      <c r="D1888" s="15" t="s">
        <v>6037</v>
      </c>
      <c r="E1888" s="15" t="s">
        <v>8450</v>
      </c>
    </row>
    <row r="1889" spans="1:5" ht="25.5" x14ac:dyDescent="0.2">
      <c r="A1889" s="14" t="s">
        <v>8451</v>
      </c>
      <c r="B1889" s="15" t="s">
        <v>1477</v>
      </c>
      <c r="C1889" s="15" t="s">
        <v>6036</v>
      </c>
      <c r="D1889" s="15" t="s">
        <v>6037</v>
      </c>
      <c r="E1889" s="15" t="s">
        <v>8452</v>
      </c>
    </row>
    <row r="1890" spans="1:5" ht="25.5" x14ac:dyDescent="0.2">
      <c r="A1890" s="14" t="s">
        <v>8453</v>
      </c>
      <c r="B1890" s="15" t="s">
        <v>8454</v>
      </c>
      <c r="C1890" s="15" t="s">
        <v>4171</v>
      </c>
      <c r="D1890" s="15" t="s">
        <v>4172</v>
      </c>
      <c r="E1890" s="15" t="s">
        <v>8455</v>
      </c>
    </row>
    <row r="1891" spans="1:5" ht="25.5" x14ac:dyDescent="0.2">
      <c r="A1891" s="14" t="s">
        <v>8456</v>
      </c>
      <c r="B1891" s="15" t="s">
        <v>8457</v>
      </c>
      <c r="C1891" s="15" t="s">
        <v>4171</v>
      </c>
      <c r="D1891" s="15" t="s">
        <v>4172</v>
      </c>
      <c r="E1891" s="15" t="s">
        <v>8458</v>
      </c>
    </row>
    <row r="1892" spans="1:5" ht="25.5" x14ac:dyDescent="0.2">
      <c r="A1892" s="14" t="s">
        <v>8459</v>
      </c>
      <c r="B1892" s="15" t="s">
        <v>8460</v>
      </c>
      <c r="C1892" s="15" t="s">
        <v>4226</v>
      </c>
      <c r="D1892" s="15" t="s">
        <v>4227</v>
      </c>
      <c r="E1892" s="15" t="s">
        <v>8461</v>
      </c>
    </row>
    <row r="1893" spans="1:5" ht="25.5" x14ac:dyDescent="0.2">
      <c r="A1893" s="14" t="s">
        <v>8462</v>
      </c>
      <c r="B1893" s="15" t="s">
        <v>563</v>
      </c>
      <c r="C1893" s="15" t="s">
        <v>4307</v>
      </c>
      <c r="D1893" s="15" t="s">
        <v>4308</v>
      </c>
      <c r="E1893" s="15" t="s">
        <v>8463</v>
      </c>
    </row>
    <row r="1894" spans="1:5" ht="25.5" x14ac:dyDescent="0.2">
      <c r="A1894" s="14" t="s">
        <v>8464</v>
      </c>
      <c r="B1894" s="15" t="s">
        <v>1156</v>
      </c>
      <c r="C1894" s="15" t="s">
        <v>4203</v>
      </c>
      <c r="D1894" s="15" t="s">
        <v>4204</v>
      </c>
      <c r="E1894" s="15" t="s">
        <v>8465</v>
      </c>
    </row>
    <row r="1895" spans="1:5" ht="25.5" x14ac:dyDescent="0.2">
      <c r="A1895" s="14" t="s">
        <v>8466</v>
      </c>
      <c r="B1895" s="15" t="s">
        <v>1293</v>
      </c>
      <c r="C1895" s="15" t="s">
        <v>3395</v>
      </c>
      <c r="D1895" s="15" t="s">
        <v>3396</v>
      </c>
      <c r="E1895" s="15" t="s">
        <v>8467</v>
      </c>
    </row>
    <row r="1896" spans="1:5" ht="25.5" x14ac:dyDescent="0.2">
      <c r="A1896" s="14" t="s">
        <v>8468</v>
      </c>
      <c r="B1896" s="15" t="s">
        <v>1031</v>
      </c>
      <c r="C1896" s="15" t="s">
        <v>4262</v>
      </c>
      <c r="D1896" s="15" t="s">
        <v>4263</v>
      </c>
      <c r="E1896" s="15" t="s">
        <v>8469</v>
      </c>
    </row>
    <row r="1897" spans="1:5" ht="25.5" x14ac:dyDescent="0.2">
      <c r="A1897" s="14" t="s">
        <v>8470</v>
      </c>
      <c r="B1897" s="15" t="s">
        <v>502</v>
      </c>
      <c r="C1897" s="15" t="s">
        <v>3395</v>
      </c>
      <c r="D1897" s="15" t="s">
        <v>3396</v>
      </c>
      <c r="E1897" s="15" t="s">
        <v>8471</v>
      </c>
    </row>
    <row r="1898" spans="1:5" ht="25.5" x14ac:dyDescent="0.2">
      <c r="A1898" s="14" t="s">
        <v>8472</v>
      </c>
      <c r="B1898" s="15" t="s">
        <v>501</v>
      </c>
      <c r="C1898" s="15" t="s">
        <v>3395</v>
      </c>
      <c r="D1898" s="15" t="s">
        <v>3396</v>
      </c>
      <c r="E1898" s="15" t="s">
        <v>8473</v>
      </c>
    </row>
    <row r="1899" spans="1:5" ht="25.5" x14ac:dyDescent="0.2">
      <c r="A1899" s="14" t="s">
        <v>8474</v>
      </c>
      <c r="B1899" s="15" t="s">
        <v>8475</v>
      </c>
      <c r="C1899" s="15" t="s">
        <v>4764</v>
      </c>
      <c r="D1899" s="15" t="s">
        <v>4765</v>
      </c>
      <c r="E1899" s="15" t="s">
        <v>8476</v>
      </c>
    </row>
    <row r="1900" spans="1:5" ht="25.5" x14ac:dyDescent="0.2">
      <c r="A1900" s="14" t="s">
        <v>8477</v>
      </c>
      <c r="B1900" s="15" t="s">
        <v>8478</v>
      </c>
      <c r="C1900" s="15" t="s">
        <v>4764</v>
      </c>
      <c r="D1900" s="15" t="s">
        <v>4765</v>
      </c>
      <c r="E1900" s="15" t="s">
        <v>8479</v>
      </c>
    </row>
    <row r="1901" spans="1:5" ht="25.5" x14ac:dyDescent="0.2">
      <c r="A1901" s="14" t="s">
        <v>8480</v>
      </c>
      <c r="B1901" s="15" t="s">
        <v>801</v>
      </c>
      <c r="C1901" s="15" t="s">
        <v>3303</v>
      </c>
      <c r="D1901" s="15" t="s">
        <v>3304</v>
      </c>
      <c r="E1901" s="15" t="s">
        <v>8481</v>
      </c>
    </row>
    <row r="1902" spans="1:5" ht="25.5" x14ac:dyDescent="0.2">
      <c r="A1902" s="14" t="s">
        <v>8482</v>
      </c>
      <c r="B1902" s="15" t="s">
        <v>1037</v>
      </c>
      <c r="C1902" s="15" t="s">
        <v>3303</v>
      </c>
      <c r="D1902" s="15" t="s">
        <v>3304</v>
      </c>
      <c r="E1902" s="15" t="s">
        <v>8483</v>
      </c>
    </row>
    <row r="1903" spans="1:5" ht="25.5" x14ac:dyDescent="0.2">
      <c r="A1903" s="14" t="s">
        <v>8484</v>
      </c>
      <c r="B1903" s="15" t="s">
        <v>1024</v>
      </c>
      <c r="C1903" s="15" t="s">
        <v>3303</v>
      </c>
      <c r="D1903" s="15" t="s">
        <v>3304</v>
      </c>
      <c r="E1903" s="15" t="s">
        <v>8485</v>
      </c>
    </row>
    <row r="1904" spans="1:5" ht="25.5" x14ac:dyDescent="0.2">
      <c r="A1904" s="14" t="s">
        <v>8486</v>
      </c>
      <c r="B1904" s="15" t="s">
        <v>841</v>
      </c>
      <c r="C1904" s="15" t="s">
        <v>3303</v>
      </c>
      <c r="D1904" s="15" t="s">
        <v>3304</v>
      </c>
      <c r="E1904" s="15" t="s">
        <v>8487</v>
      </c>
    </row>
    <row r="1905" spans="1:5" ht="25.5" x14ac:dyDescent="0.2">
      <c r="A1905" s="14" t="s">
        <v>8488</v>
      </c>
      <c r="B1905" s="15" t="s">
        <v>1224</v>
      </c>
      <c r="C1905" s="15" t="s">
        <v>3303</v>
      </c>
      <c r="D1905" s="15" t="s">
        <v>3304</v>
      </c>
      <c r="E1905" s="15" t="s">
        <v>8489</v>
      </c>
    </row>
    <row r="1906" spans="1:5" ht="25.5" x14ac:dyDescent="0.2">
      <c r="A1906" s="14" t="s">
        <v>8490</v>
      </c>
      <c r="B1906" s="15" t="s">
        <v>840</v>
      </c>
      <c r="C1906" s="15" t="s">
        <v>3303</v>
      </c>
      <c r="D1906" s="15" t="s">
        <v>3304</v>
      </c>
      <c r="E1906" s="15" t="s">
        <v>8491</v>
      </c>
    </row>
    <row r="1907" spans="1:5" ht="25.5" x14ac:dyDescent="0.2">
      <c r="A1907" s="14" t="s">
        <v>8492</v>
      </c>
      <c r="B1907" s="15" t="s">
        <v>866</v>
      </c>
      <c r="C1907" s="15" t="s">
        <v>3303</v>
      </c>
      <c r="D1907" s="15" t="s">
        <v>3304</v>
      </c>
      <c r="E1907" s="15" t="s">
        <v>8493</v>
      </c>
    </row>
    <row r="1908" spans="1:5" ht="25.5" x14ac:dyDescent="0.2">
      <c r="A1908" s="14" t="s">
        <v>8494</v>
      </c>
      <c r="B1908" s="15" t="s">
        <v>839</v>
      </c>
      <c r="C1908" s="15" t="s">
        <v>3303</v>
      </c>
      <c r="D1908" s="15" t="s">
        <v>3304</v>
      </c>
      <c r="E1908" s="15" t="s">
        <v>8495</v>
      </c>
    </row>
    <row r="1909" spans="1:5" ht="25.5" x14ac:dyDescent="0.2">
      <c r="A1909" s="14" t="s">
        <v>8496</v>
      </c>
      <c r="B1909" s="15" t="s">
        <v>1027</v>
      </c>
      <c r="C1909" s="15" t="s">
        <v>3303</v>
      </c>
      <c r="D1909" s="15" t="s">
        <v>3304</v>
      </c>
      <c r="E1909" s="15" t="s">
        <v>8497</v>
      </c>
    </row>
    <row r="1910" spans="1:5" ht="25.5" x14ac:dyDescent="0.2">
      <c r="A1910" s="14" t="s">
        <v>8498</v>
      </c>
      <c r="B1910" s="15" t="s">
        <v>1026</v>
      </c>
      <c r="C1910" s="15" t="s">
        <v>3303</v>
      </c>
      <c r="D1910" s="15" t="s">
        <v>3304</v>
      </c>
      <c r="E1910" s="15" t="s">
        <v>8499</v>
      </c>
    </row>
    <row r="1911" spans="1:5" ht="25.5" x14ac:dyDescent="0.2">
      <c r="A1911" s="14" t="s">
        <v>8500</v>
      </c>
      <c r="B1911" s="15" t="s">
        <v>802</v>
      </c>
      <c r="C1911" s="15" t="s">
        <v>3303</v>
      </c>
      <c r="D1911" s="15" t="s">
        <v>3304</v>
      </c>
      <c r="E1911" s="15" t="s">
        <v>8501</v>
      </c>
    </row>
    <row r="1912" spans="1:5" ht="25.5" x14ac:dyDescent="0.2">
      <c r="A1912" s="14" t="s">
        <v>8502</v>
      </c>
      <c r="B1912" s="15" t="s">
        <v>843</v>
      </c>
      <c r="C1912" s="15" t="s">
        <v>3303</v>
      </c>
      <c r="D1912" s="15" t="s">
        <v>3304</v>
      </c>
      <c r="E1912" s="15" t="s">
        <v>8503</v>
      </c>
    </row>
    <row r="1913" spans="1:5" ht="25.5" x14ac:dyDescent="0.2">
      <c r="A1913" s="14" t="s">
        <v>8504</v>
      </c>
      <c r="B1913" s="15" t="s">
        <v>842</v>
      </c>
      <c r="C1913" s="15" t="s">
        <v>3303</v>
      </c>
      <c r="D1913" s="15" t="s">
        <v>3304</v>
      </c>
      <c r="E1913" s="15" t="s">
        <v>8505</v>
      </c>
    </row>
    <row r="1914" spans="1:5" ht="25.5" x14ac:dyDescent="0.2">
      <c r="A1914" s="14" t="s">
        <v>8506</v>
      </c>
      <c r="B1914" s="15" t="s">
        <v>876</v>
      </c>
      <c r="C1914" s="15" t="s">
        <v>3303</v>
      </c>
      <c r="D1914" s="15" t="s">
        <v>3304</v>
      </c>
      <c r="E1914" s="15" t="s">
        <v>8507</v>
      </c>
    </row>
    <row r="1915" spans="1:5" ht="25.5" x14ac:dyDescent="0.2">
      <c r="A1915" s="14" t="s">
        <v>8508</v>
      </c>
      <c r="B1915" s="15" t="s">
        <v>867</v>
      </c>
      <c r="C1915" s="15" t="s">
        <v>3303</v>
      </c>
      <c r="D1915" s="15" t="s">
        <v>3304</v>
      </c>
      <c r="E1915" s="15" t="s">
        <v>8509</v>
      </c>
    </row>
    <row r="1916" spans="1:5" ht="25.5" x14ac:dyDescent="0.2">
      <c r="A1916" s="14" t="s">
        <v>8510</v>
      </c>
      <c r="B1916" s="15" t="s">
        <v>724</v>
      </c>
      <c r="C1916" s="15" t="s">
        <v>3303</v>
      </c>
      <c r="D1916" s="15" t="s">
        <v>3304</v>
      </c>
      <c r="E1916" s="15" t="s">
        <v>8511</v>
      </c>
    </row>
    <row r="1917" spans="1:5" ht="25.5" x14ac:dyDescent="0.2">
      <c r="A1917" s="14" t="s">
        <v>8512</v>
      </c>
      <c r="B1917" s="15" t="s">
        <v>8513</v>
      </c>
      <c r="C1917" s="15" t="s">
        <v>4800</v>
      </c>
      <c r="D1917" s="15" t="s">
        <v>4801</v>
      </c>
      <c r="E1917" s="15" t="s">
        <v>8514</v>
      </c>
    </row>
    <row r="1918" spans="1:5" ht="25.5" x14ac:dyDescent="0.2">
      <c r="A1918" s="14" t="s">
        <v>8515</v>
      </c>
      <c r="B1918" s="15" t="s">
        <v>8516</v>
      </c>
      <c r="C1918" s="15" t="s">
        <v>4800</v>
      </c>
      <c r="D1918" s="15" t="s">
        <v>4801</v>
      </c>
      <c r="E1918" s="15" t="s">
        <v>8517</v>
      </c>
    </row>
    <row r="1919" spans="1:5" ht="25.5" x14ac:dyDescent="0.2">
      <c r="A1919" s="14" t="s">
        <v>8518</v>
      </c>
      <c r="B1919" s="15" t="s">
        <v>8519</v>
      </c>
      <c r="C1919" s="15" t="s">
        <v>4800</v>
      </c>
      <c r="D1919" s="15" t="s">
        <v>4801</v>
      </c>
      <c r="E1919" s="15" t="s">
        <v>8520</v>
      </c>
    </row>
    <row r="1920" spans="1:5" ht="25.5" x14ac:dyDescent="0.2">
      <c r="A1920" s="14" t="s">
        <v>8521</v>
      </c>
      <c r="B1920" s="15" t="s">
        <v>649</v>
      </c>
      <c r="C1920" s="15" t="s">
        <v>4800</v>
      </c>
      <c r="D1920" s="15" t="s">
        <v>4801</v>
      </c>
      <c r="E1920" s="15" t="s">
        <v>8522</v>
      </c>
    </row>
    <row r="1921" spans="1:5" ht="25.5" x14ac:dyDescent="0.2">
      <c r="A1921" s="14" t="s">
        <v>8523</v>
      </c>
      <c r="B1921" s="15" t="s">
        <v>812</v>
      </c>
      <c r="C1921" s="15" t="s">
        <v>3303</v>
      </c>
      <c r="D1921" s="15" t="s">
        <v>3304</v>
      </c>
      <c r="E1921" s="15" t="s">
        <v>8524</v>
      </c>
    </row>
    <row r="1922" spans="1:5" ht="25.5" x14ac:dyDescent="0.2">
      <c r="A1922" s="14" t="s">
        <v>8525</v>
      </c>
      <c r="B1922" s="15" t="s">
        <v>769</v>
      </c>
      <c r="C1922" s="15" t="s">
        <v>3303</v>
      </c>
      <c r="D1922" s="15" t="s">
        <v>3304</v>
      </c>
      <c r="E1922" s="15" t="s">
        <v>8526</v>
      </c>
    </row>
    <row r="1923" spans="1:5" ht="25.5" x14ac:dyDescent="0.2">
      <c r="A1923" s="14" t="s">
        <v>8527</v>
      </c>
      <c r="B1923" s="15" t="s">
        <v>670</v>
      </c>
      <c r="C1923" s="15" t="s">
        <v>3303</v>
      </c>
      <c r="D1923" s="15" t="s">
        <v>3304</v>
      </c>
      <c r="E1923" s="15" t="s">
        <v>8528</v>
      </c>
    </row>
    <row r="1924" spans="1:5" ht="25.5" x14ac:dyDescent="0.2">
      <c r="A1924" s="14" t="s">
        <v>8529</v>
      </c>
      <c r="B1924" s="15" t="s">
        <v>554</v>
      </c>
      <c r="C1924" s="15" t="s">
        <v>3303</v>
      </c>
      <c r="D1924" s="15" t="s">
        <v>3304</v>
      </c>
      <c r="E1924" s="15" t="s">
        <v>8530</v>
      </c>
    </row>
    <row r="1925" spans="1:5" ht="25.5" x14ac:dyDescent="0.2">
      <c r="A1925" s="14" t="s">
        <v>8531</v>
      </c>
      <c r="B1925" s="15" t="s">
        <v>1019</v>
      </c>
      <c r="C1925" s="15" t="s">
        <v>3303</v>
      </c>
      <c r="D1925" s="15" t="s">
        <v>3304</v>
      </c>
      <c r="E1925" s="15" t="s">
        <v>8532</v>
      </c>
    </row>
    <row r="1926" spans="1:5" ht="25.5" x14ac:dyDescent="0.2">
      <c r="A1926" s="14" t="s">
        <v>8533</v>
      </c>
      <c r="B1926" s="15" t="s">
        <v>823</v>
      </c>
      <c r="C1926" s="15" t="s">
        <v>3303</v>
      </c>
      <c r="D1926" s="15" t="s">
        <v>3304</v>
      </c>
      <c r="E1926" s="15" t="s">
        <v>8534</v>
      </c>
    </row>
    <row r="1927" spans="1:5" ht="25.5" x14ac:dyDescent="0.2">
      <c r="A1927" s="14" t="s">
        <v>8535</v>
      </c>
      <c r="B1927" s="15" t="s">
        <v>1390</v>
      </c>
      <c r="C1927" s="15" t="s">
        <v>3303</v>
      </c>
      <c r="D1927" s="15" t="s">
        <v>3304</v>
      </c>
      <c r="E1927" s="15" t="s">
        <v>8536</v>
      </c>
    </row>
    <row r="1928" spans="1:5" ht="25.5" x14ac:dyDescent="0.2">
      <c r="A1928" s="14" t="s">
        <v>8537</v>
      </c>
      <c r="B1928" s="15" t="s">
        <v>681</v>
      </c>
      <c r="C1928" s="15" t="s">
        <v>3303</v>
      </c>
      <c r="D1928" s="15" t="s">
        <v>3304</v>
      </c>
      <c r="E1928" s="15" t="s">
        <v>8538</v>
      </c>
    </row>
    <row r="1929" spans="1:5" ht="25.5" x14ac:dyDescent="0.2">
      <c r="A1929" s="14" t="s">
        <v>8539</v>
      </c>
      <c r="B1929" s="15" t="s">
        <v>759</v>
      </c>
      <c r="C1929" s="15" t="s">
        <v>3303</v>
      </c>
      <c r="D1929" s="15" t="s">
        <v>3304</v>
      </c>
      <c r="E1929" s="15" t="s">
        <v>8540</v>
      </c>
    </row>
    <row r="1930" spans="1:5" ht="25.5" x14ac:dyDescent="0.2">
      <c r="A1930" s="14" t="s">
        <v>8541</v>
      </c>
      <c r="B1930" s="15" t="s">
        <v>1090</v>
      </c>
      <c r="C1930" s="15" t="s">
        <v>3303</v>
      </c>
      <c r="D1930" s="15" t="s">
        <v>3304</v>
      </c>
      <c r="E1930" s="15" t="s">
        <v>8542</v>
      </c>
    </row>
    <row r="1931" spans="1:5" ht="25.5" x14ac:dyDescent="0.2">
      <c r="A1931" s="14" t="s">
        <v>8543</v>
      </c>
      <c r="B1931" s="15" t="s">
        <v>878</v>
      </c>
      <c r="C1931" s="15" t="s">
        <v>3303</v>
      </c>
      <c r="D1931" s="15" t="s">
        <v>3304</v>
      </c>
      <c r="E1931" s="15" t="s">
        <v>8544</v>
      </c>
    </row>
    <row r="1932" spans="1:5" ht="25.5" x14ac:dyDescent="0.2">
      <c r="A1932" s="14" t="s">
        <v>8545</v>
      </c>
      <c r="B1932" s="15" t="s">
        <v>898</v>
      </c>
      <c r="C1932" s="15" t="s">
        <v>3303</v>
      </c>
      <c r="D1932" s="15" t="s">
        <v>3304</v>
      </c>
      <c r="E1932" s="15" t="s">
        <v>8546</v>
      </c>
    </row>
    <row r="1933" spans="1:5" ht="25.5" x14ac:dyDescent="0.2">
      <c r="A1933" s="14" t="s">
        <v>8547</v>
      </c>
      <c r="B1933" s="15" t="s">
        <v>879</v>
      </c>
      <c r="C1933" s="15" t="s">
        <v>3303</v>
      </c>
      <c r="D1933" s="15" t="s">
        <v>3304</v>
      </c>
      <c r="E1933" s="15" t="s">
        <v>8548</v>
      </c>
    </row>
    <row r="1934" spans="1:5" ht="25.5" x14ac:dyDescent="0.2">
      <c r="A1934" s="14" t="s">
        <v>8549</v>
      </c>
      <c r="B1934" s="15" t="s">
        <v>811</v>
      </c>
      <c r="C1934" s="15" t="s">
        <v>3303</v>
      </c>
      <c r="D1934" s="15" t="s">
        <v>3304</v>
      </c>
      <c r="E1934" s="15" t="s">
        <v>8550</v>
      </c>
    </row>
    <row r="1935" spans="1:5" ht="25.5" x14ac:dyDescent="0.2">
      <c r="A1935" s="14" t="s">
        <v>8551</v>
      </c>
      <c r="B1935" s="15" t="s">
        <v>8552</v>
      </c>
      <c r="C1935" s="15" t="s">
        <v>4800</v>
      </c>
      <c r="D1935" s="15" t="s">
        <v>4801</v>
      </c>
      <c r="E1935" s="15" t="s">
        <v>8553</v>
      </c>
    </row>
    <row r="1936" spans="1:5" ht="25.5" x14ac:dyDescent="0.2">
      <c r="A1936" s="14" t="s">
        <v>8554</v>
      </c>
      <c r="B1936" s="15" t="s">
        <v>8555</v>
      </c>
      <c r="C1936" s="15" t="s">
        <v>4800</v>
      </c>
      <c r="D1936" s="15" t="s">
        <v>4801</v>
      </c>
      <c r="E1936" s="15" t="s">
        <v>8556</v>
      </c>
    </row>
    <row r="1937" spans="1:5" ht="25.5" x14ac:dyDescent="0.2">
      <c r="A1937" s="14" t="s">
        <v>8557</v>
      </c>
      <c r="B1937" s="15" t="s">
        <v>885</v>
      </c>
      <c r="C1937" s="15" t="s">
        <v>3303</v>
      </c>
      <c r="D1937" s="15" t="s">
        <v>3304</v>
      </c>
      <c r="E1937" s="15" t="s">
        <v>8558</v>
      </c>
    </row>
    <row r="1938" spans="1:5" ht="25.5" x14ac:dyDescent="0.2">
      <c r="A1938" s="14" t="s">
        <v>8559</v>
      </c>
      <c r="B1938" s="15" t="s">
        <v>408</v>
      </c>
      <c r="C1938" s="15" t="s">
        <v>3303</v>
      </c>
      <c r="D1938" s="15" t="s">
        <v>3304</v>
      </c>
      <c r="E1938" s="15" t="s">
        <v>8560</v>
      </c>
    </row>
    <row r="1939" spans="1:5" ht="25.5" x14ac:dyDescent="0.2">
      <c r="A1939" s="14" t="s">
        <v>8561</v>
      </c>
      <c r="B1939" s="15" t="s">
        <v>8562</v>
      </c>
      <c r="C1939" s="15" t="s">
        <v>4668</v>
      </c>
      <c r="D1939" s="15" t="s">
        <v>4669</v>
      </c>
      <c r="E1939" s="15" t="s">
        <v>8563</v>
      </c>
    </row>
    <row r="1940" spans="1:5" ht="25.5" x14ac:dyDescent="0.2">
      <c r="A1940" s="14" t="s">
        <v>8564</v>
      </c>
      <c r="B1940" s="15" t="s">
        <v>8565</v>
      </c>
      <c r="C1940" s="15" t="s">
        <v>3303</v>
      </c>
      <c r="D1940" s="15" t="s">
        <v>3304</v>
      </c>
      <c r="E1940" s="15" t="s">
        <v>8566</v>
      </c>
    </row>
    <row r="1941" spans="1:5" ht="25.5" x14ac:dyDescent="0.2">
      <c r="A1941" s="14" t="s">
        <v>8567</v>
      </c>
      <c r="B1941" s="15" t="s">
        <v>8568</v>
      </c>
      <c r="C1941" s="15" t="s">
        <v>3303</v>
      </c>
      <c r="D1941" s="15" t="s">
        <v>3304</v>
      </c>
      <c r="E1941" s="15" t="s">
        <v>8569</v>
      </c>
    </row>
    <row r="1942" spans="1:5" ht="25.5" x14ac:dyDescent="0.2">
      <c r="A1942" s="14" t="s">
        <v>8570</v>
      </c>
      <c r="B1942" s="15" t="s">
        <v>8571</v>
      </c>
      <c r="C1942" s="15" t="s">
        <v>3303</v>
      </c>
      <c r="D1942" s="15" t="s">
        <v>3304</v>
      </c>
      <c r="E1942" s="15" t="s">
        <v>8572</v>
      </c>
    </row>
    <row r="1943" spans="1:5" ht="25.5" x14ac:dyDescent="0.2">
      <c r="A1943" s="14" t="s">
        <v>8573</v>
      </c>
      <c r="B1943" s="15" t="s">
        <v>8574</v>
      </c>
      <c r="C1943" s="15" t="s">
        <v>3303</v>
      </c>
      <c r="D1943" s="15" t="s">
        <v>3304</v>
      </c>
      <c r="E1943" s="15" t="s">
        <v>8575</v>
      </c>
    </row>
    <row r="1944" spans="1:5" ht="25.5" x14ac:dyDescent="0.2">
      <c r="A1944" s="14" t="s">
        <v>8576</v>
      </c>
      <c r="B1944" s="15" t="s">
        <v>1094</v>
      </c>
      <c r="C1944" s="15" t="s">
        <v>3303</v>
      </c>
      <c r="D1944" s="15" t="s">
        <v>3304</v>
      </c>
      <c r="E1944" s="15" t="s">
        <v>8577</v>
      </c>
    </row>
    <row r="1945" spans="1:5" ht="25.5" x14ac:dyDescent="0.2">
      <c r="A1945" s="14" t="s">
        <v>8578</v>
      </c>
      <c r="B1945" s="15" t="s">
        <v>8579</v>
      </c>
      <c r="C1945" s="15" t="s">
        <v>3303</v>
      </c>
      <c r="D1945" s="15" t="s">
        <v>3304</v>
      </c>
      <c r="E1945" s="15" t="s">
        <v>8580</v>
      </c>
    </row>
    <row r="1946" spans="1:5" ht="25.5" x14ac:dyDescent="0.2">
      <c r="A1946" s="14" t="s">
        <v>8581</v>
      </c>
      <c r="B1946" s="15" t="s">
        <v>8582</v>
      </c>
      <c r="C1946" s="15" t="s">
        <v>4668</v>
      </c>
      <c r="D1946" s="15" t="s">
        <v>4669</v>
      </c>
      <c r="E1946" s="15" t="s">
        <v>8583</v>
      </c>
    </row>
    <row r="1947" spans="1:5" ht="25.5" x14ac:dyDescent="0.2">
      <c r="A1947" s="14" t="s">
        <v>8584</v>
      </c>
      <c r="B1947" s="15" t="s">
        <v>813</v>
      </c>
      <c r="C1947" s="15" t="s">
        <v>3303</v>
      </c>
      <c r="D1947" s="15" t="s">
        <v>3304</v>
      </c>
      <c r="E1947" s="15" t="s">
        <v>8585</v>
      </c>
    </row>
    <row r="1948" spans="1:5" ht="25.5" x14ac:dyDescent="0.2">
      <c r="A1948" s="14" t="s">
        <v>8586</v>
      </c>
      <c r="B1948" s="15" t="s">
        <v>510</v>
      </c>
      <c r="C1948" s="15" t="s">
        <v>3303</v>
      </c>
      <c r="D1948" s="15" t="s">
        <v>3304</v>
      </c>
      <c r="E1948" s="15" t="s">
        <v>8587</v>
      </c>
    </row>
    <row r="1949" spans="1:5" ht="25.5" x14ac:dyDescent="0.2">
      <c r="A1949" s="14" t="s">
        <v>8588</v>
      </c>
      <c r="B1949" s="15" t="s">
        <v>881</v>
      </c>
      <c r="C1949" s="15" t="s">
        <v>3303</v>
      </c>
      <c r="D1949" s="15" t="s">
        <v>3304</v>
      </c>
      <c r="E1949" s="15" t="s">
        <v>8589</v>
      </c>
    </row>
    <row r="1950" spans="1:5" ht="25.5" x14ac:dyDescent="0.2">
      <c r="A1950" s="14" t="s">
        <v>8590</v>
      </c>
      <c r="B1950" s="15" t="s">
        <v>880</v>
      </c>
      <c r="C1950" s="15" t="s">
        <v>3303</v>
      </c>
      <c r="D1950" s="15" t="s">
        <v>3304</v>
      </c>
      <c r="E1950" s="15" t="s">
        <v>8591</v>
      </c>
    </row>
    <row r="1951" spans="1:5" ht="25.5" x14ac:dyDescent="0.2">
      <c r="A1951" s="14" t="s">
        <v>8592</v>
      </c>
      <c r="B1951" s="15" t="s">
        <v>800</v>
      </c>
      <c r="C1951" s="15" t="s">
        <v>3303</v>
      </c>
      <c r="D1951" s="15" t="s">
        <v>3304</v>
      </c>
      <c r="E1951" s="15" t="s">
        <v>8593</v>
      </c>
    </row>
    <row r="1952" spans="1:5" ht="25.5" x14ac:dyDescent="0.2">
      <c r="A1952" s="14" t="s">
        <v>8594</v>
      </c>
      <c r="B1952" s="15" t="s">
        <v>722</v>
      </c>
      <c r="C1952" s="15" t="s">
        <v>3303</v>
      </c>
      <c r="D1952" s="15" t="s">
        <v>3304</v>
      </c>
      <c r="E1952" s="15" t="s">
        <v>8595</v>
      </c>
    </row>
    <row r="1953" spans="1:5" ht="25.5" x14ac:dyDescent="0.2">
      <c r="A1953" s="14" t="s">
        <v>8596</v>
      </c>
      <c r="B1953" s="15" t="s">
        <v>8597</v>
      </c>
      <c r="C1953" s="15" t="s">
        <v>4668</v>
      </c>
      <c r="D1953" s="15" t="s">
        <v>4669</v>
      </c>
      <c r="E1953" s="15" t="s">
        <v>8598</v>
      </c>
    </row>
    <row r="1954" spans="1:5" ht="25.5" x14ac:dyDescent="0.2">
      <c r="A1954" s="14" t="s">
        <v>8599</v>
      </c>
      <c r="B1954" s="15" t="s">
        <v>511</v>
      </c>
      <c r="C1954" s="15" t="s">
        <v>3303</v>
      </c>
      <c r="D1954" s="15" t="s">
        <v>3304</v>
      </c>
      <c r="E1954" s="15" t="s">
        <v>8600</v>
      </c>
    </row>
    <row r="1955" spans="1:5" ht="25.5" x14ac:dyDescent="0.2">
      <c r="A1955" s="14" t="s">
        <v>8601</v>
      </c>
      <c r="B1955" s="15" t="s">
        <v>884</v>
      </c>
      <c r="C1955" s="15" t="s">
        <v>3303</v>
      </c>
      <c r="D1955" s="15" t="s">
        <v>3304</v>
      </c>
      <c r="E1955" s="15" t="s">
        <v>8602</v>
      </c>
    </row>
    <row r="1956" spans="1:5" ht="25.5" x14ac:dyDescent="0.2">
      <c r="A1956" s="14" t="s">
        <v>8603</v>
      </c>
      <c r="B1956" s="15" t="s">
        <v>856</v>
      </c>
      <c r="C1956" s="15" t="s">
        <v>3303</v>
      </c>
      <c r="D1956" s="15" t="s">
        <v>3304</v>
      </c>
      <c r="E1956" s="15" t="s">
        <v>8604</v>
      </c>
    </row>
    <row r="1957" spans="1:5" ht="25.5" x14ac:dyDescent="0.2">
      <c r="A1957" s="14" t="s">
        <v>8605</v>
      </c>
      <c r="B1957" s="15" t="s">
        <v>882</v>
      </c>
      <c r="C1957" s="15" t="s">
        <v>3303</v>
      </c>
      <c r="D1957" s="15" t="s">
        <v>3304</v>
      </c>
      <c r="E1957" s="15" t="s">
        <v>8606</v>
      </c>
    </row>
    <row r="1958" spans="1:5" ht="25.5" x14ac:dyDescent="0.2">
      <c r="A1958" s="14" t="s">
        <v>8607</v>
      </c>
      <c r="B1958" s="15" t="s">
        <v>844</v>
      </c>
      <c r="C1958" s="15" t="s">
        <v>3303</v>
      </c>
      <c r="D1958" s="15" t="s">
        <v>3304</v>
      </c>
      <c r="E1958" s="15" t="s">
        <v>8608</v>
      </c>
    </row>
    <row r="1959" spans="1:5" ht="25.5" x14ac:dyDescent="0.2">
      <c r="A1959" s="14" t="s">
        <v>8609</v>
      </c>
      <c r="B1959" s="15" t="s">
        <v>883</v>
      </c>
      <c r="C1959" s="15" t="s">
        <v>3303</v>
      </c>
      <c r="D1959" s="15" t="s">
        <v>3304</v>
      </c>
      <c r="E1959" s="15" t="s">
        <v>8610</v>
      </c>
    </row>
    <row r="1960" spans="1:5" ht="25.5" x14ac:dyDescent="0.2">
      <c r="A1960" s="14" t="s">
        <v>8611</v>
      </c>
      <c r="B1960" s="15" t="s">
        <v>1020</v>
      </c>
      <c r="C1960" s="15" t="s">
        <v>3303</v>
      </c>
      <c r="D1960" s="15" t="s">
        <v>3304</v>
      </c>
      <c r="E1960" s="15" t="s">
        <v>8612</v>
      </c>
    </row>
    <row r="1961" spans="1:5" ht="25.5" x14ac:dyDescent="0.2">
      <c r="A1961" s="14" t="s">
        <v>8613</v>
      </c>
      <c r="B1961" s="15" t="s">
        <v>845</v>
      </c>
      <c r="C1961" s="15" t="s">
        <v>3303</v>
      </c>
      <c r="D1961" s="15" t="s">
        <v>3304</v>
      </c>
      <c r="E1961" s="15" t="s">
        <v>8614</v>
      </c>
    </row>
    <row r="1962" spans="1:5" ht="25.5" x14ac:dyDescent="0.2">
      <c r="A1962" s="14" t="s">
        <v>8615</v>
      </c>
      <c r="B1962" s="15" t="s">
        <v>1023</v>
      </c>
      <c r="C1962" s="15" t="s">
        <v>3303</v>
      </c>
      <c r="D1962" s="15" t="s">
        <v>3304</v>
      </c>
      <c r="E1962" s="15" t="s">
        <v>8616</v>
      </c>
    </row>
    <row r="1963" spans="1:5" ht="25.5" x14ac:dyDescent="0.2">
      <c r="A1963" s="14" t="s">
        <v>8617</v>
      </c>
      <c r="B1963" s="15" t="s">
        <v>1016</v>
      </c>
      <c r="C1963" s="15" t="s">
        <v>3303</v>
      </c>
      <c r="D1963" s="15" t="s">
        <v>3304</v>
      </c>
      <c r="E1963" s="15" t="s">
        <v>8618</v>
      </c>
    </row>
    <row r="1964" spans="1:5" ht="25.5" x14ac:dyDescent="0.2">
      <c r="A1964" s="14" t="s">
        <v>8619</v>
      </c>
      <c r="B1964" s="15" t="s">
        <v>847</v>
      </c>
      <c r="C1964" s="15" t="s">
        <v>3303</v>
      </c>
      <c r="D1964" s="15" t="s">
        <v>3304</v>
      </c>
      <c r="E1964" s="15" t="s">
        <v>8620</v>
      </c>
    </row>
    <row r="1965" spans="1:5" ht="25.5" x14ac:dyDescent="0.2">
      <c r="A1965" s="14" t="s">
        <v>8621</v>
      </c>
      <c r="B1965" s="15" t="s">
        <v>849</v>
      </c>
      <c r="C1965" s="15" t="s">
        <v>3303</v>
      </c>
      <c r="D1965" s="15" t="s">
        <v>3304</v>
      </c>
      <c r="E1965" s="15" t="s">
        <v>8622</v>
      </c>
    </row>
    <row r="1966" spans="1:5" ht="25.5" x14ac:dyDescent="0.2">
      <c r="A1966" s="14" t="s">
        <v>8623</v>
      </c>
      <c r="B1966" s="15" t="s">
        <v>848</v>
      </c>
      <c r="C1966" s="15" t="s">
        <v>3303</v>
      </c>
      <c r="D1966" s="15" t="s">
        <v>3304</v>
      </c>
      <c r="E1966" s="15" t="s">
        <v>8624</v>
      </c>
    </row>
    <row r="1967" spans="1:5" ht="25.5" x14ac:dyDescent="0.2">
      <c r="A1967" s="14" t="s">
        <v>8625</v>
      </c>
      <c r="B1967" s="15" t="s">
        <v>846</v>
      </c>
      <c r="C1967" s="15" t="s">
        <v>3303</v>
      </c>
      <c r="D1967" s="15" t="s">
        <v>3304</v>
      </c>
      <c r="E1967" s="15" t="s">
        <v>8626</v>
      </c>
    </row>
    <row r="1968" spans="1:5" ht="25.5" x14ac:dyDescent="0.2">
      <c r="A1968" s="14" t="s">
        <v>8627</v>
      </c>
      <c r="B1968" s="15" t="s">
        <v>1022</v>
      </c>
      <c r="C1968" s="15" t="s">
        <v>3303</v>
      </c>
      <c r="D1968" s="15" t="s">
        <v>3304</v>
      </c>
      <c r="E1968" s="15" t="s">
        <v>8628</v>
      </c>
    </row>
    <row r="1969" spans="1:5" ht="25.5" x14ac:dyDescent="0.2">
      <c r="A1969" s="14" t="s">
        <v>8629</v>
      </c>
      <c r="B1969" s="15" t="s">
        <v>1021</v>
      </c>
      <c r="C1969" s="15" t="s">
        <v>3303</v>
      </c>
      <c r="D1969" s="15" t="s">
        <v>3304</v>
      </c>
      <c r="E1969" s="15" t="s">
        <v>8630</v>
      </c>
    </row>
    <row r="1970" spans="1:5" ht="25.5" x14ac:dyDescent="0.2">
      <c r="A1970" s="14" t="s">
        <v>8631</v>
      </c>
      <c r="B1970" s="15" t="s">
        <v>852</v>
      </c>
      <c r="C1970" s="15" t="s">
        <v>3303</v>
      </c>
      <c r="D1970" s="15" t="s">
        <v>3304</v>
      </c>
      <c r="E1970" s="15" t="s">
        <v>8632</v>
      </c>
    </row>
    <row r="1971" spans="1:5" ht="25.5" x14ac:dyDescent="0.2">
      <c r="A1971" s="14" t="s">
        <v>8633</v>
      </c>
      <c r="B1971" s="15" t="s">
        <v>1029</v>
      </c>
      <c r="C1971" s="15" t="s">
        <v>3303</v>
      </c>
      <c r="D1971" s="15" t="s">
        <v>3304</v>
      </c>
      <c r="E1971" s="15" t="s">
        <v>8634</v>
      </c>
    </row>
    <row r="1972" spans="1:5" ht="25.5" x14ac:dyDescent="0.2">
      <c r="A1972" s="14" t="s">
        <v>8635</v>
      </c>
      <c r="B1972" s="15" t="s">
        <v>8636</v>
      </c>
      <c r="C1972" s="15" t="s">
        <v>3303</v>
      </c>
      <c r="D1972" s="15" t="s">
        <v>3304</v>
      </c>
      <c r="E1972" s="15" t="s">
        <v>8637</v>
      </c>
    </row>
    <row r="1973" spans="1:5" ht="25.5" x14ac:dyDescent="0.2">
      <c r="A1973" s="14" t="s">
        <v>8638</v>
      </c>
      <c r="B1973" s="15" t="s">
        <v>1093</v>
      </c>
      <c r="C1973" s="15" t="s">
        <v>3303</v>
      </c>
      <c r="D1973" s="15" t="s">
        <v>3304</v>
      </c>
      <c r="E1973" s="15" t="s">
        <v>8639</v>
      </c>
    </row>
    <row r="1974" spans="1:5" ht="25.5" x14ac:dyDescent="0.2">
      <c r="A1974" s="14" t="s">
        <v>8640</v>
      </c>
      <c r="B1974" s="15" t="s">
        <v>8641</v>
      </c>
      <c r="C1974" s="15" t="s">
        <v>3303</v>
      </c>
      <c r="D1974" s="15" t="s">
        <v>3304</v>
      </c>
      <c r="E1974" s="15" t="s">
        <v>8642</v>
      </c>
    </row>
    <row r="1975" spans="1:5" ht="25.5" x14ac:dyDescent="0.2">
      <c r="A1975" s="14" t="s">
        <v>8643</v>
      </c>
      <c r="B1975" s="15" t="s">
        <v>851</v>
      </c>
      <c r="C1975" s="15" t="s">
        <v>3303</v>
      </c>
      <c r="D1975" s="15" t="s">
        <v>3304</v>
      </c>
      <c r="E1975" s="15" t="s">
        <v>8644</v>
      </c>
    </row>
    <row r="1976" spans="1:5" ht="25.5" x14ac:dyDescent="0.2">
      <c r="A1976" s="14" t="s">
        <v>8645</v>
      </c>
      <c r="B1976" s="15" t="s">
        <v>1028</v>
      </c>
      <c r="C1976" s="15" t="s">
        <v>3303</v>
      </c>
      <c r="D1976" s="15" t="s">
        <v>3304</v>
      </c>
      <c r="E1976" s="15" t="s">
        <v>8646</v>
      </c>
    </row>
    <row r="1977" spans="1:5" ht="25.5" x14ac:dyDescent="0.2">
      <c r="A1977" s="14" t="s">
        <v>8647</v>
      </c>
      <c r="B1977" s="15" t="s">
        <v>684</v>
      </c>
      <c r="C1977" s="15" t="s">
        <v>3303</v>
      </c>
      <c r="D1977" s="15" t="s">
        <v>3304</v>
      </c>
      <c r="E1977" s="15" t="s">
        <v>8648</v>
      </c>
    </row>
    <row r="1978" spans="1:5" ht="25.5" x14ac:dyDescent="0.2">
      <c r="A1978" s="14" t="s">
        <v>8649</v>
      </c>
      <c r="B1978" s="15" t="s">
        <v>512</v>
      </c>
      <c r="C1978" s="15" t="s">
        <v>3303</v>
      </c>
      <c r="D1978" s="15" t="s">
        <v>3304</v>
      </c>
      <c r="E1978" s="15" t="s">
        <v>8650</v>
      </c>
    </row>
    <row r="1979" spans="1:5" ht="25.5" x14ac:dyDescent="0.2">
      <c r="A1979" s="14" t="s">
        <v>8651</v>
      </c>
      <c r="B1979" s="15" t="s">
        <v>855</v>
      </c>
      <c r="C1979" s="15" t="s">
        <v>3303</v>
      </c>
      <c r="D1979" s="15" t="s">
        <v>3304</v>
      </c>
      <c r="E1979" s="15" t="s">
        <v>8652</v>
      </c>
    </row>
    <row r="1980" spans="1:5" ht="25.5" x14ac:dyDescent="0.2">
      <c r="A1980" s="14" t="s">
        <v>8653</v>
      </c>
      <c r="B1980" s="15" t="s">
        <v>1223</v>
      </c>
      <c r="C1980" s="15" t="s">
        <v>3303</v>
      </c>
      <c r="D1980" s="15" t="s">
        <v>3304</v>
      </c>
      <c r="E1980" s="15" t="s">
        <v>8654</v>
      </c>
    </row>
    <row r="1981" spans="1:5" ht="25.5" x14ac:dyDescent="0.2">
      <c r="A1981" s="14" t="s">
        <v>8655</v>
      </c>
      <c r="B1981" s="15" t="s">
        <v>1222</v>
      </c>
      <c r="C1981" s="15" t="s">
        <v>3303</v>
      </c>
      <c r="D1981" s="15" t="s">
        <v>3304</v>
      </c>
      <c r="E1981" s="15" t="s">
        <v>8656</v>
      </c>
    </row>
    <row r="1982" spans="1:5" ht="25.5" x14ac:dyDescent="0.2">
      <c r="A1982" s="14" t="s">
        <v>8657</v>
      </c>
      <c r="B1982" s="15" t="s">
        <v>854</v>
      </c>
      <c r="C1982" s="15" t="s">
        <v>3303</v>
      </c>
      <c r="D1982" s="15" t="s">
        <v>3304</v>
      </c>
      <c r="E1982" s="15" t="s">
        <v>8658</v>
      </c>
    </row>
    <row r="1983" spans="1:5" ht="25.5" x14ac:dyDescent="0.2">
      <c r="A1983" s="14" t="s">
        <v>8659</v>
      </c>
      <c r="B1983" s="15" t="s">
        <v>853</v>
      </c>
      <c r="C1983" s="15" t="s">
        <v>3303</v>
      </c>
      <c r="D1983" s="15" t="s">
        <v>3304</v>
      </c>
      <c r="E1983" s="15" t="s">
        <v>8660</v>
      </c>
    </row>
    <row r="1984" spans="1:5" ht="25.5" x14ac:dyDescent="0.2">
      <c r="A1984" s="14" t="s">
        <v>8661</v>
      </c>
      <c r="B1984" s="15" t="s">
        <v>8662</v>
      </c>
      <c r="C1984" s="15" t="s">
        <v>8663</v>
      </c>
      <c r="D1984" s="15" t="s">
        <v>8664</v>
      </c>
      <c r="E1984" s="15" t="s">
        <v>8665</v>
      </c>
    </row>
    <row r="1985" spans="1:5" ht="25.5" x14ac:dyDescent="0.2">
      <c r="A1985" s="14" t="s">
        <v>8666</v>
      </c>
      <c r="B1985" s="15" t="s">
        <v>8667</v>
      </c>
      <c r="C1985" s="15" t="s">
        <v>6333</v>
      </c>
      <c r="D1985" s="15" t="s">
        <v>6334</v>
      </c>
      <c r="E1985" s="15" t="s">
        <v>8668</v>
      </c>
    </row>
    <row r="1986" spans="1:5" ht="25.5" x14ac:dyDescent="0.2">
      <c r="A1986" s="14" t="s">
        <v>8669</v>
      </c>
      <c r="B1986" s="15" t="s">
        <v>362</v>
      </c>
      <c r="C1986" s="15" t="s">
        <v>5231</v>
      </c>
      <c r="D1986" s="15" t="s">
        <v>5232</v>
      </c>
      <c r="E1986" s="15" t="s">
        <v>8670</v>
      </c>
    </row>
    <row r="1987" spans="1:5" ht="25.5" x14ac:dyDescent="0.2">
      <c r="A1987" s="14" t="s">
        <v>8671</v>
      </c>
      <c r="B1987" s="15" t="s">
        <v>1539</v>
      </c>
      <c r="C1987" s="15" t="s">
        <v>5671</v>
      </c>
      <c r="D1987" s="15" t="s">
        <v>5672</v>
      </c>
      <c r="E1987" s="15" t="s">
        <v>8672</v>
      </c>
    </row>
    <row r="1988" spans="1:5" ht="25.5" x14ac:dyDescent="0.2">
      <c r="A1988" s="14" t="s">
        <v>8673</v>
      </c>
      <c r="B1988" s="15" t="s">
        <v>8674</v>
      </c>
      <c r="C1988" s="15" t="s">
        <v>5671</v>
      </c>
      <c r="D1988" s="15" t="s">
        <v>5672</v>
      </c>
      <c r="E1988" s="15" t="s">
        <v>8675</v>
      </c>
    </row>
    <row r="1989" spans="1:5" ht="25.5" x14ac:dyDescent="0.2">
      <c r="A1989" s="14" t="s">
        <v>8676</v>
      </c>
      <c r="B1989" s="15" t="s">
        <v>679</v>
      </c>
      <c r="C1989" s="15" t="s">
        <v>4298</v>
      </c>
      <c r="D1989" s="15" t="s">
        <v>4299</v>
      </c>
      <c r="E1989" s="15" t="s">
        <v>8677</v>
      </c>
    </row>
    <row r="1990" spans="1:5" ht="25.5" x14ac:dyDescent="0.2">
      <c r="A1990" s="14" t="s">
        <v>8678</v>
      </c>
      <c r="B1990" s="15" t="s">
        <v>8679</v>
      </c>
      <c r="C1990" s="15" t="s">
        <v>3395</v>
      </c>
      <c r="D1990" s="15" t="s">
        <v>3396</v>
      </c>
      <c r="E1990" s="15" t="s">
        <v>8680</v>
      </c>
    </row>
    <row r="1991" spans="1:5" ht="25.5" x14ac:dyDescent="0.2">
      <c r="A1991" s="14" t="s">
        <v>8681</v>
      </c>
      <c r="B1991" s="15" t="s">
        <v>129</v>
      </c>
      <c r="C1991" s="15" t="s">
        <v>8682</v>
      </c>
      <c r="D1991" s="15" t="s">
        <v>8683</v>
      </c>
      <c r="E1991" s="15" t="s">
        <v>8684</v>
      </c>
    </row>
    <row r="1992" spans="1:5" ht="25.5" x14ac:dyDescent="0.2">
      <c r="A1992" s="14" t="s">
        <v>8685</v>
      </c>
      <c r="B1992" s="15" t="s">
        <v>1382</v>
      </c>
      <c r="C1992" s="15" t="s">
        <v>8682</v>
      </c>
      <c r="D1992" s="15" t="s">
        <v>8683</v>
      </c>
      <c r="E1992" s="15" t="s">
        <v>8686</v>
      </c>
    </row>
    <row r="1993" spans="1:5" ht="25.5" x14ac:dyDescent="0.2">
      <c r="A1993" s="14" t="s">
        <v>8687</v>
      </c>
      <c r="B1993" s="15" t="s">
        <v>8688</v>
      </c>
      <c r="C1993" s="15" t="s">
        <v>8682</v>
      </c>
      <c r="D1993" s="15" t="s">
        <v>8683</v>
      </c>
      <c r="E1993" s="15" t="s">
        <v>8689</v>
      </c>
    </row>
    <row r="1994" spans="1:5" ht="25.5" x14ac:dyDescent="0.2">
      <c r="A1994" s="14" t="s">
        <v>8690</v>
      </c>
      <c r="B1994" s="15" t="s">
        <v>43</v>
      </c>
      <c r="C1994" s="15" t="s">
        <v>8682</v>
      </c>
      <c r="D1994" s="15" t="s">
        <v>8683</v>
      </c>
      <c r="E1994" s="15" t="s">
        <v>8691</v>
      </c>
    </row>
    <row r="1995" spans="1:5" ht="25.5" x14ac:dyDescent="0.2">
      <c r="A1995" s="14" t="s">
        <v>8692</v>
      </c>
      <c r="B1995" s="15" t="s">
        <v>8693</v>
      </c>
      <c r="C1995" s="15" t="s">
        <v>4104</v>
      </c>
      <c r="D1995" s="15" t="s">
        <v>4105</v>
      </c>
      <c r="E1995" s="15" t="s">
        <v>8694</v>
      </c>
    </row>
    <row r="1996" spans="1:5" ht="25.5" x14ac:dyDescent="0.2">
      <c r="A1996" s="14" t="s">
        <v>8695</v>
      </c>
      <c r="B1996" s="15" t="s">
        <v>8696</v>
      </c>
      <c r="C1996" s="15" t="s">
        <v>5498</v>
      </c>
      <c r="D1996" s="15" t="s">
        <v>5499</v>
      </c>
      <c r="E1996" s="15" t="s">
        <v>8697</v>
      </c>
    </row>
    <row r="1997" spans="1:5" ht="25.5" x14ac:dyDescent="0.2">
      <c r="A1997" s="14" t="s">
        <v>8698</v>
      </c>
      <c r="B1997" s="15" t="s">
        <v>8699</v>
      </c>
      <c r="C1997" s="15" t="s">
        <v>8700</v>
      </c>
      <c r="D1997" s="15" t="s">
        <v>8701</v>
      </c>
      <c r="E1997" s="15" t="s">
        <v>8702</v>
      </c>
    </row>
    <row r="1998" spans="1:5" ht="25.5" x14ac:dyDescent="0.2">
      <c r="A1998" s="14" t="s">
        <v>8703</v>
      </c>
      <c r="B1998" s="15" t="s">
        <v>8704</v>
      </c>
      <c r="C1998" s="15" t="s">
        <v>3395</v>
      </c>
      <c r="D1998" s="15" t="s">
        <v>3396</v>
      </c>
      <c r="E1998" s="15" t="s">
        <v>8705</v>
      </c>
    </row>
    <row r="1999" spans="1:5" ht="25.5" x14ac:dyDescent="0.2">
      <c r="A1999" s="14" t="s">
        <v>8706</v>
      </c>
      <c r="B1999" s="15" t="s">
        <v>8707</v>
      </c>
      <c r="C1999" s="15" t="s">
        <v>4307</v>
      </c>
      <c r="D1999" s="15" t="s">
        <v>4308</v>
      </c>
      <c r="E1999" s="15" t="s">
        <v>8708</v>
      </c>
    </row>
    <row r="2000" spans="1:5" ht="25.5" x14ac:dyDescent="0.2">
      <c r="A2000" s="14" t="s">
        <v>8709</v>
      </c>
      <c r="B2000" s="15" t="s">
        <v>715</v>
      </c>
      <c r="C2000" s="15" t="s">
        <v>4203</v>
      </c>
      <c r="D2000" s="15" t="s">
        <v>4204</v>
      </c>
      <c r="E2000" s="15" t="s">
        <v>8710</v>
      </c>
    </row>
    <row r="2001" spans="1:5" ht="25.5" x14ac:dyDescent="0.2">
      <c r="A2001" s="14" t="s">
        <v>8711</v>
      </c>
      <c r="B2001" s="15" t="s">
        <v>192</v>
      </c>
      <c r="C2001" s="15" t="s">
        <v>4017</v>
      </c>
      <c r="D2001" s="15" t="s">
        <v>4018</v>
      </c>
      <c r="E2001" s="15" t="s">
        <v>8712</v>
      </c>
    </row>
    <row r="2002" spans="1:5" ht="25.5" x14ac:dyDescent="0.2">
      <c r="A2002" s="14" t="s">
        <v>8713</v>
      </c>
      <c r="B2002" s="15" t="s">
        <v>998</v>
      </c>
      <c r="C2002" s="15" t="s">
        <v>4024</v>
      </c>
      <c r="D2002" s="15" t="s">
        <v>4025</v>
      </c>
      <c r="E2002" s="15" t="s">
        <v>8714</v>
      </c>
    </row>
    <row r="2003" spans="1:5" ht="25.5" x14ac:dyDescent="0.2">
      <c r="A2003" s="14" t="s">
        <v>8715</v>
      </c>
      <c r="B2003" s="15" t="s">
        <v>527</v>
      </c>
      <c r="C2003" s="15" t="s">
        <v>4024</v>
      </c>
      <c r="D2003" s="15" t="s">
        <v>4025</v>
      </c>
      <c r="E2003" s="15" t="s">
        <v>8716</v>
      </c>
    </row>
    <row r="2004" spans="1:5" ht="25.5" x14ac:dyDescent="0.2">
      <c r="A2004" s="14" t="s">
        <v>8717</v>
      </c>
      <c r="B2004" s="15" t="s">
        <v>8718</v>
      </c>
      <c r="C2004" s="15" t="s">
        <v>4654</v>
      </c>
      <c r="D2004" s="15" t="s">
        <v>4655</v>
      </c>
      <c r="E2004" s="15" t="s">
        <v>8719</v>
      </c>
    </row>
    <row r="2005" spans="1:5" ht="25.5" x14ac:dyDescent="0.2">
      <c r="A2005" s="14" t="s">
        <v>8720</v>
      </c>
      <c r="B2005" s="15" t="s">
        <v>8721</v>
      </c>
      <c r="C2005" s="15" t="s">
        <v>4273</v>
      </c>
      <c r="D2005" s="15" t="s">
        <v>4274</v>
      </c>
      <c r="E2005" s="15" t="s">
        <v>8722</v>
      </c>
    </row>
    <row r="2006" spans="1:5" ht="38.25" x14ac:dyDescent="0.2">
      <c r="A2006" s="14" t="s">
        <v>8723</v>
      </c>
      <c r="B2006" s="15" t="s">
        <v>8724</v>
      </c>
      <c r="C2006" s="15" t="s">
        <v>8663</v>
      </c>
      <c r="D2006" s="15" t="s">
        <v>8664</v>
      </c>
      <c r="E2006" s="15" t="s">
        <v>8725</v>
      </c>
    </row>
    <row r="2007" spans="1:5" ht="25.5" x14ac:dyDescent="0.2">
      <c r="A2007" s="14" t="s">
        <v>8726</v>
      </c>
      <c r="B2007" s="15" t="s">
        <v>337</v>
      </c>
      <c r="C2007" s="15" t="s">
        <v>5207</v>
      </c>
      <c r="D2007" s="15" t="s">
        <v>5208</v>
      </c>
      <c r="E2007" s="15" t="s">
        <v>8727</v>
      </c>
    </row>
    <row r="2008" spans="1:5" ht="25.5" x14ac:dyDescent="0.2">
      <c r="A2008" s="14" t="s">
        <v>8728</v>
      </c>
      <c r="B2008" s="15" t="s">
        <v>8729</v>
      </c>
      <c r="C2008" s="15" t="s">
        <v>6990</v>
      </c>
      <c r="D2008" s="15" t="s">
        <v>6991</v>
      </c>
      <c r="E2008" s="15" t="s">
        <v>8730</v>
      </c>
    </row>
    <row r="2009" spans="1:5" ht="25.5" x14ac:dyDescent="0.2">
      <c r="A2009" s="14" t="s">
        <v>8731</v>
      </c>
      <c r="B2009" s="15" t="s">
        <v>8732</v>
      </c>
      <c r="C2009" s="15" t="s">
        <v>4171</v>
      </c>
      <c r="D2009" s="15" t="s">
        <v>4172</v>
      </c>
      <c r="E2009" s="15" t="s">
        <v>8733</v>
      </c>
    </row>
    <row r="2010" spans="1:5" ht="25.5" x14ac:dyDescent="0.2">
      <c r="A2010" s="14" t="s">
        <v>8734</v>
      </c>
      <c r="B2010" s="15" t="s">
        <v>8735</v>
      </c>
      <c r="C2010" s="15" t="s">
        <v>5507</v>
      </c>
      <c r="D2010" s="15" t="s">
        <v>5508</v>
      </c>
      <c r="E2010" s="15" t="s">
        <v>8736</v>
      </c>
    </row>
    <row r="2011" spans="1:5" ht="25.5" x14ac:dyDescent="0.2">
      <c r="A2011" s="14" t="s">
        <v>8737</v>
      </c>
      <c r="B2011" s="15" t="s">
        <v>8738</v>
      </c>
      <c r="C2011" s="15" t="s">
        <v>5459</v>
      </c>
      <c r="D2011" s="15" t="s">
        <v>5460</v>
      </c>
      <c r="E2011" s="15" t="s">
        <v>8739</v>
      </c>
    </row>
    <row r="2012" spans="1:5" ht="25.5" x14ac:dyDescent="0.2">
      <c r="A2012" s="14" t="s">
        <v>8740</v>
      </c>
      <c r="B2012" s="15" t="s">
        <v>8741</v>
      </c>
      <c r="C2012" s="15" t="s">
        <v>8742</v>
      </c>
      <c r="D2012" s="15" t="s">
        <v>8743</v>
      </c>
      <c r="E2012" s="15" t="s">
        <v>8744</v>
      </c>
    </row>
    <row r="2013" spans="1:5" ht="25.5" x14ac:dyDescent="0.2">
      <c r="A2013" s="14" t="s">
        <v>8745</v>
      </c>
      <c r="B2013" s="15" t="s">
        <v>8746</v>
      </c>
      <c r="C2013" s="15" t="s">
        <v>8742</v>
      </c>
      <c r="D2013" s="15" t="s">
        <v>8743</v>
      </c>
      <c r="E2013" s="15" t="s">
        <v>8747</v>
      </c>
    </row>
    <row r="2014" spans="1:5" ht="25.5" x14ac:dyDescent="0.2">
      <c r="A2014" s="14" t="s">
        <v>8748</v>
      </c>
      <c r="B2014" s="15" t="s">
        <v>8749</v>
      </c>
      <c r="C2014" s="15" t="s">
        <v>8742</v>
      </c>
      <c r="D2014" s="15" t="s">
        <v>8743</v>
      </c>
      <c r="E2014" s="15" t="s">
        <v>8750</v>
      </c>
    </row>
    <row r="2015" spans="1:5" ht="25.5" x14ac:dyDescent="0.2">
      <c r="A2015" s="14" t="s">
        <v>8751</v>
      </c>
      <c r="B2015" s="15" t="s">
        <v>403</v>
      </c>
      <c r="C2015" s="15" t="s">
        <v>8742</v>
      </c>
      <c r="D2015" s="15" t="s">
        <v>8743</v>
      </c>
      <c r="E2015" s="15" t="s">
        <v>8752</v>
      </c>
    </row>
    <row r="2016" spans="1:5" ht="25.5" x14ac:dyDescent="0.2">
      <c r="A2016" s="14" t="s">
        <v>8753</v>
      </c>
      <c r="B2016" s="15" t="s">
        <v>1367</v>
      </c>
      <c r="C2016" s="15" t="s">
        <v>8742</v>
      </c>
      <c r="D2016" s="15" t="s">
        <v>8743</v>
      </c>
      <c r="E2016" s="15" t="s">
        <v>8754</v>
      </c>
    </row>
    <row r="2017" spans="1:5" ht="25.5" x14ac:dyDescent="0.2">
      <c r="A2017" s="14" t="s">
        <v>8755</v>
      </c>
      <c r="B2017" s="15" t="s">
        <v>10</v>
      </c>
      <c r="C2017" s="15" t="s">
        <v>8742</v>
      </c>
      <c r="D2017" s="15" t="s">
        <v>8743</v>
      </c>
      <c r="E2017" s="15" t="s">
        <v>8756</v>
      </c>
    </row>
    <row r="2018" spans="1:5" ht="25.5" x14ac:dyDescent="0.2">
      <c r="A2018" s="14" t="s">
        <v>8757</v>
      </c>
      <c r="B2018" s="15" t="s">
        <v>1377</v>
      </c>
      <c r="C2018" s="15" t="s">
        <v>8742</v>
      </c>
      <c r="D2018" s="15" t="s">
        <v>8743</v>
      </c>
      <c r="E2018" s="15" t="s">
        <v>8758</v>
      </c>
    </row>
    <row r="2019" spans="1:5" ht="25.5" x14ac:dyDescent="0.2">
      <c r="A2019" s="14" t="s">
        <v>8759</v>
      </c>
      <c r="B2019" s="15" t="s">
        <v>781</v>
      </c>
      <c r="C2019" s="15" t="s">
        <v>8742</v>
      </c>
      <c r="D2019" s="15" t="s">
        <v>8743</v>
      </c>
      <c r="E2019" s="15" t="s">
        <v>8760</v>
      </c>
    </row>
    <row r="2020" spans="1:5" ht="25.5" x14ac:dyDescent="0.2">
      <c r="A2020" s="14" t="s">
        <v>8761</v>
      </c>
      <c r="B2020" s="15" t="s">
        <v>590</v>
      </c>
      <c r="C2020" s="15" t="s">
        <v>8742</v>
      </c>
      <c r="D2020" s="15" t="s">
        <v>8743</v>
      </c>
      <c r="E2020" s="15" t="s">
        <v>8762</v>
      </c>
    </row>
    <row r="2021" spans="1:5" ht="25.5" x14ac:dyDescent="0.2">
      <c r="A2021" s="14" t="s">
        <v>8763</v>
      </c>
      <c r="B2021" s="15" t="s">
        <v>592</v>
      </c>
      <c r="C2021" s="15" t="s">
        <v>8742</v>
      </c>
      <c r="D2021" s="15" t="s">
        <v>8743</v>
      </c>
      <c r="E2021" s="15" t="s">
        <v>8764</v>
      </c>
    </row>
    <row r="2022" spans="1:5" ht="25.5" x14ac:dyDescent="0.2">
      <c r="A2022" s="14" t="s">
        <v>8765</v>
      </c>
      <c r="B2022" s="15" t="s">
        <v>8766</v>
      </c>
      <c r="C2022" s="15" t="s">
        <v>8742</v>
      </c>
      <c r="D2022" s="15" t="s">
        <v>8743</v>
      </c>
      <c r="E2022" s="15" t="s">
        <v>8767</v>
      </c>
    </row>
    <row r="2023" spans="1:5" ht="25.5" x14ac:dyDescent="0.2">
      <c r="A2023" s="14" t="s">
        <v>8768</v>
      </c>
      <c r="B2023" s="15" t="s">
        <v>75</v>
      </c>
      <c r="C2023" s="15" t="s">
        <v>8742</v>
      </c>
      <c r="D2023" s="15" t="s">
        <v>8743</v>
      </c>
      <c r="E2023" s="15" t="s">
        <v>8769</v>
      </c>
    </row>
    <row r="2024" spans="1:5" ht="25.5" x14ac:dyDescent="0.2">
      <c r="A2024" s="14" t="s">
        <v>8770</v>
      </c>
      <c r="B2024" s="15" t="s">
        <v>424</v>
      </c>
      <c r="C2024" s="15" t="s">
        <v>8742</v>
      </c>
      <c r="D2024" s="15" t="s">
        <v>8743</v>
      </c>
      <c r="E2024" s="15" t="s">
        <v>8771</v>
      </c>
    </row>
    <row r="2025" spans="1:5" ht="25.5" x14ac:dyDescent="0.2">
      <c r="A2025" s="14" t="s">
        <v>8772</v>
      </c>
      <c r="B2025" s="15" t="s">
        <v>444</v>
      </c>
      <c r="C2025" s="15" t="s">
        <v>8742</v>
      </c>
      <c r="D2025" s="15" t="s">
        <v>8743</v>
      </c>
      <c r="E2025" s="15" t="s">
        <v>8773</v>
      </c>
    </row>
    <row r="2026" spans="1:5" ht="25.5" x14ac:dyDescent="0.2">
      <c r="A2026" s="14" t="s">
        <v>8774</v>
      </c>
      <c r="B2026" s="15" t="s">
        <v>8775</v>
      </c>
      <c r="C2026" s="15" t="s">
        <v>8776</v>
      </c>
      <c r="D2026" s="15" t="s">
        <v>8777</v>
      </c>
      <c r="E2026" s="15" t="s">
        <v>8778</v>
      </c>
    </row>
    <row r="2027" spans="1:5" ht="25.5" x14ac:dyDescent="0.2">
      <c r="A2027" s="14" t="s">
        <v>8779</v>
      </c>
      <c r="B2027" s="15" t="s">
        <v>8780</v>
      </c>
      <c r="C2027" s="15" t="s">
        <v>8776</v>
      </c>
      <c r="D2027" s="15" t="s">
        <v>8777</v>
      </c>
      <c r="E2027" s="15" t="s">
        <v>8781</v>
      </c>
    </row>
    <row r="2028" spans="1:5" ht="25.5" x14ac:dyDescent="0.2">
      <c r="A2028" s="14" t="s">
        <v>8782</v>
      </c>
      <c r="B2028" s="15" t="s">
        <v>8783</v>
      </c>
      <c r="C2028" s="15" t="s">
        <v>8776</v>
      </c>
      <c r="D2028" s="15" t="s">
        <v>8777</v>
      </c>
      <c r="E2028" s="15" t="s">
        <v>8784</v>
      </c>
    </row>
    <row r="2029" spans="1:5" ht="25.5" x14ac:dyDescent="0.2">
      <c r="A2029" s="14" t="s">
        <v>8785</v>
      </c>
      <c r="B2029" s="15" t="s">
        <v>8786</v>
      </c>
      <c r="C2029" s="15" t="s">
        <v>8787</v>
      </c>
      <c r="D2029" s="15" t="s">
        <v>8788</v>
      </c>
      <c r="E2029" s="15" t="s">
        <v>8789</v>
      </c>
    </row>
    <row r="2030" spans="1:5" ht="25.5" x14ac:dyDescent="0.2">
      <c r="A2030" s="14" t="s">
        <v>8790</v>
      </c>
      <c r="B2030" s="15" t="s">
        <v>8791</v>
      </c>
      <c r="C2030" s="15" t="s">
        <v>4764</v>
      </c>
      <c r="D2030" s="15" t="s">
        <v>4765</v>
      </c>
      <c r="E2030" s="15" t="s">
        <v>8792</v>
      </c>
    </row>
    <row r="2031" spans="1:5" ht="25.5" x14ac:dyDescent="0.2">
      <c r="A2031" s="14" t="s">
        <v>8793</v>
      </c>
      <c r="B2031" s="15" t="s">
        <v>8794</v>
      </c>
      <c r="C2031" s="15" t="s">
        <v>4764</v>
      </c>
      <c r="D2031" s="15" t="s">
        <v>4765</v>
      </c>
      <c r="E2031" s="15" t="s">
        <v>8795</v>
      </c>
    </row>
    <row r="2032" spans="1:5" ht="25.5" x14ac:dyDescent="0.2">
      <c r="A2032" s="14" t="s">
        <v>8796</v>
      </c>
      <c r="B2032" s="15" t="s">
        <v>8797</v>
      </c>
      <c r="C2032" s="15" t="s">
        <v>4764</v>
      </c>
      <c r="D2032" s="15" t="s">
        <v>4765</v>
      </c>
      <c r="E2032" s="15" t="s">
        <v>8798</v>
      </c>
    </row>
    <row r="2033" spans="1:5" ht="25.5" x14ac:dyDescent="0.2">
      <c r="A2033" s="14" t="s">
        <v>8799</v>
      </c>
      <c r="B2033" s="15" t="s">
        <v>8800</v>
      </c>
      <c r="C2033" s="15" t="s">
        <v>4764</v>
      </c>
      <c r="D2033" s="15" t="s">
        <v>4765</v>
      </c>
      <c r="E2033" s="15" t="s">
        <v>8801</v>
      </c>
    </row>
    <row r="2034" spans="1:5" ht="25.5" x14ac:dyDescent="0.2">
      <c r="A2034" s="14" t="s">
        <v>8802</v>
      </c>
      <c r="B2034" s="15" t="s">
        <v>8803</v>
      </c>
      <c r="C2034" s="15" t="s">
        <v>4764</v>
      </c>
      <c r="D2034" s="15" t="s">
        <v>4765</v>
      </c>
      <c r="E2034" s="15" t="s">
        <v>8804</v>
      </c>
    </row>
    <row r="2035" spans="1:5" ht="25.5" x14ac:dyDescent="0.2">
      <c r="A2035" s="14" t="s">
        <v>8805</v>
      </c>
      <c r="B2035" s="15" t="s">
        <v>8806</v>
      </c>
      <c r="C2035" s="15" t="s">
        <v>4764</v>
      </c>
      <c r="D2035" s="15" t="s">
        <v>4765</v>
      </c>
      <c r="E2035" s="15" t="s">
        <v>8807</v>
      </c>
    </row>
    <row r="2036" spans="1:5" ht="25.5" x14ac:dyDescent="0.2">
      <c r="A2036" s="14" t="s">
        <v>8808</v>
      </c>
      <c r="B2036" s="15" t="s">
        <v>252</v>
      </c>
      <c r="C2036" s="15" t="s">
        <v>4764</v>
      </c>
      <c r="D2036" s="15" t="s">
        <v>4765</v>
      </c>
      <c r="E2036" s="15" t="s">
        <v>8809</v>
      </c>
    </row>
    <row r="2037" spans="1:5" ht="25.5" x14ac:dyDescent="0.2">
      <c r="A2037" s="14" t="s">
        <v>8810</v>
      </c>
      <c r="B2037" s="15" t="s">
        <v>84</v>
      </c>
      <c r="C2037" s="15" t="s">
        <v>4764</v>
      </c>
      <c r="D2037" s="15" t="s">
        <v>4765</v>
      </c>
      <c r="E2037" s="15" t="s">
        <v>8811</v>
      </c>
    </row>
    <row r="2038" spans="1:5" ht="25.5" x14ac:dyDescent="0.2">
      <c r="A2038" s="14" t="s">
        <v>8812</v>
      </c>
      <c r="B2038" s="15" t="s">
        <v>1137</v>
      </c>
      <c r="C2038" s="15" t="s">
        <v>4764</v>
      </c>
      <c r="D2038" s="15" t="s">
        <v>4765</v>
      </c>
      <c r="E2038" s="15" t="s">
        <v>8813</v>
      </c>
    </row>
    <row r="2039" spans="1:5" ht="25.5" x14ac:dyDescent="0.2">
      <c r="A2039" s="14" t="s">
        <v>8814</v>
      </c>
      <c r="B2039" s="15" t="s">
        <v>8815</v>
      </c>
      <c r="C2039" s="15" t="s">
        <v>4764</v>
      </c>
      <c r="D2039" s="15" t="s">
        <v>4765</v>
      </c>
      <c r="E2039" s="15" t="s">
        <v>8816</v>
      </c>
    </row>
    <row r="2040" spans="1:5" ht="25.5" x14ac:dyDescent="0.2">
      <c r="A2040" s="14" t="s">
        <v>8817</v>
      </c>
      <c r="B2040" s="15" t="s">
        <v>221</v>
      </c>
      <c r="C2040" s="15" t="s">
        <v>4764</v>
      </c>
      <c r="D2040" s="15" t="s">
        <v>4765</v>
      </c>
      <c r="E2040" s="15" t="s">
        <v>8818</v>
      </c>
    </row>
    <row r="2041" spans="1:5" ht="25.5" x14ac:dyDescent="0.2">
      <c r="A2041" s="14" t="s">
        <v>8819</v>
      </c>
      <c r="B2041" s="15" t="s">
        <v>520</v>
      </c>
      <c r="C2041" s="15" t="s">
        <v>8820</v>
      </c>
      <c r="D2041" s="15" t="s">
        <v>8821</v>
      </c>
      <c r="E2041" s="15" t="s">
        <v>8822</v>
      </c>
    </row>
    <row r="2042" spans="1:5" ht="25.5" x14ac:dyDescent="0.2">
      <c r="A2042" s="14" t="s">
        <v>8823</v>
      </c>
      <c r="B2042" s="15" t="s">
        <v>334</v>
      </c>
      <c r="C2042" s="15" t="s">
        <v>8820</v>
      </c>
      <c r="D2042" s="15" t="s">
        <v>8821</v>
      </c>
      <c r="E2042" s="15" t="s">
        <v>8824</v>
      </c>
    </row>
    <row r="2043" spans="1:5" ht="25.5" x14ac:dyDescent="0.2">
      <c r="A2043" s="14" t="s">
        <v>8825</v>
      </c>
      <c r="B2043" s="15" t="s">
        <v>1277</v>
      </c>
      <c r="C2043" s="15" t="s">
        <v>8820</v>
      </c>
      <c r="D2043" s="15" t="s">
        <v>8821</v>
      </c>
      <c r="E2043" s="15" t="s">
        <v>8826</v>
      </c>
    </row>
    <row r="2044" spans="1:5" ht="25.5" x14ac:dyDescent="0.2">
      <c r="A2044" s="14" t="s">
        <v>8827</v>
      </c>
      <c r="B2044" s="15" t="s">
        <v>331</v>
      </c>
      <c r="C2044" s="15" t="s">
        <v>8820</v>
      </c>
      <c r="D2044" s="15" t="s">
        <v>8821</v>
      </c>
      <c r="E2044" s="15" t="s">
        <v>8828</v>
      </c>
    </row>
    <row r="2045" spans="1:5" ht="25.5" x14ac:dyDescent="0.2">
      <c r="A2045" s="14" t="s">
        <v>8829</v>
      </c>
      <c r="B2045" s="15" t="s">
        <v>330</v>
      </c>
      <c r="C2045" s="15" t="s">
        <v>8820</v>
      </c>
      <c r="D2045" s="15" t="s">
        <v>8821</v>
      </c>
      <c r="E2045" s="15" t="s">
        <v>8830</v>
      </c>
    </row>
    <row r="2046" spans="1:5" ht="25.5" x14ac:dyDescent="0.2">
      <c r="A2046" s="14" t="s">
        <v>8831</v>
      </c>
      <c r="B2046" s="15" t="s">
        <v>332</v>
      </c>
      <c r="C2046" s="15" t="s">
        <v>8820</v>
      </c>
      <c r="D2046" s="15" t="s">
        <v>8821</v>
      </c>
      <c r="E2046" s="15" t="s">
        <v>8832</v>
      </c>
    </row>
    <row r="2047" spans="1:5" ht="25.5" x14ac:dyDescent="0.2">
      <c r="A2047" s="14" t="s">
        <v>8833</v>
      </c>
      <c r="B2047" s="15" t="s">
        <v>333</v>
      </c>
      <c r="C2047" s="15" t="s">
        <v>8820</v>
      </c>
      <c r="D2047" s="15" t="s">
        <v>8821</v>
      </c>
      <c r="E2047" s="15" t="s">
        <v>8834</v>
      </c>
    </row>
    <row r="2048" spans="1:5" ht="25.5" x14ac:dyDescent="0.2">
      <c r="A2048" s="14" t="s">
        <v>8835</v>
      </c>
      <c r="B2048" s="15" t="s">
        <v>519</v>
      </c>
      <c r="C2048" s="15" t="s">
        <v>8820</v>
      </c>
      <c r="D2048" s="15" t="s">
        <v>8821</v>
      </c>
      <c r="E2048" s="15" t="s">
        <v>8836</v>
      </c>
    </row>
    <row r="2049" spans="1:5" ht="25.5" x14ac:dyDescent="0.2">
      <c r="A2049" s="14" t="s">
        <v>8837</v>
      </c>
      <c r="B2049" s="15" t="s">
        <v>8838</v>
      </c>
      <c r="C2049" s="15" t="s">
        <v>4179</v>
      </c>
      <c r="D2049" s="15" t="s">
        <v>4180</v>
      </c>
      <c r="E2049" s="15" t="s">
        <v>8839</v>
      </c>
    </row>
    <row r="2050" spans="1:5" ht="25.5" x14ac:dyDescent="0.2">
      <c r="A2050" s="14" t="s">
        <v>8840</v>
      </c>
      <c r="B2050" s="15" t="s">
        <v>8841</v>
      </c>
      <c r="C2050" s="15" t="s">
        <v>4179</v>
      </c>
      <c r="D2050" s="15" t="s">
        <v>4180</v>
      </c>
      <c r="E2050" s="15" t="s">
        <v>8842</v>
      </c>
    </row>
    <row r="2051" spans="1:5" ht="25.5" x14ac:dyDescent="0.2">
      <c r="A2051" s="14" t="s">
        <v>8843</v>
      </c>
      <c r="B2051" s="15" t="s">
        <v>8844</v>
      </c>
      <c r="C2051" s="15" t="s">
        <v>4171</v>
      </c>
      <c r="D2051" s="15" t="s">
        <v>4172</v>
      </c>
      <c r="E2051" s="15" t="s">
        <v>8845</v>
      </c>
    </row>
    <row r="2052" spans="1:5" ht="25.5" x14ac:dyDescent="0.2">
      <c r="A2052" s="14" t="s">
        <v>8846</v>
      </c>
      <c r="B2052" s="15" t="s">
        <v>116</v>
      </c>
      <c r="C2052" s="15" t="s">
        <v>5633</v>
      </c>
      <c r="D2052" s="15" t="s">
        <v>5634</v>
      </c>
      <c r="E2052" s="15" t="s">
        <v>8847</v>
      </c>
    </row>
    <row r="2053" spans="1:5" ht="38.25" x14ac:dyDescent="0.2">
      <c r="A2053" s="14" t="s">
        <v>8848</v>
      </c>
      <c r="B2053" s="15" t="s">
        <v>8849</v>
      </c>
      <c r="C2053" s="15" t="s">
        <v>5409</v>
      </c>
      <c r="D2053" s="15" t="s">
        <v>5410</v>
      </c>
      <c r="E2053" s="15" t="s">
        <v>8850</v>
      </c>
    </row>
    <row r="2054" spans="1:5" ht="51" x14ac:dyDescent="0.2">
      <c r="A2054" s="14" t="s">
        <v>8851</v>
      </c>
      <c r="B2054" s="15" t="s">
        <v>8852</v>
      </c>
      <c r="C2054" s="15" t="s">
        <v>5409</v>
      </c>
      <c r="D2054" s="15" t="s">
        <v>5410</v>
      </c>
      <c r="E2054" s="15" t="s">
        <v>8853</v>
      </c>
    </row>
    <row r="2055" spans="1:5" ht="25.5" x14ac:dyDescent="0.2">
      <c r="A2055" s="14" t="s">
        <v>8854</v>
      </c>
      <c r="B2055" s="15" t="s">
        <v>318</v>
      </c>
      <c r="C2055" s="15" t="s">
        <v>5207</v>
      </c>
      <c r="D2055" s="15" t="s">
        <v>5208</v>
      </c>
      <c r="E2055" s="15" t="s">
        <v>8855</v>
      </c>
    </row>
    <row r="2056" spans="1:5" ht="25.5" x14ac:dyDescent="0.2">
      <c r="A2056" s="14" t="s">
        <v>8856</v>
      </c>
      <c r="B2056" s="15" t="s">
        <v>1415</v>
      </c>
      <c r="C2056" s="15" t="s">
        <v>5207</v>
      </c>
      <c r="D2056" s="15" t="s">
        <v>5208</v>
      </c>
      <c r="E2056" s="15" t="s">
        <v>8857</v>
      </c>
    </row>
    <row r="2057" spans="1:5" ht="25.5" x14ac:dyDescent="0.2">
      <c r="A2057" s="14" t="s">
        <v>8858</v>
      </c>
      <c r="B2057" s="15" t="s">
        <v>8859</v>
      </c>
      <c r="C2057" s="15" t="s">
        <v>8860</v>
      </c>
      <c r="D2057" s="15" t="s">
        <v>8861</v>
      </c>
      <c r="E2057" s="15" t="s">
        <v>8862</v>
      </c>
    </row>
    <row r="2058" spans="1:5" ht="25.5" x14ac:dyDescent="0.2">
      <c r="A2058" s="14" t="s">
        <v>8863</v>
      </c>
      <c r="B2058" s="15" t="s">
        <v>1307</v>
      </c>
      <c r="C2058" s="15" t="s">
        <v>8860</v>
      </c>
      <c r="D2058" s="15" t="s">
        <v>8861</v>
      </c>
      <c r="E2058" s="15" t="s">
        <v>8864</v>
      </c>
    </row>
    <row r="2059" spans="1:5" ht="25.5" x14ac:dyDescent="0.2">
      <c r="A2059" s="14" t="s">
        <v>8865</v>
      </c>
      <c r="B2059" s="15" t="s">
        <v>8866</v>
      </c>
      <c r="C2059" s="15" t="s">
        <v>8860</v>
      </c>
      <c r="D2059" s="15" t="s">
        <v>8861</v>
      </c>
      <c r="E2059" s="15" t="s">
        <v>8867</v>
      </c>
    </row>
    <row r="2060" spans="1:5" ht="25.5" x14ac:dyDescent="0.2">
      <c r="A2060" s="14" t="s">
        <v>8868</v>
      </c>
      <c r="B2060" s="15" t="s">
        <v>8869</v>
      </c>
      <c r="C2060" s="15" t="s">
        <v>8860</v>
      </c>
      <c r="D2060" s="15" t="s">
        <v>8861</v>
      </c>
      <c r="E2060" s="15" t="s">
        <v>8870</v>
      </c>
    </row>
    <row r="2061" spans="1:5" ht="25.5" x14ac:dyDescent="0.2">
      <c r="A2061" s="14" t="s">
        <v>8871</v>
      </c>
      <c r="B2061" s="15" t="s">
        <v>8872</v>
      </c>
      <c r="C2061" s="15" t="s">
        <v>8860</v>
      </c>
      <c r="D2061" s="15" t="s">
        <v>8861</v>
      </c>
      <c r="E2061" s="15" t="s">
        <v>8873</v>
      </c>
    </row>
    <row r="2062" spans="1:5" ht="25.5" x14ac:dyDescent="0.2">
      <c r="A2062" s="14" t="s">
        <v>8874</v>
      </c>
      <c r="B2062" s="15" t="s">
        <v>8875</v>
      </c>
      <c r="C2062" s="15" t="s">
        <v>8860</v>
      </c>
      <c r="D2062" s="15" t="s">
        <v>8861</v>
      </c>
      <c r="E2062" s="15" t="s">
        <v>8876</v>
      </c>
    </row>
    <row r="2063" spans="1:5" ht="25.5" x14ac:dyDescent="0.2">
      <c r="A2063" s="14" t="s">
        <v>8877</v>
      </c>
      <c r="B2063" s="15" t="s">
        <v>8878</v>
      </c>
      <c r="C2063" s="15" t="s">
        <v>8860</v>
      </c>
      <c r="D2063" s="15" t="s">
        <v>8861</v>
      </c>
      <c r="E2063" s="15" t="s">
        <v>8879</v>
      </c>
    </row>
    <row r="2064" spans="1:5" ht="25.5" x14ac:dyDescent="0.2">
      <c r="A2064" s="14" t="s">
        <v>8880</v>
      </c>
      <c r="B2064" s="15" t="s">
        <v>8881</v>
      </c>
      <c r="C2064" s="15" t="s">
        <v>8860</v>
      </c>
      <c r="D2064" s="15" t="s">
        <v>8861</v>
      </c>
      <c r="E2064" s="15" t="s">
        <v>8882</v>
      </c>
    </row>
    <row r="2065" spans="1:5" ht="25.5" x14ac:dyDescent="0.2">
      <c r="A2065" s="14" t="s">
        <v>8883</v>
      </c>
      <c r="B2065" s="15" t="s">
        <v>8884</v>
      </c>
      <c r="C2065" s="15" t="s">
        <v>8860</v>
      </c>
      <c r="D2065" s="15" t="s">
        <v>8861</v>
      </c>
      <c r="E2065" s="15" t="s">
        <v>8885</v>
      </c>
    </row>
    <row r="2066" spans="1:5" ht="25.5" x14ac:dyDescent="0.2">
      <c r="A2066" s="14" t="s">
        <v>8886</v>
      </c>
      <c r="B2066" s="15" t="s">
        <v>8887</v>
      </c>
      <c r="C2066" s="15" t="s">
        <v>8860</v>
      </c>
      <c r="D2066" s="15" t="s">
        <v>8861</v>
      </c>
      <c r="E2066" s="15" t="s">
        <v>8888</v>
      </c>
    </row>
    <row r="2067" spans="1:5" ht="25.5" x14ac:dyDescent="0.2">
      <c r="A2067" s="14" t="s">
        <v>8889</v>
      </c>
      <c r="B2067" s="15" t="s">
        <v>8890</v>
      </c>
      <c r="C2067" s="15" t="s">
        <v>8860</v>
      </c>
      <c r="D2067" s="15" t="s">
        <v>8861</v>
      </c>
      <c r="E2067" s="15" t="s">
        <v>8891</v>
      </c>
    </row>
    <row r="2068" spans="1:5" ht="25.5" x14ac:dyDescent="0.2">
      <c r="A2068" s="14" t="s">
        <v>8892</v>
      </c>
      <c r="B2068" s="15" t="s">
        <v>8893</v>
      </c>
      <c r="C2068" s="15" t="s">
        <v>8860</v>
      </c>
      <c r="D2068" s="15" t="s">
        <v>8861</v>
      </c>
      <c r="E2068" s="15" t="s">
        <v>8894</v>
      </c>
    </row>
    <row r="2069" spans="1:5" ht="25.5" x14ac:dyDescent="0.2">
      <c r="A2069" s="14" t="s">
        <v>8895</v>
      </c>
      <c r="B2069" s="15" t="s">
        <v>970</v>
      </c>
      <c r="C2069" s="15" t="s">
        <v>8860</v>
      </c>
      <c r="D2069" s="15" t="s">
        <v>8861</v>
      </c>
      <c r="E2069" s="15" t="s">
        <v>8896</v>
      </c>
    </row>
    <row r="2070" spans="1:5" ht="25.5" x14ac:dyDescent="0.2">
      <c r="A2070" s="14" t="s">
        <v>8897</v>
      </c>
      <c r="B2070" s="15" t="s">
        <v>8898</v>
      </c>
      <c r="C2070" s="15" t="s">
        <v>8860</v>
      </c>
      <c r="D2070" s="15" t="s">
        <v>8861</v>
      </c>
      <c r="E2070" s="15" t="s">
        <v>8899</v>
      </c>
    </row>
    <row r="2071" spans="1:5" ht="25.5" x14ac:dyDescent="0.2">
      <c r="A2071" s="14" t="s">
        <v>8900</v>
      </c>
      <c r="B2071" s="15" t="s">
        <v>1374</v>
      </c>
      <c r="C2071" s="15" t="s">
        <v>8860</v>
      </c>
      <c r="D2071" s="15" t="s">
        <v>8861</v>
      </c>
      <c r="E2071" s="15" t="s">
        <v>8901</v>
      </c>
    </row>
    <row r="2072" spans="1:5" ht="25.5" x14ac:dyDescent="0.2">
      <c r="A2072" s="14" t="s">
        <v>8902</v>
      </c>
      <c r="B2072" s="15" t="s">
        <v>8903</v>
      </c>
      <c r="C2072" s="15" t="s">
        <v>8860</v>
      </c>
      <c r="D2072" s="15" t="s">
        <v>8861</v>
      </c>
      <c r="E2072" s="15" t="s">
        <v>8904</v>
      </c>
    </row>
    <row r="2073" spans="1:5" ht="25.5" x14ac:dyDescent="0.2">
      <c r="A2073" s="14" t="s">
        <v>8905</v>
      </c>
      <c r="B2073" s="15" t="s">
        <v>8906</v>
      </c>
      <c r="C2073" s="15" t="s">
        <v>8860</v>
      </c>
      <c r="D2073" s="15" t="s">
        <v>8861</v>
      </c>
      <c r="E2073" s="15" t="s">
        <v>8907</v>
      </c>
    </row>
    <row r="2074" spans="1:5" ht="25.5" x14ac:dyDescent="0.2">
      <c r="A2074" s="14" t="s">
        <v>8908</v>
      </c>
      <c r="B2074" s="15" t="s">
        <v>899</v>
      </c>
      <c r="C2074" s="15" t="s">
        <v>8860</v>
      </c>
      <c r="D2074" s="15" t="s">
        <v>8861</v>
      </c>
      <c r="E2074" s="15" t="s">
        <v>8909</v>
      </c>
    </row>
    <row r="2075" spans="1:5" ht="25.5" x14ac:dyDescent="0.2">
      <c r="A2075" s="14" t="s">
        <v>8910</v>
      </c>
      <c r="B2075" s="15" t="s">
        <v>8911</v>
      </c>
      <c r="C2075" s="15" t="s">
        <v>8860</v>
      </c>
      <c r="D2075" s="15" t="s">
        <v>8861</v>
      </c>
      <c r="E2075" s="15" t="s">
        <v>8912</v>
      </c>
    </row>
    <row r="2076" spans="1:5" ht="25.5" x14ac:dyDescent="0.2">
      <c r="A2076" s="14" t="s">
        <v>8913</v>
      </c>
      <c r="B2076" s="15" t="s">
        <v>8914</v>
      </c>
      <c r="C2076" s="15" t="s">
        <v>8860</v>
      </c>
      <c r="D2076" s="15" t="s">
        <v>8861</v>
      </c>
      <c r="E2076" s="15" t="s">
        <v>8915</v>
      </c>
    </row>
    <row r="2077" spans="1:5" ht="25.5" x14ac:dyDescent="0.2">
      <c r="A2077" s="14" t="s">
        <v>8916</v>
      </c>
      <c r="B2077" s="15" t="s">
        <v>676</v>
      </c>
      <c r="C2077" s="15" t="s">
        <v>8860</v>
      </c>
      <c r="D2077" s="15" t="s">
        <v>8861</v>
      </c>
      <c r="E2077" s="15" t="s">
        <v>8917</v>
      </c>
    </row>
    <row r="2078" spans="1:5" ht="38.25" x14ac:dyDescent="0.2">
      <c r="A2078" s="14" t="s">
        <v>8918</v>
      </c>
      <c r="B2078" s="15" t="s">
        <v>1498</v>
      </c>
      <c r="C2078" s="15" t="s">
        <v>8860</v>
      </c>
      <c r="D2078" s="15" t="s">
        <v>8861</v>
      </c>
      <c r="E2078" s="15" t="s">
        <v>8919</v>
      </c>
    </row>
    <row r="2079" spans="1:5" ht="25.5" x14ac:dyDescent="0.2">
      <c r="A2079" s="14" t="s">
        <v>8920</v>
      </c>
      <c r="B2079" s="15" t="s">
        <v>8921</v>
      </c>
      <c r="C2079" s="15" t="s">
        <v>8860</v>
      </c>
      <c r="D2079" s="15" t="s">
        <v>8861</v>
      </c>
      <c r="E2079" s="15" t="s">
        <v>8922</v>
      </c>
    </row>
    <row r="2080" spans="1:5" ht="25.5" x14ac:dyDescent="0.2">
      <c r="A2080" s="14" t="s">
        <v>8923</v>
      </c>
      <c r="B2080" s="15" t="s">
        <v>1408</v>
      </c>
      <c r="C2080" s="15" t="s">
        <v>8860</v>
      </c>
      <c r="D2080" s="15" t="s">
        <v>8861</v>
      </c>
      <c r="E2080" s="15" t="s">
        <v>8924</v>
      </c>
    </row>
    <row r="2081" spans="1:5" ht="25.5" x14ac:dyDescent="0.2">
      <c r="A2081" s="14" t="s">
        <v>8925</v>
      </c>
      <c r="B2081" s="15" t="s">
        <v>8926</v>
      </c>
      <c r="C2081" s="15" t="s">
        <v>8860</v>
      </c>
      <c r="D2081" s="15" t="s">
        <v>8861</v>
      </c>
      <c r="E2081" s="15" t="s">
        <v>8927</v>
      </c>
    </row>
    <row r="2082" spans="1:5" ht="25.5" x14ac:dyDescent="0.2">
      <c r="A2082" s="14" t="s">
        <v>8928</v>
      </c>
      <c r="B2082" s="15" t="s">
        <v>8929</v>
      </c>
      <c r="C2082" s="15" t="s">
        <v>8860</v>
      </c>
      <c r="D2082" s="15" t="s">
        <v>8861</v>
      </c>
      <c r="E2082" s="15" t="s">
        <v>8930</v>
      </c>
    </row>
    <row r="2083" spans="1:5" ht="25.5" x14ac:dyDescent="0.2">
      <c r="A2083" s="14" t="s">
        <v>8931</v>
      </c>
      <c r="B2083" s="15" t="s">
        <v>8932</v>
      </c>
      <c r="C2083" s="15" t="s">
        <v>8860</v>
      </c>
      <c r="D2083" s="15" t="s">
        <v>8861</v>
      </c>
      <c r="E2083" s="15" t="s">
        <v>8933</v>
      </c>
    </row>
    <row r="2084" spans="1:5" ht="25.5" x14ac:dyDescent="0.2">
      <c r="A2084" s="14" t="s">
        <v>8934</v>
      </c>
      <c r="B2084" s="15" t="s">
        <v>185</v>
      </c>
      <c r="C2084" s="15" t="s">
        <v>4262</v>
      </c>
      <c r="D2084" s="15" t="s">
        <v>4263</v>
      </c>
      <c r="E2084" s="15" t="s">
        <v>8935</v>
      </c>
    </row>
    <row r="2085" spans="1:5" ht="25.5" x14ac:dyDescent="0.2">
      <c r="A2085" s="14" t="s">
        <v>8936</v>
      </c>
      <c r="B2085" s="15" t="s">
        <v>8937</v>
      </c>
      <c r="C2085" s="15" t="s">
        <v>8938</v>
      </c>
      <c r="D2085" s="15" t="s">
        <v>8939</v>
      </c>
      <c r="E2085" s="15" t="s">
        <v>8940</v>
      </c>
    </row>
    <row r="2086" spans="1:5" ht="25.5" x14ac:dyDescent="0.2">
      <c r="A2086" s="14" t="s">
        <v>8941</v>
      </c>
      <c r="B2086" s="15" t="s">
        <v>8942</v>
      </c>
      <c r="C2086" s="15" t="s">
        <v>8938</v>
      </c>
      <c r="D2086" s="15" t="s">
        <v>8939</v>
      </c>
      <c r="E2086" s="15" t="s">
        <v>8943</v>
      </c>
    </row>
    <row r="2087" spans="1:5" ht="25.5" x14ac:dyDescent="0.2">
      <c r="A2087" s="14" t="s">
        <v>8944</v>
      </c>
      <c r="B2087" s="15" t="s">
        <v>1470</v>
      </c>
      <c r="C2087" s="15" t="s">
        <v>3410</v>
      </c>
      <c r="D2087" s="15" t="s">
        <v>3411</v>
      </c>
      <c r="E2087" s="15" t="s">
        <v>8945</v>
      </c>
    </row>
    <row r="2088" spans="1:5" ht="25.5" x14ac:dyDescent="0.2">
      <c r="A2088" s="14" t="s">
        <v>8946</v>
      </c>
      <c r="B2088" s="15" t="s">
        <v>8947</v>
      </c>
      <c r="C2088" s="15" t="s">
        <v>3410</v>
      </c>
      <c r="D2088" s="15" t="s">
        <v>3411</v>
      </c>
      <c r="E2088" s="15" t="s">
        <v>8948</v>
      </c>
    </row>
    <row r="2089" spans="1:5" ht="25.5" x14ac:dyDescent="0.2">
      <c r="A2089" s="14" t="s">
        <v>8949</v>
      </c>
      <c r="B2089" s="15" t="s">
        <v>8950</v>
      </c>
      <c r="C2089" s="15" t="s">
        <v>6179</v>
      </c>
      <c r="D2089" s="15" t="s">
        <v>6180</v>
      </c>
      <c r="E2089" s="15" t="s">
        <v>8951</v>
      </c>
    </row>
    <row r="2090" spans="1:5" ht="25.5" x14ac:dyDescent="0.2">
      <c r="A2090" s="14" t="s">
        <v>8952</v>
      </c>
      <c r="B2090" s="15" t="s">
        <v>8953</v>
      </c>
      <c r="C2090" s="15" t="s">
        <v>6179</v>
      </c>
      <c r="D2090" s="15" t="s">
        <v>6180</v>
      </c>
      <c r="E2090" s="15" t="s">
        <v>8954</v>
      </c>
    </row>
    <row r="2091" spans="1:5" ht="25.5" x14ac:dyDescent="0.2">
      <c r="A2091" s="14" t="s">
        <v>8955</v>
      </c>
      <c r="B2091" s="15" t="s">
        <v>432</v>
      </c>
      <c r="C2091" s="15" t="s">
        <v>4226</v>
      </c>
      <c r="D2091" s="15" t="s">
        <v>4227</v>
      </c>
      <c r="E2091" s="15" t="s">
        <v>8956</v>
      </c>
    </row>
    <row r="2092" spans="1:5" ht="25.5" x14ac:dyDescent="0.2">
      <c r="A2092" s="14" t="s">
        <v>8957</v>
      </c>
      <c r="B2092" s="15" t="s">
        <v>668</v>
      </c>
      <c r="C2092" s="15" t="s">
        <v>4226</v>
      </c>
      <c r="D2092" s="15" t="s">
        <v>4227</v>
      </c>
      <c r="E2092" s="15" t="s">
        <v>8958</v>
      </c>
    </row>
    <row r="2093" spans="1:5" ht="25.5" x14ac:dyDescent="0.2">
      <c r="A2093" s="14" t="s">
        <v>8959</v>
      </c>
      <c r="B2093" s="15" t="s">
        <v>371</v>
      </c>
      <c r="C2093" s="15" t="s">
        <v>4226</v>
      </c>
      <c r="D2093" s="15" t="s">
        <v>4227</v>
      </c>
      <c r="E2093" s="15" t="s">
        <v>8960</v>
      </c>
    </row>
    <row r="2094" spans="1:5" ht="25.5" x14ac:dyDescent="0.2">
      <c r="A2094" s="14" t="s">
        <v>8961</v>
      </c>
      <c r="B2094" s="15" t="s">
        <v>228</v>
      </c>
      <c r="C2094" s="15" t="s">
        <v>4226</v>
      </c>
      <c r="D2094" s="15" t="s">
        <v>4227</v>
      </c>
      <c r="E2094" s="15" t="s">
        <v>8962</v>
      </c>
    </row>
    <row r="2095" spans="1:5" ht="25.5" x14ac:dyDescent="0.2">
      <c r="A2095" s="14" t="s">
        <v>8963</v>
      </c>
      <c r="B2095" s="15" t="s">
        <v>8964</v>
      </c>
      <c r="C2095" s="15" t="s">
        <v>5131</v>
      </c>
      <c r="D2095" s="15" t="s">
        <v>5132</v>
      </c>
      <c r="E2095" s="15" t="s">
        <v>8965</v>
      </c>
    </row>
    <row r="2096" spans="1:5" ht="25.5" x14ac:dyDescent="0.2">
      <c r="A2096" s="14" t="s">
        <v>8966</v>
      </c>
      <c r="B2096" s="15" t="s">
        <v>8967</v>
      </c>
      <c r="C2096" s="15" t="s">
        <v>8968</v>
      </c>
      <c r="D2096" s="15" t="s">
        <v>8969</v>
      </c>
      <c r="E2096" s="15" t="s">
        <v>8970</v>
      </c>
    </row>
    <row r="2097" spans="1:5" ht="25.5" x14ac:dyDescent="0.2">
      <c r="A2097" s="14" t="s">
        <v>8971</v>
      </c>
      <c r="B2097" s="15" t="s">
        <v>8972</v>
      </c>
      <c r="C2097" s="15" t="s">
        <v>4104</v>
      </c>
      <c r="D2097" s="15" t="s">
        <v>4105</v>
      </c>
      <c r="E2097" s="15" t="s">
        <v>8973</v>
      </c>
    </row>
    <row r="2098" spans="1:5" ht="25.5" x14ac:dyDescent="0.2">
      <c r="A2098" s="14" t="s">
        <v>8974</v>
      </c>
      <c r="B2098" s="15" t="s">
        <v>8975</v>
      </c>
      <c r="C2098" s="15" t="s">
        <v>4104</v>
      </c>
      <c r="D2098" s="15" t="s">
        <v>4105</v>
      </c>
      <c r="E2098" s="15" t="s">
        <v>8976</v>
      </c>
    </row>
    <row r="2099" spans="1:5" ht="25.5" x14ac:dyDescent="0.2">
      <c r="A2099" s="14" t="s">
        <v>8977</v>
      </c>
      <c r="B2099" s="15" t="s">
        <v>8978</v>
      </c>
      <c r="C2099" s="15" t="s">
        <v>4262</v>
      </c>
      <c r="D2099" s="15" t="s">
        <v>4263</v>
      </c>
      <c r="E2099" s="15" t="s">
        <v>8979</v>
      </c>
    </row>
    <row r="2100" spans="1:5" ht="25.5" x14ac:dyDescent="0.2">
      <c r="A2100" s="14" t="s">
        <v>8980</v>
      </c>
      <c r="B2100" s="15" t="s">
        <v>8981</v>
      </c>
      <c r="C2100" s="15" t="s">
        <v>4262</v>
      </c>
      <c r="D2100" s="15" t="s">
        <v>4263</v>
      </c>
      <c r="E2100" s="15" t="s">
        <v>8982</v>
      </c>
    </row>
    <row r="2101" spans="1:5" ht="25.5" x14ac:dyDescent="0.2">
      <c r="A2101" s="14" t="s">
        <v>8983</v>
      </c>
      <c r="B2101" s="15" t="s">
        <v>8984</v>
      </c>
      <c r="C2101" s="15" t="s">
        <v>8663</v>
      </c>
      <c r="D2101" s="15" t="s">
        <v>8664</v>
      </c>
      <c r="E2101" s="15" t="s">
        <v>8985</v>
      </c>
    </row>
    <row r="2102" spans="1:5" ht="25.5" x14ac:dyDescent="0.2">
      <c r="A2102" s="14" t="s">
        <v>8986</v>
      </c>
      <c r="B2102" s="15" t="s">
        <v>8987</v>
      </c>
      <c r="C2102" s="15" t="s">
        <v>4055</v>
      </c>
      <c r="D2102" s="15" t="s">
        <v>4056</v>
      </c>
      <c r="E2102" s="15" t="s">
        <v>8988</v>
      </c>
    </row>
    <row r="2103" spans="1:5" ht="25.5" x14ac:dyDescent="0.2">
      <c r="A2103" s="14" t="s">
        <v>8989</v>
      </c>
      <c r="B2103" s="15" t="s">
        <v>8990</v>
      </c>
      <c r="C2103" s="15" t="s">
        <v>4055</v>
      </c>
      <c r="D2103" s="15" t="s">
        <v>4056</v>
      </c>
      <c r="E2103" s="15" t="s">
        <v>8991</v>
      </c>
    </row>
    <row r="2104" spans="1:5" ht="25.5" x14ac:dyDescent="0.2">
      <c r="A2104" s="14" t="s">
        <v>8992</v>
      </c>
      <c r="B2104" s="15" t="s">
        <v>797</v>
      </c>
      <c r="C2104" s="15" t="s">
        <v>5502</v>
      </c>
      <c r="D2104" s="15" t="s">
        <v>5503</v>
      </c>
      <c r="E2104" s="15" t="s">
        <v>8993</v>
      </c>
    </row>
    <row r="2105" spans="1:5" ht="25.5" x14ac:dyDescent="0.2">
      <c r="A2105" s="14" t="s">
        <v>8994</v>
      </c>
      <c r="B2105" s="15" t="s">
        <v>8995</v>
      </c>
      <c r="C2105" s="15" t="s">
        <v>3310</v>
      </c>
      <c r="D2105" s="15" t="s">
        <v>3311</v>
      </c>
      <c r="E2105" s="15" t="s">
        <v>8996</v>
      </c>
    </row>
    <row r="2106" spans="1:5" ht="25.5" x14ac:dyDescent="0.2">
      <c r="A2106" s="14" t="s">
        <v>8997</v>
      </c>
      <c r="B2106" s="15" t="s">
        <v>588</v>
      </c>
      <c r="C2106" s="15" t="s">
        <v>5202</v>
      </c>
      <c r="D2106" s="15" t="s">
        <v>5203</v>
      </c>
      <c r="E2106" s="15" t="s">
        <v>8998</v>
      </c>
    </row>
    <row r="2107" spans="1:5" ht="25.5" x14ac:dyDescent="0.2">
      <c r="A2107" s="14" t="s">
        <v>8999</v>
      </c>
      <c r="B2107" s="15" t="s">
        <v>9000</v>
      </c>
      <c r="C2107" s="15" t="s">
        <v>5202</v>
      </c>
      <c r="D2107" s="15" t="s">
        <v>5203</v>
      </c>
      <c r="E2107" s="15" t="s">
        <v>9001</v>
      </c>
    </row>
    <row r="2108" spans="1:5" ht="25.5" x14ac:dyDescent="0.2">
      <c r="A2108" s="14" t="s">
        <v>9002</v>
      </c>
      <c r="B2108" s="15" t="s">
        <v>9003</v>
      </c>
      <c r="C2108" s="15" t="s">
        <v>4104</v>
      </c>
      <c r="D2108" s="15" t="s">
        <v>4105</v>
      </c>
      <c r="E2108" s="15" t="s">
        <v>9004</v>
      </c>
    </row>
    <row r="2109" spans="1:5" ht="25.5" x14ac:dyDescent="0.2">
      <c r="A2109" s="14" t="s">
        <v>9005</v>
      </c>
      <c r="B2109" s="15" t="s">
        <v>536</v>
      </c>
      <c r="C2109" s="15" t="s">
        <v>3303</v>
      </c>
      <c r="D2109" s="15" t="s">
        <v>3304</v>
      </c>
      <c r="E2109" s="15" t="s">
        <v>9006</v>
      </c>
    </row>
    <row r="2110" spans="1:5" ht="25.5" x14ac:dyDescent="0.2">
      <c r="A2110" s="14" t="s">
        <v>9007</v>
      </c>
      <c r="B2110" s="15" t="s">
        <v>9008</v>
      </c>
      <c r="C2110" s="15" t="s">
        <v>5165</v>
      </c>
      <c r="D2110" s="15" t="s">
        <v>5166</v>
      </c>
      <c r="E2110" s="15" t="s">
        <v>9009</v>
      </c>
    </row>
    <row r="2111" spans="1:5" ht="25.5" x14ac:dyDescent="0.2">
      <c r="A2111" s="14" t="s">
        <v>9010</v>
      </c>
      <c r="B2111" s="15" t="s">
        <v>9011</v>
      </c>
      <c r="C2111" s="15" t="s">
        <v>5165</v>
      </c>
      <c r="D2111" s="15" t="s">
        <v>5166</v>
      </c>
      <c r="E2111" s="15" t="s">
        <v>9012</v>
      </c>
    </row>
    <row r="2112" spans="1:5" ht="25.5" x14ac:dyDescent="0.2">
      <c r="A2112" s="14" t="s">
        <v>9013</v>
      </c>
      <c r="B2112" s="15" t="s">
        <v>173</v>
      </c>
      <c r="C2112" s="15" t="s">
        <v>5165</v>
      </c>
      <c r="D2112" s="15" t="s">
        <v>5166</v>
      </c>
      <c r="E2112" s="15" t="s">
        <v>9014</v>
      </c>
    </row>
    <row r="2113" spans="1:5" ht="25.5" x14ac:dyDescent="0.2">
      <c r="A2113" s="14" t="s">
        <v>9015</v>
      </c>
      <c r="B2113" s="15" t="s">
        <v>515</v>
      </c>
      <c r="C2113" s="15" t="s">
        <v>5207</v>
      </c>
      <c r="D2113" s="15" t="s">
        <v>5208</v>
      </c>
      <c r="E2113" s="15" t="s">
        <v>9016</v>
      </c>
    </row>
    <row r="2114" spans="1:5" ht="25.5" x14ac:dyDescent="0.2">
      <c r="A2114" s="14" t="s">
        <v>9017</v>
      </c>
      <c r="B2114" s="15" t="s">
        <v>37</v>
      </c>
      <c r="C2114" s="15" t="s">
        <v>5207</v>
      </c>
      <c r="D2114" s="15" t="s">
        <v>5208</v>
      </c>
      <c r="E2114" s="15" t="s">
        <v>9018</v>
      </c>
    </row>
    <row r="2115" spans="1:5" ht="25.5" x14ac:dyDescent="0.2">
      <c r="A2115" s="14" t="s">
        <v>9019</v>
      </c>
      <c r="B2115" s="15" t="s">
        <v>9020</v>
      </c>
      <c r="C2115" s="15" t="s">
        <v>4104</v>
      </c>
      <c r="D2115" s="15" t="s">
        <v>4105</v>
      </c>
      <c r="E2115" s="15" t="s">
        <v>9021</v>
      </c>
    </row>
    <row r="2116" spans="1:5" ht="25.5" x14ac:dyDescent="0.2">
      <c r="A2116" s="14" t="s">
        <v>9022</v>
      </c>
      <c r="B2116" s="15" t="s">
        <v>235</v>
      </c>
      <c r="C2116" s="15" t="s">
        <v>4179</v>
      </c>
      <c r="D2116" s="15" t="s">
        <v>4180</v>
      </c>
      <c r="E2116" s="15" t="s">
        <v>9023</v>
      </c>
    </row>
    <row r="2117" spans="1:5" ht="25.5" x14ac:dyDescent="0.2">
      <c r="A2117" s="14" t="s">
        <v>9024</v>
      </c>
      <c r="B2117" s="15" t="s">
        <v>47</v>
      </c>
      <c r="C2117" s="15" t="s">
        <v>4179</v>
      </c>
      <c r="D2117" s="15" t="s">
        <v>4180</v>
      </c>
      <c r="E2117" s="15" t="s">
        <v>9025</v>
      </c>
    </row>
    <row r="2118" spans="1:5" ht="25.5" x14ac:dyDescent="0.2">
      <c r="A2118" s="14" t="s">
        <v>9026</v>
      </c>
      <c r="B2118" s="15" t="s">
        <v>230</v>
      </c>
      <c r="C2118" s="15" t="s">
        <v>5231</v>
      </c>
      <c r="D2118" s="15" t="s">
        <v>5232</v>
      </c>
      <c r="E2118" s="15" t="s">
        <v>9027</v>
      </c>
    </row>
    <row r="2119" spans="1:5" ht="25.5" x14ac:dyDescent="0.2">
      <c r="A2119" s="14" t="s">
        <v>9028</v>
      </c>
      <c r="B2119" s="15" t="s">
        <v>9029</v>
      </c>
      <c r="C2119" s="15" t="s">
        <v>4281</v>
      </c>
      <c r="D2119" s="15" t="s">
        <v>4282</v>
      </c>
      <c r="E2119" s="15" t="s">
        <v>9030</v>
      </c>
    </row>
    <row r="2120" spans="1:5" ht="38.25" x14ac:dyDescent="0.2">
      <c r="A2120" s="14" t="s">
        <v>9031</v>
      </c>
      <c r="B2120" s="15" t="s">
        <v>9032</v>
      </c>
      <c r="C2120" s="15" t="s">
        <v>4203</v>
      </c>
      <c r="D2120" s="15" t="s">
        <v>4204</v>
      </c>
      <c r="E2120" s="15" t="s">
        <v>9033</v>
      </c>
    </row>
    <row r="2121" spans="1:5" ht="25.5" x14ac:dyDescent="0.2">
      <c r="A2121" s="14" t="s">
        <v>9034</v>
      </c>
      <c r="B2121" s="15" t="s">
        <v>1268</v>
      </c>
      <c r="C2121" s="15" t="s">
        <v>4764</v>
      </c>
      <c r="D2121" s="15" t="s">
        <v>4765</v>
      </c>
      <c r="E2121" s="15" t="s">
        <v>9035</v>
      </c>
    </row>
    <row r="2122" spans="1:5" ht="25.5" x14ac:dyDescent="0.2">
      <c r="A2122" s="14" t="s">
        <v>9036</v>
      </c>
      <c r="B2122" s="15" t="s">
        <v>9037</v>
      </c>
      <c r="C2122" s="15" t="s">
        <v>4829</v>
      </c>
      <c r="D2122" s="15" t="s">
        <v>4830</v>
      </c>
      <c r="E2122" s="15" t="s">
        <v>9038</v>
      </c>
    </row>
    <row r="2123" spans="1:5" ht="25.5" x14ac:dyDescent="0.2">
      <c r="A2123" s="14" t="s">
        <v>9039</v>
      </c>
      <c r="B2123" s="15" t="s">
        <v>9040</v>
      </c>
      <c r="C2123" s="15" t="s">
        <v>5498</v>
      </c>
      <c r="D2123" s="15" t="s">
        <v>5499</v>
      </c>
      <c r="E2123" s="15" t="s">
        <v>9041</v>
      </c>
    </row>
    <row r="2124" spans="1:5" ht="25.5" x14ac:dyDescent="0.2">
      <c r="A2124" s="14" t="s">
        <v>9042</v>
      </c>
      <c r="B2124" s="15" t="s">
        <v>9043</v>
      </c>
      <c r="C2124" s="15" t="s">
        <v>5498</v>
      </c>
      <c r="D2124" s="15" t="s">
        <v>5499</v>
      </c>
      <c r="E2124" s="15" t="s">
        <v>9044</v>
      </c>
    </row>
    <row r="2125" spans="1:5" ht="25.5" x14ac:dyDescent="0.2">
      <c r="A2125" s="14" t="s">
        <v>9045</v>
      </c>
      <c r="B2125" s="15" t="s">
        <v>9046</v>
      </c>
      <c r="C2125" s="15" t="s">
        <v>4104</v>
      </c>
      <c r="D2125" s="15" t="s">
        <v>4105</v>
      </c>
      <c r="E2125" s="15" t="s">
        <v>9047</v>
      </c>
    </row>
    <row r="2126" spans="1:5" ht="25.5" x14ac:dyDescent="0.2">
      <c r="A2126" s="14" t="s">
        <v>9048</v>
      </c>
      <c r="B2126" s="15" t="s">
        <v>9049</v>
      </c>
      <c r="C2126" s="15" t="s">
        <v>4104</v>
      </c>
      <c r="D2126" s="15" t="s">
        <v>4105</v>
      </c>
      <c r="E2126" s="15" t="s">
        <v>9050</v>
      </c>
    </row>
    <row r="2127" spans="1:5" ht="25.5" x14ac:dyDescent="0.2">
      <c r="A2127" s="14" t="s">
        <v>9051</v>
      </c>
      <c r="B2127" s="15" t="s">
        <v>9052</v>
      </c>
      <c r="C2127" s="15" t="s">
        <v>4104</v>
      </c>
      <c r="D2127" s="15" t="s">
        <v>4105</v>
      </c>
      <c r="E2127" s="15" t="s">
        <v>9053</v>
      </c>
    </row>
    <row r="2128" spans="1:5" ht="25.5" x14ac:dyDescent="0.2">
      <c r="A2128" s="14" t="s">
        <v>9054</v>
      </c>
      <c r="B2128" s="15" t="s">
        <v>9055</v>
      </c>
      <c r="C2128" s="15" t="s">
        <v>5395</v>
      </c>
      <c r="D2128" s="15" t="s">
        <v>5396</v>
      </c>
      <c r="E2128" s="15" t="s">
        <v>9056</v>
      </c>
    </row>
    <row r="2129" spans="1:5" ht="25.5" x14ac:dyDescent="0.2">
      <c r="A2129" s="14" t="s">
        <v>9057</v>
      </c>
      <c r="B2129" s="15" t="s">
        <v>9058</v>
      </c>
      <c r="C2129" s="15" t="s">
        <v>4104</v>
      </c>
      <c r="D2129" s="15" t="s">
        <v>4105</v>
      </c>
      <c r="E2129" s="15" t="s">
        <v>9059</v>
      </c>
    </row>
    <row r="2130" spans="1:5" ht="25.5" x14ac:dyDescent="0.2">
      <c r="A2130" s="14" t="s">
        <v>9060</v>
      </c>
      <c r="B2130" s="15" t="s">
        <v>419</v>
      </c>
      <c r="C2130" s="15" t="s">
        <v>8279</v>
      </c>
      <c r="D2130" s="15" t="s">
        <v>8280</v>
      </c>
      <c r="E2130" s="15" t="s">
        <v>9061</v>
      </c>
    </row>
    <row r="2131" spans="1:5" ht="25.5" x14ac:dyDescent="0.2">
      <c r="A2131" s="14" t="s">
        <v>9062</v>
      </c>
      <c r="B2131" s="15" t="s">
        <v>361</v>
      </c>
      <c r="C2131" s="15" t="s">
        <v>3318</v>
      </c>
      <c r="D2131" s="15" t="s">
        <v>3319</v>
      </c>
      <c r="E2131" s="15" t="s">
        <v>9063</v>
      </c>
    </row>
    <row r="2132" spans="1:5" ht="25.5" x14ac:dyDescent="0.2">
      <c r="A2132" s="14" t="s">
        <v>9064</v>
      </c>
      <c r="B2132" s="15" t="s">
        <v>9065</v>
      </c>
      <c r="C2132" s="15" t="s">
        <v>3318</v>
      </c>
      <c r="D2132" s="15" t="s">
        <v>3319</v>
      </c>
      <c r="E2132" s="15" t="s">
        <v>9066</v>
      </c>
    </row>
    <row r="2133" spans="1:5" ht="25.5" x14ac:dyDescent="0.2">
      <c r="A2133" s="14" t="s">
        <v>9067</v>
      </c>
      <c r="B2133" s="15" t="s">
        <v>1530</v>
      </c>
      <c r="C2133" s="15" t="s">
        <v>3318</v>
      </c>
      <c r="D2133" s="15" t="s">
        <v>3319</v>
      </c>
      <c r="E2133" s="15" t="s">
        <v>9068</v>
      </c>
    </row>
    <row r="2134" spans="1:5" ht="25.5" x14ac:dyDescent="0.2">
      <c r="A2134" s="14" t="s">
        <v>9069</v>
      </c>
      <c r="B2134" s="15" t="s">
        <v>9070</v>
      </c>
      <c r="C2134" s="15" t="s">
        <v>3318</v>
      </c>
      <c r="D2134" s="15" t="s">
        <v>3319</v>
      </c>
      <c r="E2134" s="15" t="s">
        <v>9071</v>
      </c>
    </row>
    <row r="2135" spans="1:5" ht="25.5" x14ac:dyDescent="0.2">
      <c r="A2135" s="14" t="s">
        <v>9072</v>
      </c>
      <c r="B2135" s="15" t="s">
        <v>9073</v>
      </c>
      <c r="C2135" s="15" t="s">
        <v>3318</v>
      </c>
      <c r="D2135" s="15" t="s">
        <v>3319</v>
      </c>
      <c r="E2135" s="15" t="s">
        <v>9074</v>
      </c>
    </row>
    <row r="2136" spans="1:5" ht="25.5" x14ac:dyDescent="0.2">
      <c r="A2136" s="14" t="s">
        <v>9075</v>
      </c>
      <c r="B2136" s="15" t="s">
        <v>9076</v>
      </c>
      <c r="C2136" s="15" t="s">
        <v>3318</v>
      </c>
      <c r="D2136" s="15" t="s">
        <v>3319</v>
      </c>
      <c r="E2136" s="15" t="s">
        <v>9077</v>
      </c>
    </row>
    <row r="2137" spans="1:5" ht="25.5" x14ac:dyDescent="0.2">
      <c r="A2137" s="14" t="s">
        <v>9078</v>
      </c>
      <c r="B2137" s="15" t="s">
        <v>9079</v>
      </c>
      <c r="C2137" s="15" t="s">
        <v>3318</v>
      </c>
      <c r="D2137" s="15" t="s">
        <v>3319</v>
      </c>
      <c r="E2137" s="15" t="s">
        <v>9080</v>
      </c>
    </row>
    <row r="2138" spans="1:5" ht="25.5" x14ac:dyDescent="0.2">
      <c r="A2138" s="14" t="s">
        <v>9081</v>
      </c>
      <c r="B2138" s="15" t="s">
        <v>9082</v>
      </c>
      <c r="C2138" s="15" t="s">
        <v>3318</v>
      </c>
      <c r="D2138" s="15" t="s">
        <v>3319</v>
      </c>
      <c r="E2138" s="15" t="s">
        <v>9083</v>
      </c>
    </row>
    <row r="2139" spans="1:5" ht="25.5" x14ac:dyDescent="0.2">
      <c r="A2139" s="14" t="s">
        <v>9084</v>
      </c>
      <c r="B2139" s="15" t="s">
        <v>9085</v>
      </c>
      <c r="C2139" s="15" t="s">
        <v>4764</v>
      </c>
      <c r="D2139" s="15" t="s">
        <v>4765</v>
      </c>
      <c r="E2139" s="15" t="s">
        <v>9086</v>
      </c>
    </row>
    <row r="2140" spans="1:5" ht="25.5" x14ac:dyDescent="0.2">
      <c r="A2140" s="14" t="s">
        <v>9087</v>
      </c>
      <c r="B2140" s="15" t="s">
        <v>9088</v>
      </c>
      <c r="C2140" s="15" t="s">
        <v>4764</v>
      </c>
      <c r="D2140" s="15" t="s">
        <v>4765</v>
      </c>
      <c r="E2140" s="15" t="s">
        <v>9089</v>
      </c>
    </row>
    <row r="2141" spans="1:5" ht="25.5" x14ac:dyDescent="0.2">
      <c r="A2141" s="14" t="s">
        <v>9090</v>
      </c>
      <c r="B2141" s="15" t="s">
        <v>9091</v>
      </c>
      <c r="C2141" s="15" t="s">
        <v>4764</v>
      </c>
      <c r="D2141" s="15" t="s">
        <v>4765</v>
      </c>
      <c r="E2141" s="15" t="s">
        <v>9092</v>
      </c>
    </row>
    <row r="2142" spans="1:5" ht="25.5" x14ac:dyDescent="0.2">
      <c r="A2142" s="14" t="s">
        <v>9093</v>
      </c>
      <c r="B2142" s="15" t="s">
        <v>9094</v>
      </c>
      <c r="C2142" s="15" t="s">
        <v>9095</v>
      </c>
      <c r="D2142" s="15" t="s">
        <v>9096</v>
      </c>
      <c r="E2142" s="15" t="s">
        <v>9097</v>
      </c>
    </row>
    <row r="2143" spans="1:5" ht="25.5" x14ac:dyDescent="0.2">
      <c r="A2143" s="14" t="s">
        <v>9098</v>
      </c>
      <c r="B2143" s="15" t="s">
        <v>9099</v>
      </c>
      <c r="C2143" s="15" t="s">
        <v>4262</v>
      </c>
      <c r="D2143" s="15" t="s">
        <v>4263</v>
      </c>
      <c r="E2143" s="15" t="s">
        <v>9100</v>
      </c>
    </row>
    <row r="2144" spans="1:5" ht="25.5" x14ac:dyDescent="0.2">
      <c r="A2144" s="14" t="s">
        <v>9101</v>
      </c>
      <c r="B2144" s="15" t="s">
        <v>1259</v>
      </c>
      <c r="C2144" s="15" t="s">
        <v>4878</v>
      </c>
      <c r="D2144" s="15" t="s">
        <v>4879</v>
      </c>
      <c r="E2144" s="15" t="s">
        <v>9102</v>
      </c>
    </row>
    <row r="2145" spans="1:5" ht="25.5" x14ac:dyDescent="0.2">
      <c r="A2145" s="14" t="s">
        <v>9103</v>
      </c>
      <c r="B2145" s="15" t="s">
        <v>9104</v>
      </c>
      <c r="C2145" s="15" t="s">
        <v>4082</v>
      </c>
      <c r="D2145" s="15" t="s">
        <v>4083</v>
      </c>
      <c r="E2145" s="15" t="s">
        <v>9105</v>
      </c>
    </row>
    <row r="2146" spans="1:5" ht="25.5" x14ac:dyDescent="0.2">
      <c r="A2146" s="14" t="s">
        <v>9106</v>
      </c>
      <c r="B2146" s="15" t="s">
        <v>9107</v>
      </c>
      <c r="C2146" s="15" t="s">
        <v>4082</v>
      </c>
      <c r="D2146" s="15" t="s">
        <v>4083</v>
      </c>
      <c r="E2146" s="15" t="s">
        <v>9108</v>
      </c>
    </row>
    <row r="2147" spans="1:5" ht="25.5" x14ac:dyDescent="0.2">
      <c r="A2147" s="14" t="s">
        <v>9109</v>
      </c>
      <c r="B2147" s="15" t="s">
        <v>9110</v>
      </c>
      <c r="C2147" s="15" t="s">
        <v>4800</v>
      </c>
      <c r="D2147" s="15" t="s">
        <v>4801</v>
      </c>
      <c r="E2147" s="15" t="s">
        <v>9111</v>
      </c>
    </row>
    <row r="2148" spans="1:5" ht="25.5" x14ac:dyDescent="0.2">
      <c r="A2148" s="14" t="s">
        <v>9112</v>
      </c>
      <c r="B2148" s="15" t="s">
        <v>9113</v>
      </c>
      <c r="C2148" s="15" t="s">
        <v>3303</v>
      </c>
      <c r="D2148" s="15" t="s">
        <v>3304</v>
      </c>
      <c r="E2148" s="15" t="s">
        <v>9114</v>
      </c>
    </row>
    <row r="2149" spans="1:5" ht="25.5" x14ac:dyDescent="0.2">
      <c r="A2149" s="14" t="s">
        <v>9115</v>
      </c>
      <c r="B2149" s="15" t="s">
        <v>973</v>
      </c>
      <c r="C2149" s="15" t="s">
        <v>4800</v>
      </c>
      <c r="D2149" s="15" t="s">
        <v>4801</v>
      </c>
      <c r="E2149" s="15" t="s">
        <v>9116</v>
      </c>
    </row>
    <row r="2150" spans="1:5" ht="25.5" x14ac:dyDescent="0.2">
      <c r="A2150" s="14" t="s">
        <v>9117</v>
      </c>
      <c r="B2150" s="15" t="s">
        <v>552</v>
      </c>
      <c r="C2150" s="15" t="s">
        <v>3303</v>
      </c>
      <c r="D2150" s="15" t="s">
        <v>3304</v>
      </c>
      <c r="E2150" s="15" t="s">
        <v>9118</v>
      </c>
    </row>
    <row r="2151" spans="1:5" ht="25.5" x14ac:dyDescent="0.2">
      <c r="A2151" s="14" t="s">
        <v>9119</v>
      </c>
      <c r="B2151" s="15" t="s">
        <v>1398</v>
      </c>
      <c r="C2151" s="15" t="s">
        <v>4800</v>
      </c>
      <c r="D2151" s="15" t="s">
        <v>4801</v>
      </c>
      <c r="E2151" s="15" t="s">
        <v>9120</v>
      </c>
    </row>
    <row r="2152" spans="1:5" ht="38.25" x14ac:dyDescent="0.2">
      <c r="A2152" s="14" t="s">
        <v>9121</v>
      </c>
      <c r="B2152" s="15" t="s">
        <v>9122</v>
      </c>
      <c r="C2152" s="15" t="s">
        <v>3395</v>
      </c>
      <c r="D2152" s="15" t="s">
        <v>3396</v>
      </c>
      <c r="E2152" s="15" t="s">
        <v>9123</v>
      </c>
    </row>
    <row r="2153" spans="1:5" ht="51" x14ac:dyDescent="0.2">
      <c r="A2153" s="14" t="s">
        <v>9124</v>
      </c>
      <c r="B2153" s="15" t="s">
        <v>9125</v>
      </c>
      <c r="C2153" s="15" t="s">
        <v>3395</v>
      </c>
      <c r="D2153" s="15" t="s">
        <v>3396</v>
      </c>
      <c r="E2153" s="15" t="s">
        <v>9126</v>
      </c>
    </row>
    <row r="2154" spans="1:5" ht="25.5" x14ac:dyDescent="0.2">
      <c r="A2154" s="14" t="s">
        <v>9127</v>
      </c>
      <c r="B2154" s="15" t="s">
        <v>351</v>
      </c>
      <c r="C2154" s="15" t="s">
        <v>4764</v>
      </c>
      <c r="D2154" s="15" t="s">
        <v>4765</v>
      </c>
      <c r="E2154" s="15" t="s">
        <v>9128</v>
      </c>
    </row>
    <row r="2155" spans="1:5" ht="25.5" x14ac:dyDescent="0.2">
      <c r="A2155" s="14" t="s">
        <v>9129</v>
      </c>
      <c r="B2155" s="15" t="s">
        <v>9130</v>
      </c>
      <c r="C2155" s="15" t="s">
        <v>3318</v>
      </c>
      <c r="D2155" s="15" t="s">
        <v>3319</v>
      </c>
      <c r="E2155" s="15" t="s">
        <v>9131</v>
      </c>
    </row>
    <row r="2156" spans="1:5" ht="25.5" x14ac:dyDescent="0.2">
      <c r="A2156" s="14" t="s">
        <v>9132</v>
      </c>
      <c r="B2156" s="15" t="s">
        <v>186</v>
      </c>
      <c r="C2156" s="15" t="s">
        <v>9133</v>
      </c>
      <c r="D2156" s="15" t="s">
        <v>9134</v>
      </c>
      <c r="E2156" s="15" t="s">
        <v>9135</v>
      </c>
    </row>
    <row r="2157" spans="1:5" ht="25.5" x14ac:dyDescent="0.2">
      <c r="A2157" s="14" t="s">
        <v>9136</v>
      </c>
      <c r="B2157" s="15" t="s">
        <v>9137</v>
      </c>
      <c r="C2157" s="15" t="s">
        <v>9138</v>
      </c>
      <c r="D2157" s="15" t="s">
        <v>9139</v>
      </c>
      <c r="E2157" s="15" t="s">
        <v>9140</v>
      </c>
    </row>
    <row r="2158" spans="1:5" ht="25.5" x14ac:dyDescent="0.2">
      <c r="A2158" s="14" t="s">
        <v>9141</v>
      </c>
      <c r="B2158" s="15" t="s">
        <v>1440</v>
      </c>
      <c r="C2158" s="15" t="s">
        <v>9138</v>
      </c>
      <c r="D2158" s="15" t="s">
        <v>9139</v>
      </c>
      <c r="E2158" s="15" t="s">
        <v>9142</v>
      </c>
    </row>
    <row r="2159" spans="1:5" ht="25.5" x14ac:dyDescent="0.2">
      <c r="A2159" s="14" t="s">
        <v>9143</v>
      </c>
      <c r="B2159" s="15" t="s">
        <v>1317</v>
      </c>
      <c r="C2159" s="15" t="s">
        <v>9133</v>
      </c>
      <c r="D2159" s="15" t="s">
        <v>9134</v>
      </c>
      <c r="E2159" s="15" t="s">
        <v>9144</v>
      </c>
    </row>
    <row r="2160" spans="1:5" ht="25.5" x14ac:dyDescent="0.2">
      <c r="A2160" s="14" t="s">
        <v>9145</v>
      </c>
      <c r="B2160" s="15" t="s">
        <v>9146</v>
      </c>
      <c r="C2160" s="15" t="s">
        <v>9133</v>
      </c>
      <c r="D2160" s="15" t="s">
        <v>9134</v>
      </c>
      <c r="E2160" s="15" t="s">
        <v>9147</v>
      </c>
    </row>
    <row r="2161" spans="1:5" ht="25.5" x14ac:dyDescent="0.2">
      <c r="A2161" s="14" t="s">
        <v>9148</v>
      </c>
      <c r="B2161" s="15" t="s">
        <v>9149</v>
      </c>
      <c r="C2161" s="15" t="s">
        <v>9133</v>
      </c>
      <c r="D2161" s="15" t="s">
        <v>9134</v>
      </c>
      <c r="E2161" s="15" t="s">
        <v>9150</v>
      </c>
    </row>
    <row r="2162" spans="1:5" ht="25.5" x14ac:dyDescent="0.2">
      <c r="A2162" s="14" t="s">
        <v>9151</v>
      </c>
      <c r="B2162" s="15" t="s">
        <v>9152</v>
      </c>
      <c r="C2162" s="15" t="s">
        <v>9133</v>
      </c>
      <c r="D2162" s="15" t="s">
        <v>9134</v>
      </c>
      <c r="E2162" s="15" t="s">
        <v>9153</v>
      </c>
    </row>
    <row r="2163" spans="1:5" ht="25.5" x14ac:dyDescent="0.2">
      <c r="A2163" s="14" t="s">
        <v>9154</v>
      </c>
      <c r="B2163" s="15" t="s">
        <v>1010</v>
      </c>
      <c r="C2163" s="15" t="s">
        <v>9133</v>
      </c>
      <c r="D2163" s="15" t="s">
        <v>9134</v>
      </c>
      <c r="E2163" s="15" t="s">
        <v>9155</v>
      </c>
    </row>
    <row r="2164" spans="1:5" ht="25.5" x14ac:dyDescent="0.2">
      <c r="A2164" s="14" t="s">
        <v>9156</v>
      </c>
      <c r="B2164" s="15" t="s">
        <v>9157</v>
      </c>
      <c r="C2164" s="15" t="s">
        <v>9133</v>
      </c>
      <c r="D2164" s="15" t="s">
        <v>9134</v>
      </c>
      <c r="E2164" s="15" t="s">
        <v>9158</v>
      </c>
    </row>
    <row r="2165" spans="1:5" ht="25.5" x14ac:dyDescent="0.2">
      <c r="A2165" s="14" t="s">
        <v>9159</v>
      </c>
      <c r="B2165" s="15" t="s">
        <v>1011</v>
      </c>
      <c r="C2165" s="15" t="s">
        <v>9133</v>
      </c>
      <c r="D2165" s="15" t="s">
        <v>9134</v>
      </c>
      <c r="E2165" s="15" t="s">
        <v>9160</v>
      </c>
    </row>
    <row r="2166" spans="1:5" ht="25.5" x14ac:dyDescent="0.2">
      <c r="A2166" s="14" t="s">
        <v>9161</v>
      </c>
      <c r="B2166" s="15" t="s">
        <v>9162</v>
      </c>
      <c r="C2166" s="15" t="s">
        <v>9133</v>
      </c>
      <c r="D2166" s="15" t="s">
        <v>9134</v>
      </c>
      <c r="E2166" s="15" t="s">
        <v>9163</v>
      </c>
    </row>
    <row r="2167" spans="1:5" ht="25.5" x14ac:dyDescent="0.2">
      <c r="A2167" s="14" t="s">
        <v>9164</v>
      </c>
      <c r="B2167" s="15" t="s">
        <v>9165</v>
      </c>
      <c r="C2167" s="15" t="s">
        <v>9133</v>
      </c>
      <c r="D2167" s="15" t="s">
        <v>9134</v>
      </c>
      <c r="E2167" s="15" t="s">
        <v>9166</v>
      </c>
    </row>
    <row r="2168" spans="1:5" ht="25.5" x14ac:dyDescent="0.2">
      <c r="A2168" s="14" t="s">
        <v>9167</v>
      </c>
      <c r="B2168" s="15" t="s">
        <v>9168</v>
      </c>
      <c r="C2168" s="15" t="s">
        <v>9133</v>
      </c>
      <c r="D2168" s="15" t="s">
        <v>9134</v>
      </c>
      <c r="E2168" s="15" t="s">
        <v>9169</v>
      </c>
    </row>
    <row r="2169" spans="1:5" ht="25.5" x14ac:dyDescent="0.2">
      <c r="A2169" s="14" t="s">
        <v>9170</v>
      </c>
      <c r="B2169" s="15" t="s">
        <v>9171</v>
      </c>
      <c r="C2169" s="15" t="s">
        <v>9133</v>
      </c>
      <c r="D2169" s="15" t="s">
        <v>9134</v>
      </c>
      <c r="E2169" s="15" t="s">
        <v>9172</v>
      </c>
    </row>
    <row r="2170" spans="1:5" ht="25.5" x14ac:dyDescent="0.2">
      <c r="A2170" s="14" t="s">
        <v>9173</v>
      </c>
      <c r="B2170" s="15" t="s">
        <v>9174</v>
      </c>
      <c r="C2170" s="15" t="s">
        <v>9133</v>
      </c>
      <c r="D2170" s="15" t="s">
        <v>9134</v>
      </c>
      <c r="E2170" s="15" t="s">
        <v>9175</v>
      </c>
    </row>
    <row r="2171" spans="1:5" ht="25.5" x14ac:dyDescent="0.2">
      <c r="A2171" s="14" t="s">
        <v>9176</v>
      </c>
      <c r="B2171" s="15" t="s">
        <v>398</v>
      </c>
      <c r="C2171" s="15" t="s">
        <v>9133</v>
      </c>
      <c r="D2171" s="15" t="s">
        <v>9134</v>
      </c>
      <c r="E2171" s="15" t="s">
        <v>9177</v>
      </c>
    </row>
    <row r="2172" spans="1:5" ht="25.5" x14ac:dyDescent="0.2">
      <c r="A2172" s="14" t="s">
        <v>9178</v>
      </c>
      <c r="B2172" s="15" t="s">
        <v>9179</v>
      </c>
      <c r="C2172" s="15" t="s">
        <v>9133</v>
      </c>
      <c r="D2172" s="15" t="s">
        <v>9134</v>
      </c>
      <c r="E2172" s="15" t="s">
        <v>9180</v>
      </c>
    </row>
    <row r="2173" spans="1:5" ht="25.5" x14ac:dyDescent="0.2">
      <c r="A2173" s="14" t="s">
        <v>9181</v>
      </c>
      <c r="B2173" s="15" t="s">
        <v>9182</v>
      </c>
      <c r="C2173" s="15" t="s">
        <v>9133</v>
      </c>
      <c r="D2173" s="15" t="s">
        <v>9134</v>
      </c>
      <c r="E2173" s="15" t="s">
        <v>9183</v>
      </c>
    </row>
    <row r="2174" spans="1:5" ht="25.5" x14ac:dyDescent="0.2">
      <c r="A2174" s="14" t="s">
        <v>9184</v>
      </c>
      <c r="B2174" s="15" t="s">
        <v>9185</v>
      </c>
      <c r="C2174" s="15" t="s">
        <v>9133</v>
      </c>
      <c r="D2174" s="15" t="s">
        <v>9134</v>
      </c>
      <c r="E2174" s="15" t="s">
        <v>9186</v>
      </c>
    </row>
    <row r="2175" spans="1:5" ht="25.5" x14ac:dyDescent="0.2">
      <c r="A2175" s="14" t="s">
        <v>9187</v>
      </c>
      <c r="B2175" s="15" t="s">
        <v>9188</v>
      </c>
      <c r="C2175" s="15" t="s">
        <v>9133</v>
      </c>
      <c r="D2175" s="15" t="s">
        <v>9134</v>
      </c>
      <c r="E2175" s="15" t="s">
        <v>9189</v>
      </c>
    </row>
    <row r="2176" spans="1:5" ht="25.5" x14ac:dyDescent="0.2">
      <c r="A2176" s="14" t="s">
        <v>9190</v>
      </c>
      <c r="B2176" s="15" t="s">
        <v>9191</v>
      </c>
      <c r="C2176" s="15" t="s">
        <v>9133</v>
      </c>
      <c r="D2176" s="15" t="s">
        <v>9134</v>
      </c>
      <c r="E2176" s="15" t="s">
        <v>9192</v>
      </c>
    </row>
    <row r="2177" spans="1:5" ht="25.5" x14ac:dyDescent="0.2">
      <c r="A2177" s="14" t="s">
        <v>9193</v>
      </c>
      <c r="B2177" s="15" t="s">
        <v>9194</v>
      </c>
      <c r="C2177" s="15" t="s">
        <v>9133</v>
      </c>
      <c r="D2177" s="15" t="s">
        <v>9134</v>
      </c>
      <c r="E2177" s="15" t="s">
        <v>9195</v>
      </c>
    </row>
    <row r="2178" spans="1:5" ht="25.5" x14ac:dyDescent="0.2">
      <c r="A2178" s="14" t="s">
        <v>9196</v>
      </c>
      <c r="B2178" s="15" t="s">
        <v>9197</v>
      </c>
      <c r="C2178" s="15" t="s">
        <v>9133</v>
      </c>
      <c r="D2178" s="15" t="s">
        <v>9134</v>
      </c>
      <c r="E2178" s="15" t="s">
        <v>9198</v>
      </c>
    </row>
    <row r="2179" spans="1:5" ht="25.5" x14ac:dyDescent="0.2">
      <c r="A2179" s="14" t="s">
        <v>9199</v>
      </c>
      <c r="B2179" s="15" t="s">
        <v>9200</v>
      </c>
      <c r="C2179" s="15" t="s">
        <v>9133</v>
      </c>
      <c r="D2179" s="15" t="s">
        <v>9134</v>
      </c>
      <c r="E2179" s="15" t="s">
        <v>9201</v>
      </c>
    </row>
    <row r="2180" spans="1:5" ht="25.5" x14ac:dyDescent="0.2">
      <c r="A2180" s="14" t="s">
        <v>9202</v>
      </c>
      <c r="B2180" s="15" t="s">
        <v>1403</v>
      </c>
      <c r="C2180" s="15" t="s">
        <v>9133</v>
      </c>
      <c r="D2180" s="15" t="s">
        <v>9134</v>
      </c>
      <c r="E2180" s="15" t="s">
        <v>9203</v>
      </c>
    </row>
    <row r="2181" spans="1:5" ht="25.5" x14ac:dyDescent="0.2">
      <c r="A2181" s="14" t="s">
        <v>9204</v>
      </c>
      <c r="B2181" s="15" t="s">
        <v>1012</v>
      </c>
      <c r="C2181" s="15" t="s">
        <v>9133</v>
      </c>
      <c r="D2181" s="15" t="s">
        <v>9134</v>
      </c>
      <c r="E2181" s="15" t="s">
        <v>9205</v>
      </c>
    </row>
    <row r="2182" spans="1:5" ht="25.5" x14ac:dyDescent="0.2">
      <c r="A2182" s="14" t="s">
        <v>9206</v>
      </c>
      <c r="B2182" s="15" t="s">
        <v>1013</v>
      </c>
      <c r="C2182" s="15" t="s">
        <v>9207</v>
      </c>
      <c r="D2182" s="15" t="s">
        <v>9208</v>
      </c>
      <c r="E2182" s="15" t="s">
        <v>9209</v>
      </c>
    </row>
    <row r="2183" spans="1:5" ht="25.5" x14ac:dyDescent="0.2">
      <c r="A2183" s="14" t="s">
        <v>9210</v>
      </c>
      <c r="B2183" s="15" t="s">
        <v>9211</v>
      </c>
      <c r="C2183" s="15" t="s">
        <v>9133</v>
      </c>
      <c r="D2183" s="15" t="s">
        <v>9134</v>
      </c>
      <c r="E2183" s="15" t="s">
        <v>9212</v>
      </c>
    </row>
    <row r="2184" spans="1:5" ht="25.5" x14ac:dyDescent="0.2">
      <c r="A2184" s="14" t="s">
        <v>9213</v>
      </c>
      <c r="B2184" s="15" t="s">
        <v>703</v>
      </c>
      <c r="C2184" s="15" t="s">
        <v>9133</v>
      </c>
      <c r="D2184" s="15" t="s">
        <v>9134</v>
      </c>
      <c r="E2184" s="15" t="s">
        <v>9214</v>
      </c>
    </row>
    <row r="2185" spans="1:5" ht="25.5" x14ac:dyDescent="0.2">
      <c r="A2185" s="14" t="s">
        <v>9215</v>
      </c>
      <c r="B2185" s="15" t="s">
        <v>175</v>
      </c>
      <c r="C2185" s="15" t="s">
        <v>9133</v>
      </c>
      <c r="D2185" s="15" t="s">
        <v>9134</v>
      </c>
      <c r="E2185" s="15" t="s">
        <v>9216</v>
      </c>
    </row>
    <row r="2186" spans="1:5" ht="25.5" x14ac:dyDescent="0.2">
      <c r="A2186" s="14" t="s">
        <v>9217</v>
      </c>
      <c r="B2186" s="15" t="s">
        <v>9218</v>
      </c>
      <c r="C2186" s="15" t="s">
        <v>9133</v>
      </c>
      <c r="D2186" s="15" t="s">
        <v>9134</v>
      </c>
      <c r="E2186" s="15" t="s">
        <v>9219</v>
      </c>
    </row>
    <row r="2187" spans="1:5" ht="25.5" x14ac:dyDescent="0.2">
      <c r="A2187" s="14" t="s">
        <v>9220</v>
      </c>
      <c r="B2187" s="15" t="s">
        <v>174</v>
      </c>
      <c r="C2187" s="15" t="s">
        <v>9133</v>
      </c>
      <c r="D2187" s="15" t="s">
        <v>9134</v>
      </c>
      <c r="E2187" s="15" t="s">
        <v>9221</v>
      </c>
    </row>
    <row r="2188" spans="1:5" ht="25.5" x14ac:dyDescent="0.2">
      <c r="A2188" s="14" t="s">
        <v>9222</v>
      </c>
      <c r="B2188" s="15" t="s">
        <v>9223</v>
      </c>
      <c r="C2188" s="15" t="s">
        <v>9133</v>
      </c>
      <c r="D2188" s="15" t="s">
        <v>9134</v>
      </c>
      <c r="E2188" s="15" t="s">
        <v>9224</v>
      </c>
    </row>
    <row r="2189" spans="1:5" ht="25.5" x14ac:dyDescent="0.2">
      <c r="A2189" s="14" t="s">
        <v>9225</v>
      </c>
      <c r="B2189" s="15" t="s">
        <v>897</v>
      </c>
      <c r="C2189" s="15" t="s">
        <v>9133</v>
      </c>
      <c r="D2189" s="15" t="s">
        <v>9134</v>
      </c>
      <c r="E2189" s="15" t="s">
        <v>9226</v>
      </c>
    </row>
    <row r="2190" spans="1:5" ht="38.25" x14ac:dyDescent="0.2">
      <c r="A2190" s="14" t="s">
        <v>9227</v>
      </c>
      <c r="B2190" s="15" t="s">
        <v>9228</v>
      </c>
      <c r="C2190" s="15" t="s">
        <v>9138</v>
      </c>
      <c r="D2190" s="15" t="s">
        <v>9139</v>
      </c>
      <c r="E2190" s="15" t="s">
        <v>9229</v>
      </c>
    </row>
    <row r="2191" spans="1:5" ht="25.5" x14ac:dyDescent="0.2">
      <c r="A2191" s="14" t="s">
        <v>9230</v>
      </c>
      <c r="B2191" s="15" t="s">
        <v>9231</v>
      </c>
      <c r="C2191" s="15" t="s">
        <v>4800</v>
      </c>
      <c r="D2191" s="15" t="s">
        <v>4801</v>
      </c>
      <c r="E2191" s="15" t="s">
        <v>9232</v>
      </c>
    </row>
    <row r="2192" spans="1:5" ht="25.5" x14ac:dyDescent="0.2">
      <c r="A2192" s="14" t="s">
        <v>9233</v>
      </c>
      <c r="B2192" s="15" t="s">
        <v>9234</v>
      </c>
      <c r="C2192" s="15" t="s">
        <v>3318</v>
      </c>
      <c r="D2192" s="15" t="s">
        <v>3319</v>
      </c>
      <c r="E2192" s="15" t="s">
        <v>9235</v>
      </c>
    </row>
    <row r="2193" spans="1:5" ht="25.5" x14ac:dyDescent="0.2">
      <c r="A2193" s="14" t="s">
        <v>9236</v>
      </c>
      <c r="B2193" s="15" t="s">
        <v>1146</v>
      </c>
      <c r="C2193" s="15" t="s">
        <v>5207</v>
      </c>
      <c r="D2193" s="15" t="s">
        <v>5208</v>
      </c>
      <c r="E2193" s="15" t="s">
        <v>9237</v>
      </c>
    </row>
    <row r="2194" spans="1:5" ht="25.5" x14ac:dyDescent="0.2">
      <c r="A2194" s="14" t="s">
        <v>9238</v>
      </c>
      <c r="B2194" s="15" t="s">
        <v>818</v>
      </c>
      <c r="C2194" s="15" t="s">
        <v>4850</v>
      </c>
      <c r="D2194" s="15" t="s">
        <v>4851</v>
      </c>
      <c r="E2194" s="15" t="s">
        <v>9239</v>
      </c>
    </row>
    <row r="2195" spans="1:5" ht="25.5" x14ac:dyDescent="0.2">
      <c r="A2195" s="14" t="s">
        <v>9240</v>
      </c>
      <c r="B2195" s="15" t="s">
        <v>46</v>
      </c>
      <c r="C2195" s="15" t="s">
        <v>4262</v>
      </c>
      <c r="D2195" s="15" t="s">
        <v>4263</v>
      </c>
      <c r="E2195" s="15" t="s">
        <v>9241</v>
      </c>
    </row>
    <row r="2196" spans="1:5" ht="25.5" x14ac:dyDescent="0.2">
      <c r="A2196" s="14" t="s">
        <v>9242</v>
      </c>
      <c r="B2196" s="15" t="s">
        <v>956</v>
      </c>
      <c r="C2196" s="15" t="s">
        <v>4349</v>
      </c>
      <c r="D2196" s="15" t="s">
        <v>4350</v>
      </c>
      <c r="E2196" s="15" t="s">
        <v>9243</v>
      </c>
    </row>
    <row r="2197" spans="1:5" ht="25.5" x14ac:dyDescent="0.2">
      <c r="A2197" s="14" t="s">
        <v>9244</v>
      </c>
      <c r="B2197" s="15" t="s">
        <v>972</v>
      </c>
      <c r="C2197" s="15" t="s">
        <v>4349</v>
      </c>
      <c r="D2197" s="15" t="s">
        <v>4350</v>
      </c>
      <c r="E2197" s="15" t="s">
        <v>9245</v>
      </c>
    </row>
    <row r="2198" spans="1:5" ht="25.5" x14ac:dyDescent="0.2">
      <c r="A2198" s="14" t="s">
        <v>9246</v>
      </c>
      <c r="B2198" s="15" t="s">
        <v>972</v>
      </c>
      <c r="C2198" s="15" t="s">
        <v>4349</v>
      </c>
      <c r="D2198" s="15" t="s">
        <v>4350</v>
      </c>
      <c r="E2198" s="15" t="s">
        <v>9247</v>
      </c>
    </row>
    <row r="2199" spans="1:5" ht="25.5" x14ac:dyDescent="0.2">
      <c r="A2199" s="14" t="s">
        <v>9248</v>
      </c>
      <c r="B2199" s="15" t="s">
        <v>9249</v>
      </c>
      <c r="C2199" s="15" t="s">
        <v>4349</v>
      </c>
      <c r="D2199" s="15" t="s">
        <v>4350</v>
      </c>
      <c r="E2199" s="15" t="s">
        <v>9250</v>
      </c>
    </row>
    <row r="2200" spans="1:5" ht="25.5" x14ac:dyDescent="0.2">
      <c r="A2200" s="14" t="s">
        <v>9251</v>
      </c>
      <c r="B2200" s="15" t="s">
        <v>9252</v>
      </c>
      <c r="C2200" s="15" t="s">
        <v>4349</v>
      </c>
      <c r="D2200" s="15" t="s">
        <v>4350</v>
      </c>
      <c r="E2200" s="15" t="s">
        <v>9253</v>
      </c>
    </row>
    <row r="2201" spans="1:5" ht="25.5" x14ac:dyDescent="0.2">
      <c r="A2201" s="14" t="s">
        <v>9254</v>
      </c>
      <c r="B2201" s="15" t="s">
        <v>9255</v>
      </c>
      <c r="C2201" s="15" t="s">
        <v>4349</v>
      </c>
      <c r="D2201" s="15" t="s">
        <v>4350</v>
      </c>
      <c r="E2201" s="15" t="s">
        <v>9256</v>
      </c>
    </row>
    <row r="2202" spans="1:5" ht="25.5" x14ac:dyDescent="0.2">
      <c r="A2202" s="14" t="s">
        <v>9257</v>
      </c>
      <c r="B2202" s="15" t="s">
        <v>1154</v>
      </c>
      <c r="C2202" s="15" t="s">
        <v>4203</v>
      </c>
      <c r="D2202" s="15" t="s">
        <v>4204</v>
      </c>
      <c r="E2202" s="15" t="s">
        <v>9258</v>
      </c>
    </row>
    <row r="2203" spans="1:5" ht="25.5" x14ac:dyDescent="0.2">
      <c r="A2203" s="14" t="s">
        <v>9259</v>
      </c>
      <c r="B2203" s="15" t="s">
        <v>243</v>
      </c>
      <c r="C2203" s="15" t="s">
        <v>4668</v>
      </c>
      <c r="D2203" s="15" t="s">
        <v>4669</v>
      </c>
      <c r="E2203" s="15" t="s">
        <v>9260</v>
      </c>
    </row>
    <row r="2204" spans="1:5" ht="25.5" x14ac:dyDescent="0.2">
      <c r="A2204" s="14" t="s">
        <v>9261</v>
      </c>
      <c r="B2204" s="15" t="s">
        <v>9262</v>
      </c>
      <c r="C2204" s="15" t="s">
        <v>4104</v>
      </c>
      <c r="D2204" s="15" t="s">
        <v>4105</v>
      </c>
      <c r="E2204" s="15" t="s">
        <v>9263</v>
      </c>
    </row>
    <row r="2205" spans="1:5" ht="25.5" x14ac:dyDescent="0.2">
      <c r="A2205" s="14" t="s">
        <v>9264</v>
      </c>
      <c r="B2205" s="15" t="s">
        <v>9265</v>
      </c>
      <c r="C2205" s="15" t="s">
        <v>4104</v>
      </c>
      <c r="D2205" s="15" t="s">
        <v>4105</v>
      </c>
      <c r="E2205" s="15" t="s">
        <v>9266</v>
      </c>
    </row>
    <row r="2206" spans="1:5" ht="25.5" x14ac:dyDescent="0.2">
      <c r="A2206" s="14" t="s">
        <v>9267</v>
      </c>
      <c r="B2206" s="15" t="s">
        <v>9268</v>
      </c>
      <c r="C2206" s="15" t="s">
        <v>4171</v>
      </c>
      <c r="D2206" s="15" t="s">
        <v>4172</v>
      </c>
      <c r="E2206" s="15" t="s">
        <v>9269</v>
      </c>
    </row>
    <row r="2207" spans="1:5" ht="25.5" x14ac:dyDescent="0.2">
      <c r="A2207" s="14" t="s">
        <v>9270</v>
      </c>
      <c r="B2207" s="15" t="s">
        <v>9271</v>
      </c>
      <c r="C2207" s="15" t="s">
        <v>4171</v>
      </c>
      <c r="D2207" s="15" t="s">
        <v>4172</v>
      </c>
      <c r="E2207" s="15" t="s">
        <v>9272</v>
      </c>
    </row>
    <row r="2208" spans="1:5" ht="25.5" x14ac:dyDescent="0.2">
      <c r="A2208" s="14" t="s">
        <v>9273</v>
      </c>
      <c r="B2208" s="15" t="s">
        <v>9274</v>
      </c>
      <c r="C2208" s="15" t="s">
        <v>4171</v>
      </c>
      <c r="D2208" s="15" t="s">
        <v>4172</v>
      </c>
      <c r="E2208" s="15" t="s">
        <v>9275</v>
      </c>
    </row>
    <row r="2209" spans="1:5" ht="25.5" x14ac:dyDescent="0.2">
      <c r="A2209" s="14" t="s">
        <v>9276</v>
      </c>
      <c r="B2209" s="15" t="s">
        <v>1461</v>
      </c>
      <c r="C2209" s="15" t="s">
        <v>4878</v>
      </c>
      <c r="D2209" s="15" t="s">
        <v>4879</v>
      </c>
      <c r="E2209" s="15" t="s">
        <v>9277</v>
      </c>
    </row>
    <row r="2210" spans="1:5" ht="25.5" x14ac:dyDescent="0.2">
      <c r="A2210" s="14" t="s">
        <v>9278</v>
      </c>
      <c r="B2210" s="15" t="s">
        <v>794</v>
      </c>
      <c r="C2210" s="15" t="s">
        <v>4878</v>
      </c>
      <c r="D2210" s="15" t="s">
        <v>4879</v>
      </c>
      <c r="E2210" s="15" t="s">
        <v>9279</v>
      </c>
    </row>
    <row r="2211" spans="1:5" ht="25.5" x14ac:dyDescent="0.2">
      <c r="A2211" s="14" t="s">
        <v>9280</v>
      </c>
      <c r="B2211" s="15" t="s">
        <v>957</v>
      </c>
      <c r="C2211" s="15" t="s">
        <v>4878</v>
      </c>
      <c r="D2211" s="15" t="s">
        <v>4879</v>
      </c>
      <c r="E2211" s="15" t="s">
        <v>9281</v>
      </c>
    </row>
    <row r="2212" spans="1:5" ht="25.5" x14ac:dyDescent="0.2">
      <c r="A2212" s="14" t="s">
        <v>9282</v>
      </c>
      <c r="B2212" s="15" t="s">
        <v>9283</v>
      </c>
      <c r="C2212" s="15" t="s">
        <v>4878</v>
      </c>
      <c r="D2212" s="15" t="s">
        <v>4879</v>
      </c>
      <c r="E2212" s="15" t="s">
        <v>9284</v>
      </c>
    </row>
    <row r="2213" spans="1:5" ht="25.5" x14ac:dyDescent="0.2">
      <c r="A2213" s="14" t="s">
        <v>9285</v>
      </c>
      <c r="B2213" s="15" t="s">
        <v>9286</v>
      </c>
      <c r="C2213" s="15" t="s">
        <v>4878</v>
      </c>
      <c r="D2213" s="15" t="s">
        <v>4879</v>
      </c>
      <c r="E2213" s="15" t="s">
        <v>9287</v>
      </c>
    </row>
    <row r="2214" spans="1:5" ht="25.5" x14ac:dyDescent="0.2">
      <c r="A2214" s="14" t="s">
        <v>9288</v>
      </c>
      <c r="B2214" s="15" t="s">
        <v>1384</v>
      </c>
      <c r="C2214" s="15" t="s">
        <v>4175</v>
      </c>
      <c r="D2214" s="15" t="s">
        <v>4176</v>
      </c>
      <c r="E2214" s="15" t="s">
        <v>9289</v>
      </c>
    </row>
    <row r="2215" spans="1:5" ht="25.5" x14ac:dyDescent="0.2">
      <c r="A2215" s="14" t="s">
        <v>9290</v>
      </c>
      <c r="B2215" s="15" t="s">
        <v>9291</v>
      </c>
      <c r="C2215" s="15" t="s">
        <v>5498</v>
      </c>
      <c r="D2215" s="15" t="s">
        <v>5499</v>
      </c>
      <c r="E2215" s="15" t="s">
        <v>9292</v>
      </c>
    </row>
    <row r="2216" spans="1:5" ht="38.25" x14ac:dyDescent="0.2">
      <c r="A2216" s="14" t="s">
        <v>9293</v>
      </c>
      <c r="B2216" s="15" t="s">
        <v>9294</v>
      </c>
      <c r="C2216" s="15" t="s">
        <v>3406</v>
      </c>
      <c r="D2216" s="15" t="s">
        <v>3407</v>
      </c>
      <c r="E2216" s="15" t="s">
        <v>9295</v>
      </c>
    </row>
    <row r="2217" spans="1:5" ht="25.5" x14ac:dyDescent="0.2">
      <c r="A2217" s="14" t="s">
        <v>9296</v>
      </c>
      <c r="B2217" s="15" t="s">
        <v>9297</v>
      </c>
      <c r="C2217" s="15" t="s">
        <v>9298</v>
      </c>
      <c r="D2217" s="15" t="s">
        <v>9299</v>
      </c>
      <c r="E2217" s="15" t="s">
        <v>9300</v>
      </c>
    </row>
    <row r="2218" spans="1:5" ht="25.5" x14ac:dyDescent="0.2">
      <c r="A2218" s="14" t="s">
        <v>9301</v>
      </c>
      <c r="B2218" s="15" t="s">
        <v>9302</v>
      </c>
      <c r="C2218" s="15" t="s">
        <v>4857</v>
      </c>
      <c r="D2218" s="15" t="s">
        <v>4858</v>
      </c>
      <c r="E2218" s="15" t="s">
        <v>9303</v>
      </c>
    </row>
    <row r="2219" spans="1:5" ht="25.5" x14ac:dyDescent="0.2">
      <c r="A2219" s="14" t="s">
        <v>9304</v>
      </c>
      <c r="B2219" s="15" t="s">
        <v>9305</v>
      </c>
      <c r="C2219" s="15" t="s">
        <v>4171</v>
      </c>
      <c r="D2219" s="15" t="s">
        <v>4172</v>
      </c>
      <c r="E2219" s="15" t="s">
        <v>9306</v>
      </c>
    </row>
    <row r="2220" spans="1:5" ht="25.5" x14ac:dyDescent="0.2">
      <c r="A2220" s="14" t="s">
        <v>9307</v>
      </c>
      <c r="B2220" s="15" t="s">
        <v>9308</v>
      </c>
      <c r="C2220" s="15" t="s">
        <v>4171</v>
      </c>
      <c r="D2220" s="15" t="s">
        <v>4172</v>
      </c>
      <c r="E2220" s="15" t="s">
        <v>9309</v>
      </c>
    </row>
    <row r="2221" spans="1:5" ht="25.5" x14ac:dyDescent="0.2">
      <c r="A2221" s="14" t="s">
        <v>9310</v>
      </c>
      <c r="B2221" s="15" t="s">
        <v>178</v>
      </c>
      <c r="C2221" s="15" t="s">
        <v>9311</v>
      </c>
      <c r="D2221" s="15" t="s">
        <v>9312</v>
      </c>
      <c r="E2221" s="15" t="s">
        <v>9313</v>
      </c>
    </row>
    <row r="2222" spans="1:5" ht="25.5" x14ac:dyDescent="0.2">
      <c r="A2222" s="14" t="s">
        <v>9314</v>
      </c>
      <c r="B2222" s="15" t="s">
        <v>435</v>
      </c>
      <c r="C2222" s="15" t="s">
        <v>4203</v>
      </c>
      <c r="D2222" s="15" t="s">
        <v>4204</v>
      </c>
      <c r="E2222" s="15" t="s">
        <v>9315</v>
      </c>
    </row>
    <row r="2223" spans="1:5" ht="25.5" x14ac:dyDescent="0.2">
      <c r="A2223" s="14" t="s">
        <v>9316</v>
      </c>
      <c r="B2223" s="15" t="s">
        <v>9317</v>
      </c>
      <c r="C2223" s="15" t="s">
        <v>9318</v>
      </c>
      <c r="D2223" s="15" t="s">
        <v>9319</v>
      </c>
      <c r="E2223" s="15" t="s">
        <v>9320</v>
      </c>
    </row>
    <row r="2224" spans="1:5" ht="25.5" x14ac:dyDescent="0.2">
      <c r="A2224" s="14" t="s">
        <v>9321</v>
      </c>
      <c r="B2224" s="15" t="s">
        <v>9322</v>
      </c>
      <c r="C2224" s="15" t="s">
        <v>9318</v>
      </c>
      <c r="D2224" s="15" t="s">
        <v>9319</v>
      </c>
      <c r="E2224" s="15" t="s">
        <v>9323</v>
      </c>
    </row>
    <row r="2225" spans="1:5" ht="25.5" x14ac:dyDescent="0.2">
      <c r="A2225" s="14" t="s">
        <v>9324</v>
      </c>
      <c r="B2225" s="15" t="s">
        <v>9325</v>
      </c>
      <c r="C2225" s="15" t="s">
        <v>9318</v>
      </c>
      <c r="D2225" s="15" t="s">
        <v>9319</v>
      </c>
      <c r="E2225" s="15" t="s">
        <v>9326</v>
      </c>
    </row>
    <row r="2226" spans="1:5" ht="25.5" x14ac:dyDescent="0.2">
      <c r="A2226" s="14" t="s">
        <v>9327</v>
      </c>
      <c r="B2226" s="15" t="s">
        <v>9328</v>
      </c>
      <c r="C2226" s="15" t="s">
        <v>9318</v>
      </c>
      <c r="D2226" s="15" t="s">
        <v>9319</v>
      </c>
      <c r="E2226" s="15" t="s">
        <v>9329</v>
      </c>
    </row>
    <row r="2227" spans="1:5" ht="25.5" x14ac:dyDescent="0.2">
      <c r="A2227" s="14" t="s">
        <v>9330</v>
      </c>
      <c r="B2227" s="15" t="s">
        <v>9331</v>
      </c>
      <c r="C2227" s="15" t="s">
        <v>9318</v>
      </c>
      <c r="D2227" s="15" t="s">
        <v>9319</v>
      </c>
      <c r="E2227" s="15" t="s">
        <v>9332</v>
      </c>
    </row>
    <row r="2228" spans="1:5" ht="25.5" x14ac:dyDescent="0.2">
      <c r="A2228" s="14" t="s">
        <v>9333</v>
      </c>
      <c r="B2228" s="15" t="s">
        <v>9334</v>
      </c>
      <c r="C2228" s="15" t="s">
        <v>9318</v>
      </c>
      <c r="D2228" s="15" t="s">
        <v>9319</v>
      </c>
      <c r="E2228" s="15" t="s">
        <v>9335</v>
      </c>
    </row>
    <row r="2229" spans="1:5" ht="25.5" x14ac:dyDescent="0.2">
      <c r="A2229" s="14" t="s">
        <v>9336</v>
      </c>
      <c r="B2229" s="15" t="s">
        <v>9337</v>
      </c>
      <c r="C2229" s="15" t="s">
        <v>9318</v>
      </c>
      <c r="D2229" s="15" t="s">
        <v>9319</v>
      </c>
      <c r="E2229" s="15" t="s">
        <v>9338</v>
      </c>
    </row>
    <row r="2230" spans="1:5" ht="25.5" x14ac:dyDescent="0.2">
      <c r="A2230" s="14" t="s">
        <v>9339</v>
      </c>
      <c r="B2230" s="15" t="s">
        <v>9340</v>
      </c>
      <c r="C2230" s="15" t="s">
        <v>9318</v>
      </c>
      <c r="D2230" s="15" t="s">
        <v>9319</v>
      </c>
      <c r="E2230" s="15" t="s">
        <v>9341</v>
      </c>
    </row>
    <row r="2231" spans="1:5" ht="25.5" x14ac:dyDescent="0.2">
      <c r="A2231" s="14" t="s">
        <v>9342</v>
      </c>
      <c r="B2231" s="15" t="s">
        <v>9343</v>
      </c>
      <c r="C2231" s="15" t="s">
        <v>9318</v>
      </c>
      <c r="D2231" s="15" t="s">
        <v>9319</v>
      </c>
      <c r="E2231" s="15" t="s">
        <v>9344</v>
      </c>
    </row>
    <row r="2232" spans="1:5" ht="25.5" x14ac:dyDescent="0.2">
      <c r="A2232" s="14" t="s">
        <v>9345</v>
      </c>
      <c r="B2232" s="15" t="s">
        <v>9346</v>
      </c>
      <c r="C2232" s="15" t="s">
        <v>9318</v>
      </c>
      <c r="D2232" s="15" t="s">
        <v>9319</v>
      </c>
      <c r="E2232" s="15" t="s">
        <v>9347</v>
      </c>
    </row>
    <row r="2233" spans="1:5" ht="25.5" x14ac:dyDescent="0.2">
      <c r="A2233" s="14" t="s">
        <v>9348</v>
      </c>
      <c r="B2233" s="15" t="s">
        <v>9349</v>
      </c>
      <c r="C2233" s="15" t="s">
        <v>9318</v>
      </c>
      <c r="D2233" s="15" t="s">
        <v>9319</v>
      </c>
      <c r="E2233" s="15" t="s">
        <v>9350</v>
      </c>
    </row>
    <row r="2234" spans="1:5" ht="38.25" x14ac:dyDescent="0.2">
      <c r="A2234" s="14" t="s">
        <v>9351</v>
      </c>
      <c r="B2234" s="15" t="s">
        <v>1452</v>
      </c>
      <c r="C2234" s="15" t="s">
        <v>9318</v>
      </c>
      <c r="D2234" s="15" t="s">
        <v>9319</v>
      </c>
      <c r="E2234" s="15" t="s">
        <v>9352</v>
      </c>
    </row>
    <row r="2235" spans="1:5" ht="38.25" x14ac:dyDescent="0.2">
      <c r="A2235" s="14" t="s">
        <v>9353</v>
      </c>
      <c r="B2235" s="15" t="s">
        <v>1454</v>
      </c>
      <c r="C2235" s="15" t="s">
        <v>9318</v>
      </c>
      <c r="D2235" s="15" t="s">
        <v>9319</v>
      </c>
      <c r="E2235" s="15" t="s">
        <v>9354</v>
      </c>
    </row>
    <row r="2236" spans="1:5" ht="25.5" x14ac:dyDescent="0.2">
      <c r="A2236" s="14" t="s">
        <v>9355</v>
      </c>
      <c r="B2236" s="15" t="s">
        <v>111</v>
      </c>
      <c r="C2236" s="15" t="s">
        <v>9318</v>
      </c>
      <c r="D2236" s="15" t="s">
        <v>9319</v>
      </c>
      <c r="E2236" s="15" t="s">
        <v>9356</v>
      </c>
    </row>
    <row r="2237" spans="1:5" ht="38.25" x14ac:dyDescent="0.2">
      <c r="A2237" s="14" t="s">
        <v>9357</v>
      </c>
      <c r="B2237" s="15" t="s">
        <v>9358</v>
      </c>
      <c r="C2237" s="15" t="s">
        <v>9318</v>
      </c>
      <c r="D2237" s="15" t="s">
        <v>9319</v>
      </c>
      <c r="E2237" s="15" t="s">
        <v>9359</v>
      </c>
    </row>
    <row r="2238" spans="1:5" ht="25.5" x14ac:dyDescent="0.2">
      <c r="A2238" s="14" t="s">
        <v>9360</v>
      </c>
      <c r="B2238" s="15" t="s">
        <v>9361</v>
      </c>
      <c r="C2238" s="15" t="s">
        <v>4345</v>
      </c>
      <c r="D2238" s="15" t="s">
        <v>4346</v>
      </c>
      <c r="E2238" s="15" t="s">
        <v>9362</v>
      </c>
    </row>
    <row r="2239" spans="1:5" ht="51" x14ac:dyDescent="0.2">
      <c r="A2239" s="14" t="s">
        <v>9363</v>
      </c>
      <c r="B2239" s="15" t="s">
        <v>9364</v>
      </c>
      <c r="C2239" s="15" t="s">
        <v>6292</v>
      </c>
      <c r="D2239" s="15" t="s">
        <v>6293</v>
      </c>
      <c r="E2239" s="15" t="s">
        <v>9365</v>
      </c>
    </row>
    <row r="2240" spans="1:5" ht="25.5" x14ac:dyDescent="0.2">
      <c r="A2240" s="14" t="s">
        <v>9366</v>
      </c>
      <c r="B2240" s="15" t="s">
        <v>9367</v>
      </c>
      <c r="C2240" s="15" t="s">
        <v>4899</v>
      </c>
      <c r="D2240" s="15" t="s">
        <v>4900</v>
      </c>
      <c r="E2240" s="15" t="s">
        <v>9368</v>
      </c>
    </row>
    <row r="2241" spans="1:5" ht="25.5" x14ac:dyDescent="0.2">
      <c r="A2241" s="14" t="s">
        <v>9369</v>
      </c>
      <c r="B2241" s="15" t="s">
        <v>9370</v>
      </c>
      <c r="C2241" s="15" t="s">
        <v>4294</v>
      </c>
      <c r="D2241" s="15" t="s">
        <v>4295</v>
      </c>
      <c r="E2241" s="15" t="s">
        <v>9371</v>
      </c>
    </row>
    <row r="2242" spans="1:5" ht="25.5" x14ac:dyDescent="0.2">
      <c r="A2242" s="14" t="s">
        <v>9372</v>
      </c>
      <c r="B2242" s="15" t="s">
        <v>9373</v>
      </c>
      <c r="C2242" s="15" t="s">
        <v>3339</v>
      </c>
      <c r="D2242" s="15" t="s">
        <v>3340</v>
      </c>
      <c r="E2242" s="15" t="s">
        <v>9374</v>
      </c>
    </row>
    <row r="2243" spans="1:5" ht="25.5" x14ac:dyDescent="0.2">
      <c r="A2243" s="14" t="s">
        <v>9375</v>
      </c>
      <c r="B2243" s="15" t="s">
        <v>9376</v>
      </c>
      <c r="C2243" s="15" t="s">
        <v>3339</v>
      </c>
      <c r="D2243" s="15" t="s">
        <v>3340</v>
      </c>
      <c r="E2243" s="15" t="s">
        <v>9377</v>
      </c>
    </row>
    <row r="2244" spans="1:5" ht="25.5" x14ac:dyDescent="0.2">
      <c r="A2244" s="14" t="s">
        <v>9378</v>
      </c>
      <c r="B2244" s="15" t="s">
        <v>877</v>
      </c>
      <c r="C2244" s="15" t="s">
        <v>5207</v>
      </c>
      <c r="D2244" s="15" t="s">
        <v>5208</v>
      </c>
      <c r="E2244" s="15" t="s">
        <v>9379</v>
      </c>
    </row>
    <row r="2245" spans="1:5" ht="38.25" x14ac:dyDescent="0.2">
      <c r="A2245" s="14" t="s">
        <v>9380</v>
      </c>
      <c r="B2245" s="15" t="s">
        <v>9381</v>
      </c>
      <c r="C2245" s="15" t="s">
        <v>9382</v>
      </c>
      <c r="D2245" s="15" t="s">
        <v>9383</v>
      </c>
      <c r="E2245" s="15" t="s">
        <v>9384</v>
      </c>
    </row>
    <row r="2246" spans="1:5" ht="38.25" x14ac:dyDescent="0.2">
      <c r="A2246" s="14" t="s">
        <v>9385</v>
      </c>
      <c r="B2246" s="15" t="s">
        <v>9386</v>
      </c>
      <c r="C2246" s="15" t="s">
        <v>9382</v>
      </c>
      <c r="D2246" s="15" t="s">
        <v>9383</v>
      </c>
      <c r="E2246" s="15" t="s">
        <v>9387</v>
      </c>
    </row>
    <row r="2247" spans="1:5" ht="25.5" x14ac:dyDescent="0.2">
      <c r="A2247" s="14" t="s">
        <v>9388</v>
      </c>
      <c r="B2247" s="15" t="s">
        <v>9389</v>
      </c>
      <c r="C2247" s="15" t="s">
        <v>9382</v>
      </c>
      <c r="D2247" s="15" t="s">
        <v>9383</v>
      </c>
      <c r="E2247" s="15" t="s">
        <v>9390</v>
      </c>
    </row>
    <row r="2248" spans="1:5" ht="25.5" x14ac:dyDescent="0.2">
      <c r="A2248" s="14" t="s">
        <v>9391</v>
      </c>
      <c r="B2248" s="15" t="s">
        <v>9392</v>
      </c>
      <c r="C2248" s="15" t="s">
        <v>9382</v>
      </c>
      <c r="D2248" s="15" t="s">
        <v>9383</v>
      </c>
      <c r="E2248" s="15" t="s">
        <v>9393</v>
      </c>
    </row>
    <row r="2249" spans="1:5" ht="25.5" x14ac:dyDescent="0.2">
      <c r="A2249" s="14" t="s">
        <v>9394</v>
      </c>
      <c r="B2249" s="15" t="s">
        <v>9395</v>
      </c>
      <c r="C2249" s="15" t="s">
        <v>9382</v>
      </c>
      <c r="D2249" s="15" t="s">
        <v>9383</v>
      </c>
      <c r="E2249" s="15" t="s">
        <v>9396</v>
      </c>
    </row>
    <row r="2250" spans="1:5" ht="25.5" x14ac:dyDescent="0.2">
      <c r="A2250" s="14" t="s">
        <v>9397</v>
      </c>
      <c r="B2250" s="15" t="s">
        <v>9398</v>
      </c>
      <c r="C2250" s="15" t="s">
        <v>4104</v>
      </c>
      <c r="D2250" s="15" t="s">
        <v>4105</v>
      </c>
      <c r="E2250" s="15" t="s">
        <v>9399</v>
      </c>
    </row>
    <row r="2251" spans="1:5" ht="25.5" x14ac:dyDescent="0.2">
      <c r="A2251" s="14" t="s">
        <v>9400</v>
      </c>
      <c r="B2251" s="15" t="s">
        <v>712</v>
      </c>
      <c r="C2251" s="15" t="s">
        <v>4069</v>
      </c>
      <c r="D2251" s="15" t="s">
        <v>4070</v>
      </c>
      <c r="E2251" s="15" t="s">
        <v>9401</v>
      </c>
    </row>
    <row r="2252" spans="1:5" ht="25.5" x14ac:dyDescent="0.2">
      <c r="A2252" s="14" t="s">
        <v>9402</v>
      </c>
      <c r="B2252" s="15" t="s">
        <v>93</v>
      </c>
      <c r="C2252" s="15" t="s">
        <v>4069</v>
      </c>
      <c r="D2252" s="15" t="s">
        <v>4070</v>
      </c>
      <c r="E2252" s="15" t="s">
        <v>9403</v>
      </c>
    </row>
    <row r="2253" spans="1:5" ht="25.5" x14ac:dyDescent="0.2">
      <c r="A2253" s="14" t="s">
        <v>9404</v>
      </c>
      <c r="B2253" s="15" t="s">
        <v>92</v>
      </c>
      <c r="C2253" s="15" t="s">
        <v>4069</v>
      </c>
      <c r="D2253" s="15" t="s">
        <v>4070</v>
      </c>
      <c r="E2253" s="15" t="s">
        <v>9405</v>
      </c>
    </row>
    <row r="2254" spans="1:5" ht="25.5" x14ac:dyDescent="0.2">
      <c r="A2254" s="14" t="s">
        <v>9406</v>
      </c>
      <c r="B2254" s="15" t="s">
        <v>943</v>
      </c>
      <c r="C2254" s="15" t="s">
        <v>4069</v>
      </c>
      <c r="D2254" s="15" t="s">
        <v>4070</v>
      </c>
      <c r="E2254" s="15" t="s">
        <v>9407</v>
      </c>
    </row>
    <row r="2255" spans="1:5" ht="25.5" x14ac:dyDescent="0.2">
      <c r="A2255" s="14" t="s">
        <v>9408</v>
      </c>
      <c r="B2255" s="15" t="s">
        <v>9409</v>
      </c>
      <c r="C2255" s="15" t="s">
        <v>4069</v>
      </c>
      <c r="D2255" s="15" t="s">
        <v>4070</v>
      </c>
      <c r="E2255" s="15" t="s">
        <v>9410</v>
      </c>
    </row>
    <row r="2256" spans="1:5" ht="25.5" x14ac:dyDescent="0.2">
      <c r="A2256" s="14" t="s">
        <v>9411</v>
      </c>
      <c r="B2256" s="15" t="s">
        <v>1147</v>
      </c>
      <c r="C2256" s="15" t="s">
        <v>4069</v>
      </c>
      <c r="D2256" s="15" t="s">
        <v>4070</v>
      </c>
      <c r="E2256" s="15" t="s">
        <v>9412</v>
      </c>
    </row>
    <row r="2257" spans="1:5" ht="38.25" x14ac:dyDescent="0.2">
      <c r="A2257" s="14" t="s">
        <v>9413</v>
      </c>
      <c r="B2257" s="15" t="s">
        <v>941</v>
      </c>
      <c r="C2257" s="15" t="s">
        <v>4069</v>
      </c>
      <c r="D2257" s="15" t="s">
        <v>4070</v>
      </c>
      <c r="E2257" s="15" t="s">
        <v>9414</v>
      </c>
    </row>
    <row r="2258" spans="1:5" ht="25.5" x14ac:dyDescent="0.2">
      <c r="A2258" s="14" t="s">
        <v>9415</v>
      </c>
      <c r="B2258" s="15" t="s">
        <v>9416</v>
      </c>
      <c r="C2258" s="15" t="s">
        <v>4069</v>
      </c>
      <c r="D2258" s="15" t="s">
        <v>4070</v>
      </c>
      <c r="E2258" s="15" t="s">
        <v>9417</v>
      </c>
    </row>
    <row r="2259" spans="1:5" ht="25.5" x14ac:dyDescent="0.2">
      <c r="A2259" s="14" t="s">
        <v>9418</v>
      </c>
      <c r="B2259" s="15" t="s">
        <v>1040</v>
      </c>
      <c r="C2259" s="15" t="s">
        <v>4069</v>
      </c>
      <c r="D2259" s="15" t="s">
        <v>4070</v>
      </c>
      <c r="E2259" s="15" t="s">
        <v>9419</v>
      </c>
    </row>
    <row r="2260" spans="1:5" ht="25.5" x14ac:dyDescent="0.2">
      <c r="A2260" s="14" t="s">
        <v>9420</v>
      </c>
      <c r="B2260" s="15" t="s">
        <v>1577</v>
      </c>
      <c r="C2260" s="15" t="s">
        <v>4069</v>
      </c>
      <c r="D2260" s="15" t="s">
        <v>4070</v>
      </c>
      <c r="E2260" s="15" t="s">
        <v>9421</v>
      </c>
    </row>
    <row r="2261" spans="1:5" ht="25.5" x14ac:dyDescent="0.2">
      <c r="A2261" s="14" t="s">
        <v>9422</v>
      </c>
      <c r="B2261" s="15" t="s">
        <v>9423</v>
      </c>
      <c r="C2261" s="15" t="s">
        <v>4069</v>
      </c>
      <c r="D2261" s="15" t="s">
        <v>4070</v>
      </c>
      <c r="E2261" s="15" t="s">
        <v>9424</v>
      </c>
    </row>
    <row r="2262" spans="1:5" ht="25.5" x14ac:dyDescent="0.2">
      <c r="A2262" s="14" t="s">
        <v>9425</v>
      </c>
      <c r="B2262" s="15" t="s">
        <v>638</v>
      </c>
      <c r="C2262" s="15" t="s">
        <v>4069</v>
      </c>
      <c r="D2262" s="15" t="s">
        <v>4070</v>
      </c>
      <c r="E2262" s="15" t="s">
        <v>9426</v>
      </c>
    </row>
    <row r="2263" spans="1:5" ht="25.5" x14ac:dyDescent="0.2">
      <c r="A2263" s="14" t="s">
        <v>9427</v>
      </c>
      <c r="B2263" s="15" t="s">
        <v>1149</v>
      </c>
      <c r="C2263" s="15" t="s">
        <v>4069</v>
      </c>
      <c r="D2263" s="15" t="s">
        <v>4070</v>
      </c>
      <c r="E2263" s="15" t="s">
        <v>9428</v>
      </c>
    </row>
    <row r="2264" spans="1:5" ht="25.5" x14ac:dyDescent="0.2">
      <c r="A2264" s="14" t="s">
        <v>9429</v>
      </c>
      <c r="B2264" s="15" t="s">
        <v>9430</v>
      </c>
      <c r="C2264" s="15" t="s">
        <v>4069</v>
      </c>
      <c r="D2264" s="15" t="s">
        <v>4070</v>
      </c>
      <c r="E2264" s="15" t="s">
        <v>9431</v>
      </c>
    </row>
    <row r="2265" spans="1:5" ht="25.5" x14ac:dyDescent="0.2">
      <c r="A2265" s="14" t="s">
        <v>9432</v>
      </c>
      <c r="B2265" s="15" t="s">
        <v>1150</v>
      </c>
      <c r="C2265" s="15" t="s">
        <v>4069</v>
      </c>
      <c r="D2265" s="15" t="s">
        <v>4070</v>
      </c>
      <c r="E2265" s="15" t="s">
        <v>9433</v>
      </c>
    </row>
    <row r="2266" spans="1:5" ht="25.5" x14ac:dyDescent="0.2">
      <c r="A2266" s="14" t="s">
        <v>9434</v>
      </c>
      <c r="B2266" s="15" t="s">
        <v>1152</v>
      </c>
      <c r="C2266" s="15" t="s">
        <v>4069</v>
      </c>
      <c r="D2266" s="15" t="s">
        <v>4070</v>
      </c>
      <c r="E2266" s="15" t="s">
        <v>9435</v>
      </c>
    </row>
    <row r="2267" spans="1:5" ht="25.5" x14ac:dyDescent="0.2">
      <c r="A2267" s="14" t="s">
        <v>9436</v>
      </c>
      <c r="B2267" s="15" t="s">
        <v>9437</v>
      </c>
      <c r="C2267" s="15" t="s">
        <v>4069</v>
      </c>
      <c r="D2267" s="15" t="s">
        <v>4070</v>
      </c>
      <c r="E2267" s="15" t="s">
        <v>9438</v>
      </c>
    </row>
    <row r="2268" spans="1:5" ht="25.5" x14ac:dyDescent="0.2">
      <c r="A2268" s="14" t="s">
        <v>9439</v>
      </c>
      <c r="B2268" s="15" t="s">
        <v>9440</v>
      </c>
      <c r="C2268" s="15" t="s">
        <v>4069</v>
      </c>
      <c r="D2268" s="15" t="s">
        <v>4070</v>
      </c>
      <c r="E2268" s="15" t="s">
        <v>9441</v>
      </c>
    </row>
    <row r="2269" spans="1:5" ht="25.5" x14ac:dyDescent="0.2">
      <c r="A2269" s="14" t="s">
        <v>9442</v>
      </c>
      <c r="B2269" s="15" t="s">
        <v>1148</v>
      </c>
      <c r="C2269" s="15" t="s">
        <v>4069</v>
      </c>
      <c r="D2269" s="15" t="s">
        <v>4070</v>
      </c>
      <c r="E2269" s="15" t="s">
        <v>9443</v>
      </c>
    </row>
    <row r="2270" spans="1:5" ht="25.5" x14ac:dyDescent="0.2">
      <c r="A2270" s="14" t="s">
        <v>9444</v>
      </c>
      <c r="B2270" s="15" t="s">
        <v>9445</v>
      </c>
      <c r="C2270" s="15" t="s">
        <v>9446</v>
      </c>
      <c r="D2270" s="15" t="s">
        <v>9447</v>
      </c>
      <c r="E2270" s="15" t="s">
        <v>9448</v>
      </c>
    </row>
    <row r="2271" spans="1:5" ht="25.5" x14ac:dyDescent="0.2">
      <c r="A2271" s="14" t="s">
        <v>9449</v>
      </c>
      <c r="B2271" s="15" t="s">
        <v>625</v>
      </c>
      <c r="C2271" s="15" t="s">
        <v>9446</v>
      </c>
      <c r="D2271" s="15" t="s">
        <v>9447</v>
      </c>
      <c r="E2271" s="15" t="s">
        <v>9450</v>
      </c>
    </row>
    <row r="2272" spans="1:5" ht="25.5" x14ac:dyDescent="0.2">
      <c r="A2272" s="14" t="s">
        <v>9451</v>
      </c>
      <c r="B2272" s="15" t="s">
        <v>565</v>
      </c>
      <c r="C2272" s="15" t="s">
        <v>9446</v>
      </c>
      <c r="D2272" s="15" t="s">
        <v>9447</v>
      </c>
      <c r="E2272" s="15" t="s">
        <v>9452</v>
      </c>
    </row>
    <row r="2273" spans="1:5" ht="25.5" x14ac:dyDescent="0.2">
      <c r="A2273" s="14" t="s">
        <v>9453</v>
      </c>
      <c r="B2273" s="15" t="s">
        <v>949</v>
      </c>
      <c r="C2273" s="15" t="s">
        <v>9446</v>
      </c>
      <c r="D2273" s="15" t="s">
        <v>9447</v>
      </c>
      <c r="E2273" s="15" t="s">
        <v>9454</v>
      </c>
    </row>
    <row r="2274" spans="1:5" ht="25.5" x14ac:dyDescent="0.2">
      <c r="A2274" s="14" t="s">
        <v>9455</v>
      </c>
      <c r="B2274" s="15" t="s">
        <v>655</v>
      </c>
      <c r="C2274" s="15" t="s">
        <v>9446</v>
      </c>
      <c r="D2274" s="15" t="s">
        <v>9447</v>
      </c>
      <c r="E2274" s="15" t="s">
        <v>9456</v>
      </c>
    </row>
    <row r="2275" spans="1:5" ht="25.5" x14ac:dyDescent="0.2">
      <c r="A2275" s="14" t="s">
        <v>9457</v>
      </c>
      <c r="B2275" s="15" t="s">
        <v>1065</v>
      </c>
      <c r="C2275" s="15" t="s">
        <v>9446</v>
      </c>
      <c r="D2275" s="15" t="s">
        <v>9447</v>
      </c>
      <c r="E2275" s="15" t="s">
        <v>9458</v>
      </c>
    </row>
    <row r="2276" spans="1:5" ht="25.5" x14ac:dyDescent="0.2">
      <c r="A2276" s="14" t="s">
        <v>9459</v>
      </c>
      <c r="B2276" s="15" t="s">
        <v>1419</v>
      </c>
      <c r="C2276" s="15" t="s">
        <v>9446</v>
      </c>
      <c r="D2276" s="15" t="s">
        <v>9447</v>
      </c>
      <c r="E2276" s="15" t="s">
        <v>9460</v>
      </c>
    </row>
    <row r="2277" spans="1:5" ht="25.5" x14ac:dyDescent="0.2">
      <c r="A2277" s="14" t="s">
        <v>9461</v>
      </c>
      <c r="B2277" s="15" t="s">
        <v>1064</v>
      </c>
      <c r="C2277" s="15" t="s">
        <v>9446</v>
      </c>
      <c r="D2277" s="15" t="s">
        <v>9447</v>
      </c>
      <c r="E2277" s="15" t="s">
        <v>9462</v>
      </c>
    </row>
    <row r="2278" spans="1:5" ht="25.5" x14ac:dyDescent="0.2">
      <c r="A2278" s="14" t="s">
        <v>9463</v>
      </c>
      <c r="B2278" s="15" t="s">
        <v>1226</v>
      </c>
      <c r="C2278" s="15" t="s">
        <v>9446</v>
      </c>
      <c r="D2278" s="15" t="s">
        <v>9447</v>
      </c>
      <c r="E2278" s="15" t="s">
        <v>9464</v>
      </c>
    </row>
    <row r="2279" spans="1:5" ht="25.5" x14ac:dyDescent="0.2">
      <c r="A2279" s="14" t="s">
        <v>9465</v>
      </c>
      <c r="B2279" s="15" t="s">
        <v>9466</v>
      </c>
      <c r="C2279" s="15" t="s">
        <v>9446</v>
      </c>
      <c r="D2279" s="15" t="s">
        <v>9447</v>
      </c>
      <c r="E2279" s="15" t="s">
        <v>9467</v>
      </c>
    </row>
    <row r="2280" spans="1:5" ht="25.5" x14ac:dyDescent="0.2">
      <c r="A2280" s="14" t="s">
        <v>9468</v>
      </c>
      <c r="B2280" s="15" t="s">
        <v>1009</v>
      </c>
      <c r="C2280" s="15" t="s">
        <v>9446</v>
      </c>
      <c r="D2280" s="15" t="s">
        <v>9447</v>
      </c>
      <c r="E2280" s="15" t="s">
        <v>9469</v>
      </c>
    </row>
    <row r="2281" spans="1:5" ht="25.5" x14ac:dyDescent="0.2">
      <c r="A2281" s="14" t="s">
        <v>9470</v>
      </c>
      <c r="B2281" s="15" t="s">
        <v>1528</v>
      </c>
      <c r="C2281" s="15" t="s">
        <v>9446</v>
      </c>
      <c r="D2281" s="15" t="s">
        <v>9447</v>
      </c>
      <c r="E2281" s="15" t="s">
        <v>9471</v>
      </c>
    </row>
    <row r="2282" spans="1:5" ht="25.5" x14ac:dyDescent="0.2">
      <c r="A2282" s="14" t="s">
        <v>9472</v>
      </c>
      <c r="B2282" s="15" t="s">
        <v>9473</v>
      </c>
      <c r="C2282" s="15" t="s">
        <v>9446</v>
      </c>
      <c r="D2282" s="15" t="s">
        <v>9447</v>
      </c>
      <c r="E2282" s="15" t="s">
        <v>9474</v>
      </c>
    </row>
    <row r="2283" spans="1:5" ht="25.5" x14ac:dyDescent="0.2">
      <c r="A2283" s="14" t="s">
        <v>9475</v>
      </c>
      <c r="B2283" s="15" t="s">
        <v>1227</v>
      </c>
      <c r="C2283" s="15" t="s">
        <v>9446</v>
      </c>
      <c r="D2283" s="15" t="s">
        <v>9447</v>
      </c>
      <c r="E2283" s="15" t="s">
        <v>9476</v>
      </c>
    </row>
    <row r="2284" spans="1:5" ht="25.5" x14ac:dyDescent="0.2">
      <c r="A2284" s="14" t="s">
        <v>9477</v>
      </c>
      <c r="B2284" s="15" t="s">
        <v>1230</v>
      </c>
      <c r="C2284" s="15" t="s">
        <v>9446</v>
      </c>
      <c r="D2284" s="15" t="s">
        <v>9447</v>
      </c>
      <c r="E2284" s="15" t="s">
        <v>9478</v>
      </c>
    </row>
    <row r="2285" spans="1:5" ht="25.5" x14ac:dyDescent="0.2">
      <c r="A2285" s="14" t="s">
        <v>9479</v>
      </c>
      <c r="B2285" s="15" t="s">
        <v>113</v>
      </c>
      <c r="C2285" s="15" t="s">
        <v>9446</v>
      </c>
      <c r="D2285" s="15" t="s">
        <v>9447</v>
      </c>
      <c r="E2285" s="15" t="s">
        <v>9480</v>
      </c>
    </row>
    <row r="2286" spans="1:5" ht="25.5" x14ac:dyDescent="0.2">
      <c r="A2286" s="14" t="s">
        <v>9481</v>
      </c>
      <c r="B2286" s="15" t="s">
        <v>9482</v>
      </c>
      <c r="C2286" s="15" t="s">
        <v>9446</v>
      </c>
      <c r="D2286" s="15" t="s">
        <v>9447</v>
      </c>
      <c r="E2286" s="15" t="s">
        <v>9483</v>
      </c>
    </row>
    <row r="2287" spans="1:5" ht="25.5" x14ac:dyDescent="0.2">
      <c r="A2287" s="14" t="s">
        <v>9484</v>
      </c>
      <c r="B2287" s="15" t="s">
        <v>9485</v>
      </c>
      <c r="C2287" s="15" t="s">
        <v>9446</v>
      </c>
      <c r="D2287" s="15" t="s">
        <v>9447</v>
      </c>
      <c r="E2287" s="15" t="s">
        <v>9486</v>
      </c>
    </row>
    <row r="2288" spans="1:5" ht="25.5" x14ac:dyDescent="0.2">
      <c r="A2288" s="14" t="s">
        <v>9487</v>
      </c>
      <c r="B2288" s="15" t="s">
        <v>953</v>
      </c>
      <c r="C2288" s="15" t="s">
        <v>9446</v>
      </c>
      <c r="D2288" s="15" t="s">
        <v>9447</v>
      </c>
      <c r="E2288" s="15" t="s">
        <v>9488</v>
      </c>
    </row>
    <row r="2289" spans="1:5" ht="25.5" x14ac:dyDescent="0.2">
      <c r="A2289" s="14" t="s">
        <v>9489</v>
      </c>
      <c r="B2289" s="15" t="s">
        <v>628</v>
      </c>
      <c r="C2289" s="15" t="s">
        <v>9446</v>
      </c>
      <c r="D2289" s="15" t="s">
        <v>9447</v>
      </c>
      <c r="E2289" s="15" t="s">
        <v>9490</v>
      </c>
    </row>
    <row r="2290" spans="1:5" ht="25.5" x14ac:dyDescent="0.2">
      <c r="A2290" s="14" t="s">
        <v>9491</v>
      </c>
      <c r="B2290" s="15" t="s">
        <v>1008</v>
      </c>
      <c r="C2290" s="15" t="s">
        <v>9446</v>
      </c>
      <c r="D2290" s="15" t="s">
        <v>9447</v>
      </c>
      <c r="E2290" s="15" t="s">
        <v>9492</v>
      </c>
    </row>
    <row r="2291" spans="1:5" ht="25.5" x14ac:dyDescent="0.2">
      <c r="A2291" s="14" t="s">
        <v>9493</v>
      </c>
      <c r="B2291" s="15" t="s">
        <v>90</v>
      </c>
      <c r="C2291" s="15" t="s">
        <v>9446</v>
      </c>
      <c r="D2291" s="15" t="s">
        <v>9447</v>
      </c>
      <c r="E2291" s="15" t="s">
        <v>9494</v>
      </c>
    </row>
    <row r="2292" spans="1:5" ht="25.5" x14ac:dyDescent="0.2">
      <c r="A2292" s="14" t="s">
        <v>9495</v>
      </c>
      <c r="B2292" s="15" t="s">
        <v>624</v>
      </c>
      <c r="C2292" s="15" t="s">
        <v>9446</v>
      </c>
      <c r="D2292" s="15" t="s">
        <v>9447</v>
      </c>
      <c r="E2292" s="15" t="s">
        <v>9496</v>
      </c>
    </row>
    <row r="2293" spans="1:5" ht="25.5" x14ac:dyDescent="0.2">
      <c r="A2293" s="14" t="s">
        <v>9497</v>
      </c>
      <c r="B2293" s="15" t="s">
        <v>1256</v>
      </c>
      <c r="C2293" s="15" t="s">
        <v>9446</v>
      </c>
      <c r="D2293" s="15" t="s">
        <v>9447</v>
      </c>
      <c r="E2293" s="15" t="s">
        <v>9498</v>
      </c>
    </row>
    <row r="2294" spans="1:5" ht="25.5" x14ac:dyDescent="0.2">
      <c r="A2294" s="14" t="s">
        <v>9499</v>
      </c>
      <c r="B2294" s="15" t="s">
        <v>626</v>
      </c>
      <c r="C2294" s="15" t="s">
        <v>9446</v>
      </c>
      <c r="D2294" s="15" t="s">
        <v>9447</v>
      </c>
      <c r="E2294" s="15" t="s">
        <v>9500</v>
      </c>
    </row>
    <row r="2295" spans="1:5" ht="25.5" x14ac:dyDescent="0.2">
      <c r="A2295" s="14" t="s">
        <v>9501</v>
      </c>
      <c r="B2295" s="15" t="s">
        <v>948</v>
      </c>
      <c r="C2295" s="15" t="s">
        <v>9446</v>
      </c>
      <c r="D2295" s="15" t="s">
        <v>9447</v>
      </c>
      <c r="E2295" s="15" t="s">
        <v>9502</v>
      </c>
    </row>
    <row r="2296" spans="1:5" ht="25.5" x14ac:dyDescent="0.2">
      <c r="A2296" s="14" t="s">
        <v>9503</v>
      </c>
      <c r="B2296" s="15" t="s">
        <v>622</v>
      </c>
      <c r="C2296" s="15" t="s">
        <v>9446</v>
      </c>
      <c r="D2296" s="15" t="s">
        <v>9447</v>
      </c>
      <c r="E2296" s="15" t="s">
        <v>9504</v>
      </c>
    </row>
    <row r="2297" spans="1:5" ht="25.5" x14ac:dyDescent="0.2">
      <c r="A2297" s="14" t="s">
        <v>9505</v>
      </c>
      <c r="B2297" s="15" t="s">
        <v>1066</v>
      </c>
      <c r="C2297" s="15" t="s">
        <v>9446</v>
      </c>
      <c r="D2297" s="15" t="s">
        <v>9447</v>
      </c>
      <c r="E2297" s="15" t="s">
        <v>9506</v>
      </c>
    </row>
    <row r="2298" spans="1:5" ht="25.5" x14ac:dyDescent="0.2">
      <c r="A2298" s="14" t="s">
        <v>9507</v>
      </c>
      <c r="B2298" s="15" t="s">
        <v>9508</v>
      </c>
      <c r="C2298" s="15" t="s">
        <v>9446</v>
      </c>
      <c r="D2298" s="15" t="s">
        <v>9447</v>
      </c>
      <c r="E2298" s="15" t="s">
        <v>9509</v>
      </c>
    </row>
    <row r="2299" spans="1:5" ht="25.5" x14ac:dyDescent="0.2">
      <c r="A2299" s="14" t="s">
        <v>9510</v>
      </c>
      <c r="B2299" s="15" t="s">
        <v>1255</v>
      </c>
      <c r="C2299" s="15" t="s">
        <v>9446</v>
      </c>
      <c r="D2299" s="15" t="s">
        <v>9447</v>
      </c>
      <c r="E2299" s="15" t="s">
        <v>9511</v>
      </c>
    </row>
    <row r="2300" spans="1:5" ht="25.5" x14ac:dyDescent="0.2">
      <c r="A2300" s="14" t="s">
        <v>9512</v>
      </c>
      <c r="B2300" s="15" t="s">
        <v>752</v>
      </c>
      <c r="C2300" s="15" t="s">
        <v>9446</v>
      </c>
      <c r="D2300" s="15" t="s">
        <v>9447</v>
      </c>
      <c r="E2300" s="15" t="s">
        <v>9513</v>
      </c>
    </row>
    <row r="2301" spans="1:5" ht="25.5" x14ac:dyDescent="0.2">
      <c r="A2301" s="14" t="s">
        <v>9514</v>
      </c>
      <c r="B2301" s="15" t="s">
        <v>952</v>
      </c>
      <c r="C2301" s="15" t="s">
        <v>9446</v>
      </c>
      <c r="D2301" s="15" t="s">
        <v>9447</v>
      </c>
      <c r="E2301" s="15" t="s">
        <v>9515</v>
      </c>
    </row>
    <row r="2302" spans="1:5" ht="25.5" x14ac:dyDescent="0.2">
      <c r="A2302" s="14" t="s">
        <v>9516</v>
      </c>
      <c r="B2302" s="15" t="s">
        <v>654</v>
      </c>
      <c r="C2302" s="15" t="s">
        <v>9446</v>
      </c>
      <c r="D2302" s="15" t="s">
        <v>9447</v>
      </c>
      <c r="E2302" s="15" t="s">
        <v>9517</v>
      </c>
    </row>
    <row r="2303" spans="1:5" ht="25.5" x14ac:dyDescent="0.2">
      <c r="A2303" s="14" t="s">
        <v>9518</v>
      </c>
      <c r="B2303" s="15" t="s">
        <v>1323</v>
      </c>
      <c r="C2303" s="15" t="s">
        <v>9446</v>
      </c>
      <c r="D2303" s="15" t="s">
        <v>9447</v>
      </c>
      <c r="E2303" s="15" t="s">
        <v>9519</v>
      </c>
    </row>
    <row r="2304" spans="1:5" ht="25.5" x14ac:dyDescent="0.2">
      <c r="A2304" s="14" t="s">
        <v>9520</v>
      </c>
      <c r="B2304" s="15" t="s">
        <v>568</v>
      </c>
      <c r="C2304" s="15" t="s">
        <v>9446</v>
      </c>
      <c r="D2304" s="15" t="s">
        <v>9447</v>
      </c>
      <c r="E2304" s="15" t="s">
        <v>9521</v>
      </c>
    </row>
    <row r="2305" spans="1:5" ht="25.5" x14ac:dyDescent="0.2">
      <c r="A2305" s="14" t="s">
        <v>9522</v>
      </c>
      <c r="B2305" s="15" t="s">
        <v>1559</v>
      </c>
      <c r="C2305" s="15" t="s">
        <v>9446</v>
      </c>
      <c r="D2305" s="15" t="s">
        <v>9447</v>
      </c>
      <c r="E2305" s="15" t="s">
        <v>9523</v>
      </c>
    </row>
    <row r="2306" spans="1:5" ht="25.5" x14ac:dyDescent="0.2">
      <c r="A2306" s="14" t="s">
        <v>9524</v>
      </c>
      <c r="B2306" s="15" t="s">
        <v>1162</v>
      </c>
      <c r="C2306" s="15" t="s">
        <v>9446</v>
      </c>
      <c r="D2306" s="15" t="s">
        <v>9447</v>
      </c>
      <c r="E2306" s="15" t="s">
        <v>9525</v>
      </c>
    </row>
    <row r="2307" spans="1:5" ht="25.5" x14ac:dyDescent="0.2">
      <c r="A2307" s="14" t="s">
        <v>9526</v>
      </c>
      <c r="B2307" s="15" t="s">
        <v>1007</v>
      </c>
      <c r="C2307" s="15" t="s">
        <v>9446</v>
      </c>
      <c r="D2307" s="15" t="s">
        <v>9447</v>
      </c>
      <c r="E2307" s="15" t="s">
        <v>9527</v>
      </c>
    </row>
    <row r="2308" spans="1:5" ht="25.5" x14ac:dyDescent="0.2">
      <c r="A2308" s="14" t="s">
        <v>9528</v>
      </c>
      <c r="B2308" s="15" t="s">
        <v>1527</v>
      </c>
      <c r="C2308" s="15" t="s">
        <v>9446</v>
      </c>
      <c r="D2308" s="15" t="s">
        <v>9447</v>
      </c>
      <c r="E2308" s="15" t="s">
        <v>9529</v>
      </c>
    </row>
    <row r="2309" spans="1:5" ht="25.5" x14ac:dyDescent="0.2">
      <c r="A2309" s="14" t="s">
        <v>9530</v>
      </c>
      <c r="B2309" s="15" t="s">
        <v>9531</v>
      </c>
      <c r="C2309" s="15" t="s">
        <v>9446</v>
      </c>
      <c r="D2309" s="15" t="s">
        <v>9447</v>
      </c>
      <c r="E2309" s="15" t="s">
        <v>9532</v>
      </c>
    </row>
    <row r="2310" spans="1:5" ht="25.5" x14ac:dyDescent="0.2">
      <c r="A2310" s="14" t="s">
        <v>9533</v>
      </c>
      <c r="B2310" s="15" t="s">
        <v>955</v>
      </c>
      <c r="C2310" s="15" t="s">
        <v>9446</v>
      </c>
      <c r="D2310" s="15" t="s">
        <v>9447</v>
      </c>
      <c r="E2310" s="15" t="s">
        <v>9534</v>
      </c>
    </row>
    <row r="2311" spans="1:5" ht="25.5" x14ac:dyDescent="0.2">
      <c r="A2311" s="14" t="s">
        <v>9535</v>
      </c>
      <c r="B2311" s="15" t="s">
        <v>1061</v>
      </c>
      <c r="C2311" s="15" t="s">
        <v>9446</v>
      </c>
      <c r="D2311" s="15" t="s">
        <v>9447</v>
      </c>
      <c r="E2311" s="15" t="s">
        <v>9536</v>
      </c>
    </row>
    <row r="2312" spans="1:5" ht="25.5" x14ac:dyDescent="0.2">
      <c r="A2312" s="14" t="s">
        <v>9537</v>
      </c>
      <c r="B2312" s="15" t="s">
        <v>1163</v>
      </c>
      <c r="C2312" s="15" t="s">
        <v>9446</v>
      </c>
      <c r="D2312" s="15" t="s">
        <v>9447</v>
      </c>
      <c r="E2312" s="15" t="s">
        <v>9538</v>
      </c>
    </row>
    <row r="2313" spans="1:5" ht="25.5" x14ac:dyDescent="0.2">
      <c r="A2313" s="14" t="s">
        <v>9539</v>
      </c>
      <c r="B2313" s="15" t="s">
        <v>114</v>
      </c>
      <c r="C2313" s="15" t="s">
        <v>9446</v>
      </c>
      <c r="D2313" s="15" t="s">
        <v>9447</v>
      </c>
      <c r="E2313" s="15" t="s">
        <v>9540</v>
      </c>
    </row>
    <row r="2314" spans="1:5" ht="25.5" x14ac:dyDescent="0.2">
      <c r="A2314" s="14" t="s">
        <v>9541</v>
      </c>
      <c r="B2314" s="15" t="s">
        <v>9542</v>
      </c>
      <c r="C2314" s="15" t="s">
        <v>9446</v>
      </c>
      <c r="D2314" s="15" t="s">
        <v>9447</v>
      </c>
      <c r="E2314" s="15" t="s">
        <v>9543</v>
      </c>
    </row>
    <row r="2315" spans="1:5" ht="25.5" x14ac:dyDescent="0.2">
      <c r="A2315" s="14" t="s">
        <v>9544</v>
      </c>
      <c r="B2315" s="15" t="s">
        <v>152</v>
      </c>
      <c r="C2315" s="15" t="s">
        <v>9446</v>
      </c>
      <c r="D2315" s="15" t="s">
        <v>9447</v>
      </c>
      <c r="E2315" s="15" t="s">
        <v>9545</v>
      </c>
    </row>
    <row r="2316" spans="1:5" ht="25.5" x14ac:dyDescent="0.2">
      <c r="A2316" s="14" t="s">
        <v>9546</v>
      </c>
      <c r="B2316" s="15" t="s">
        <v>9547</v>
      </c>
      <c r="C2316" s="15" t="s">
        <v>9446</v>
      </c>
      <c r="D2316" s="15" t="s">
        <v>9447</v>
      </c>
      <c r="E2316" s="15" t="s">
        <v>9548</v>
      </c>
    </row>
    <row r="2317" spans="1:5" ht="25.5" x14ac:dyDescent="0.2">
      <c r="A2317" s="14" t="s">
        <v>9549</v>
      </c>
      <c r="B2317" s="15" t="s">
        <v>9550</v>
      </c>
      <c r="C2317" s="15" t="s">
        <v>9446</v>
      </c>
      <c r="D2317" s="15" t="s">
        <v>9447</v>
      </c>
      <c r="E2317" s="15" t="s">
        <v>9551</v>
      </c>
    </row>
    <row r="2318" spans="1:5" ht="25.5" x14ac:dyDescent="0.2">
      <c r="A2318" s="14" t="s">
        <v>9552</v>
      </c>
      <c r="B2318" s="15" t="s">
        <v>1171</v>
      </c>
      <c r="C2318" s="15" t="s">
        <v>9446</v>
      </c>
      <c r="D2318" s="15" t="s">
        <v>9447</v>
      </c>
      <c r="E2318" s="15" t="s">
        <v>9553</v>
      </c>
    </row>
    <row r="2319" spans="1:5" ht="25.5" x14ac:dyDescent="0.2">
      <c r="A2319" s="14" t="s">
        <v>9554</v>
      </c>
      <c r="B2319" s="15" t="s">
        <v>627</v>
      </c>
      <c r="C2319" s="15" t="s">
        <v>9446</v>
      </c>
      <c r="D2319" s="15" t="s">
        <v>9447</v>
      </c>
      <c r="E2319" s="15" t="s">
        <v>9555</v>
      </c>
    </row>
    <row r="2320" spans="1:5" ht="25.5" x14ac:dyDescent="0.2">
      <c r="A2320" s="14" t="s">
        <v>9556</v>
      </c>
      <c r="B2320" s="15" t="s">
        <v>1067</v>
      </c>
      <c r="C2320" s="15" t="s">
        <v>9446</v>
      </c>
      <c r="D2320" s="15" t="s">
        <v>9447</v>
      </c>
      <c r="E2320" s="15" t="s">
        <v>9557</v>
      </c>
    </row>
    <row r="2321" spans="1:5" ht="25.5" x14ac:dyDescent="0.2">
      <c r="A2321" s="14" t="s">
        <v>9558</v>
      </c>
      <c r="B2321" s="15" t="s">
        <v>734</v>
      </c>
      <c r="C2321" s="15" t="s">
        <v>9446</v>
      </c>
      <c r="D2321" s="15" t="s">
        <v>9447</v>
      </c>
      <c r="E2321" s="15" t="s">
        <v>9559</v>
      </c>
    </row>
    <row r="2322" spans="1:5" ht="25.5" x14ac:dyDescent="0.2">
      <c r="A2322" s="14" t="s">
        <v>9560</v>
      </c>
      <c r="B2322" s="15" t="s">
        <v>9561</v>
      </c>
      <c r="C2322" s="15" t="s">
        <v>4104</v>
      </c>
      <c r="D2322" s="15" t="s">
        <v>4105</v>
      </c>
      <c r="E2322" s="15" t="s">
        <v>9562</v>
      </c>
    </row>
    <row r="2323" spans="1:5" ht="25.5" x14ac:dyDescent="0.2">
      <c r="A2323" s="14" t="s">
        <v>9563</v>
      </c>
      <c r="B2323" s="15" t="s">
        <v>9564</v>
      </c>
      <c r="C2323" s="15" t="s">
        <v>9565</v>
      </c>
      <c r="D2323" s="15" t="s">
        <v>9566</v>
      </c>
      <c r="E2323" s="15" t="s">
        <v>9567</v>
      </c>
    </row>
    <row r="2324" spans="1:5" ht="25.5" x14ac:dyDescent="0.2">
      <c r="A2324" s="14" t="s">
        <v>9568</v>
      </c>
      <c r="B2324" s="15" t="s">
        <v>9569</v>
      </c>
      <c r="C2324" s="15" t="s">
        <v>9570</v>
      </c>
      <c r="D2324" s="15" t="s">
        <v>9571</v>
      </c>
      <c r="E2324" s="15" t="s">
        <v>9572</v>
      </c>
    </row>
    <row r="2325" spans="1:5" ht="25.5" x14ac:dyDescent="0.2">
      <c r="A2325" s="14" t="s">
        <v>9573</v>
      </c>
      <c r="B2325" s="15" t="s">
        <v>9574</v>
      </c>
      <c r="C2325" s="15" t="s">
        <v>4104</v>
      </c>
      <c r="D2325" s="15" t="s">
        <v>4105</v>
      </c>
      <c r="E2325" s="15" t="s">
        <v>9575</v>
      </c>
    </row>
    <row r="2326" spans="1:5" ht="25.5" x14ac:dyDescent="0.2">
      <c r="A2326" s="14" t="s">
        <v>9576</v>
      </c>
      <c r="B2326" s="15" t="s">
        <v>9577</v>
      </c>
      <c r="C2326" s="15" t="s">
        <v>4104</v>
      </c>
      <c r="D2326" s="15" t="s">
        <v>4105</v>
      </c>
      <c r="E2326" s="15" t="s">
        <v>9578</v>
      </c>
    </row>
    <row r="2327" spans="1:5" ht="25.5" x14ac:dyDescent="0.2">
      <c r="A2327" s="14" t="s">
        <v>9579</v>
      </c>
      <c r="B2327" s="15" t="s">
        <v>9580</v>
      </c>
      <c r="C2327" s="15" t="s">
        <v>4104</v>
      </c>
      <c r="D2327" s="15" t="s">
        <v>4105</v>
      </c>
      <c r="E2327" s="15" t="s">
        <v>9581</v>
      </c>
    </row>
    <row r="2328" spans="1:5" ht="25.5" x14ac:dyDescent="0.2">
      <c r="A2328" s="14" t="s">
        <v>9582</v>
      </c>
      <c r="B2328" s="15" t="s">
        <v>282</v>
      </c>
      <c r="C2328" s="15" t="s">
        <v>5207</v>
      </c>
      <c r="D2328" s="15" t="s">
        <v>5208</v>
      </c>
      <c r="E2328" s="15" t="s">
        <v>9583</v>
      </c>
    </row>
    <row r="2329" spans="1:5" ht="25.5" x14ac:dyDescent="0.2">
      <c r="A2329" s="14" t="s">
        <v>9584</v>
      </c>
      <c r="B2329" s="15" t="s">
        <v>38</v>
      </c>
      <c r="C2329" s="15" t="s">
        <v>5207</v>
      </c>
      <c r="D2329" s="15" t="s">
        <v>5208</v>
      </c>
      <c r="E2329" s="15" t="s">
        <v>9585</v>
      </c>
    </row>
    <row r="2330" spans="1:5" ht="25.5" x14ac:dyDescent="0.2">
      <c r="A2330" s="14" t="s">
        <v>9586</v>
      </c>
      <c r="B2330" s="15" t="s">
        <v>9587</v>
      </c>
      <c r="C2330" s="15" t="s">
        <v>4104</v>
      </c>
      <c r="D2330" s="15" t="s">
        <v>4105</v>
      </c>
      <c r="E2330" s="15" t="s">
        <v>9588</v>
      </c>
    </row>
    <row r="2331" spans="1:5" ht="25.5" x14ac:dyDescent="0.2">
      <c r="A2331" s="14" t="s">
        <v>9589</v>
      </c>
      <c r="B2331" s="15" t="s">
        <v>9590</v>
      </c>
      <c r="C2331" s="15" t="s">
        <v>4104</v>
      </c>
      <c r="D2331" s="15" t="s">
        <v>4105</v>
      </c>
      <c r="E2331" s="15" t="s">
        <v>9591</v>
      </c>
    </row>
    <row r="2332" spans="1:5" ht="25.5" x14ac:dyDescent="0.2">
      <c r="A2332" s="14" t="s">
        <v>9592</v>
      </c>
      <c r="B2332" s="15" t="s">
        <v>9593</v>
      </c>
      <c r="C2332" s="15" t="s">
        <v>4171</v>
      </c>
      <c r="D2332" s="15" t="s">
        <v>4172</v>
      </c>
      <c r="E2332" s="15" t="s">
        <v>9594</v>
      </c>
    </row>
    <row r="2333" spans="1:5" ht="25.5" x14ac:dyDescent="0.2">
      <c r="A2333" s="14" t="s">
        <v>9595</v>
      </c>
      <c r="B2333" s="15" t="s">
        <v>9596</v>
      </c>
      <c r="C2333" s="15" t="s">
        <v>4171</v>
      </c>
      <c r="D2333" s="15" t="s">
        <v>4172</v>
      </c>
      <c r="E2333" s="15" t="s">
        <v>9597</v>
      </c>
    </row>
    <row r="2334" spans="1:5" ht="38.25" x14ac:dyDescent="0.2">
      <c r="A2334" s="14" t="s">
        <v>9598</v>
      </c>
      <c r="B2334" s="15" t="s">
        <v>9599</v>
      </c>
      <c r="C2334" s="15" t="s">
        <v>4171</v>
      </c>
      <c r="D2334" s="15" t="s">
        <v>4172</v>
      </c>
      <c r="E2334" s="15" t="s">
        <v>9600</v>
      </c>
    </row>
    <row r="2335" spans="1:5" ht="25.5" x14ac:dyDescent="0.2">
      <c r="A2335" s="14" t="s">
        <v>9601</v>
      </c>
      <c r="B2335" s="15" t="s">
        <v>9602</v>
      </c>
      <c r="C2335" s="15" t="s">
        <v>4171</v>
      </c>
      <c r="D2335" s="15" t="s">
        <v>4172</v>
      </c>
      <c r="E2335" s="15" t="s">
        <v>9603</v>
      </c>
    </row>
    <row r="2336" spans="1:5" ht="38.25" x14ac:dyDescent="0.2">
      <c r="A2336" s="14" t="s">
        <v>9604</v>
      </c>
      <c r="B2336" s="15" t="s">
        <v>9605</v>
      </c>
      <c r="C2336" s="15" t="s">
        <v>8663</v>
      </c>
      <c r="D2336" s="15" t="s">
        <v>8664</v>
      </c>
      <c r="E2336" s="15" t="s">
        <v>9606</v>
      </c>
    </row>
    <row r="2337" spans="1:5" ht="25.5" x14ac:dyDescent="0.2">
      <c r="A2337" s="14" t="s">
        <v>9607</v>
      </c>
      <c r="B2337" s="15" t="s">
        <v>263</v>
      </c>
      <c r="C2337" s="15" t="s">
        <v>9608</v>
      </c>
      <c r="D2337" s="15" t="s">
        <v>9609</v>
      </c>
      <c r="E2337" s="15" t="s">
        <v>9610</v>
      </c>
    </row>
    <row r="2338" spans="1:5" ht="25.5" x14ac:dyDescent="0.2">
      <c r="A2338" s="14" t="s">
        <v>9611</v>
      </c>
      <c r="B2338" s="15" t="s">
        <v>430</v>
      </c>
      <c r="C2338" s="15" t="s">
        <v>9608</v>
      </c>
      <c r="D2338" s="15" t="s">
        <v>9609</v>
      </c>
      <c r="E2338" s="15" t="s">
        <v>9612</v>
      </c>
    </row>
    <row r="2339" spans="1:5" ht="25.5" x14ac:dyDescent="0.2">
      <c r="A2339" s="14" t="s">
        <v>9613</v>
      </c>
      <c r="B2339" s="15" t="s">
        <v>289</v>
      </c>
      <c r="C2339" s="15" t="s">
        <v>9608</v>
      </c>
      <c r="D2339" s="15" t="s">
        <v>9609</v>
      </c>
      <c r="E2339" s="15" t="s">
        <v>9614</v>
      </c>
    </row>
    <row r="2340" spans="1:5" ht="25.5" x14ac:dyDescent="0.2">
      <c r="A2340" s="14" t="s">
        <v>9615</v>
      </c>
      <c r="B2340" s="15" t="s">
        <v>1041</v>
      </c>
      <c r="C2340" s="15" t="s">
        <v>4262</v>
      </c>
      <c r="D2340" s="15" t="s">
        <v>4263</v>
      </c>
      <c r="E2340" s="15" t="s">
        <v>9616</v>
      </c>
    </row>
    <row r="2341" spans="1:5" ht="25.5" x14ac:dyDescent="0.2">
      <c r="A2341" s="14" t="s">
        <v>9617</v>
      </c>
      <c r="B2341" s="15" t="s">
        <v>9618</v>
      </c>
      <c r="C2341" s="15" t="s">
        <v>4262</v>
      </c>
      <c r="D2341" s="15" t="s">
        <v>4263</v>
      </c>
      <c r="E2341" s="15" t="s">
        <v>9619</v>
      </c>
    </row>
    <row r="2342" spans="1:5" ht="25.5" x14ac:dyDescent="0.2">
      <c r="A2342" s="14" t="s">
        <v>9620</v>
      </c>
      <c r="B2342" s="15" t="s">
        <v>9621</v>
      </c>
      <c r="C2342" s="15" t="s">
        <v>4262</v>
      </c>
      <c r="D2342" s="15" t="s">
        <v>4263</v>
      </c>
      <c r="E2342" s="15" t="s">
        <v>9622</v>
      </c>
    </row>
    <row r="2343" spans="1:5" ht="25.5" x14ac:dyDescent="0.2">
      <c r="A2343" s="14" t="s">
        <v>9623</v>
      </c>
      <c r="B2343" s="15" t="s">
        <v>9624</v>
      </c>
      <c r="C2343" s="15" t="s">
        <v>4262</v>
      </c>
      <c r="D2343" s="15" t="s">
        <v>4263</v>
      </c>
      <c r="E2343" s="15" t="s">
        <v>9625</v>
      </c>
    </row>
    <row r="2344" spans="1:5" ht="25.5" x14ac:dyDescent="0.2">
      <c r="A2344" s="14" t="s">
        <v>9626</v>
      </c>
      <c r="B2344" s="15" t="s">
        <v>9627</v>
      </c>
      <c r="C2344" s="15" t="s">
        <v>4262</v>
      </c>
      <c r="D2344" s="15" t="s">
        <v>4263</v>
      </c>
      <c r="E2344" s="15" t="s">
        <v>9628</v>
      </c>
    </row>
    <row r="2345" spans="1:5" ht="25.5" x14ac:dyDescent="0.2">
      <c r="A2345" s="14" t="s">
        <v>9629</v>
      </c>
      <c r="B2345" s="15" t="s">
        <v>9630</v>
      </c>
      <c r="C2345" s="15" t="s">
        <v>4262</v>
      </c>
      <c r="D2345" s="15" t="s">
        <v>4263</v>
      </c>
      <c r="E2345" s="15" t="s">
        <v>9631</v>
      </c>
    </row>
    <row r="2346" spans="1:5" ht="25.5" x14ac:dyDescent="0.2">
      <c r="A2346" s="14" t="s">
        <v>9632</v>
      </c>
      <c r="B2346" s="15" t="s">
        <v>9633</v>
      </c>
      <c r="C2346" s="15" t="s">
        <v>4262</v>
      </c>
      <c r="D2346" s="15" t="s">
        <v>4263</v>
      </c>
      <c r="E2346" s="15" t="s">
        <v>9634</v>
      </c>
    </row>
    <row r="2347" spans="1:5" ht="25.5" x14ac:dyDescent="0.2">
      <c r="A2347" s="14" t="s">
        <v>9635</v>
      </c>
      <c r="B2347" s="15" t="s">
        <v>9636</v>
      </c>
      <c r="C2347" s="15" t="s">
        <v>4262</v>
      </c>
      <c r="D2347" s="15" t="s">
        <v>4263</v>
      </c>
      <c r="E2347" s="15" t="s">
        <v>9637</v>
      </c>
    </row>
    <row r="2348" spans="1:5" ht="25.5" x14ac:dyDescent="0.2">
      <c r="A2348" s="14" t="s">
        <v>9638</v>
      </c>
      <c r="B2348" s="15" t="s">
        <v>9639</v>
      </c>
      <c r="C2348" s="15" t="s">
        <v>4262</v>
      </c>
      <c r="D2348" s="15" t="s">
        <v>4263</v>
      </c>
      <c r="E2348" s="15" t="s">
        <v>9640</v>
      </c>
    </row>
    <row r="2349" spans="1:5" ht="25.5" x14ac:dyDescent="0.2">
      <c r="A2349" s="14" t="s">
        <v>9641</v>
      </c>
      <c r="B2349" s="15" t="s">
        <v>9642</v>
      </c>
      <c r="C2349" s="15" t="s">
        <v>4262</v>
      </c>
      <c r="D2349" s="15" t="s">
        <v>4263</v>
      </c>
      <c r="E2349" s="15" t="s">
        <v>9643</v>
      </c>
    </row>
    <row r="2350" spans="1:5" ht="25.5" x14ac:dyDescent="0.2">
      <c r="A2350" s="14" t="s">
        <v>9644</v>
      </c>
      <c r="B2350" s="15" t="s">
        <v>9645</v>
      </c>
      <c r="C2350" s="15" t="s">
        <v>4262</v>
      </c>
      <c r="D2350" s="15" t="s">
        <v>4263</v>
      </c>
      <c r="E2350" s="15" t="s">
        <v>9646</v>
      </c>
    </row>
    <row r="2351" spans="1:5" ht="25.5" x14ac:dyDescent="0.2">
      <c r="A2351" s="14" t="s">
        <v>9647</v>
      </c>
      <c r="B2351" s="15" t="s">
        <v>9648</v>
      </c>
      <c r="C2351" s="15" t="s">
        <v>4262</v>
      </c>
      <c r="D2351" s="15" t="s">
        <v>4263</v>
      </c>
      <c r="E2351" s="15" t="s">
        <v>9649</v>
      </c>
    </row>
    <row r="2352" spans="1:5" ht="25.5" x14ac:dyDescent="0.2">
      <c r="A2352" s="14" t="s">
        <v>9650</v>
      </c>
      <c r="B2352" s="15" t="s">
        <v>9651</v>
      </c>
      <c r="C2352" s="15" t="s">
        <v>4262</v>
      </c>
      <c r="D2352" s="15" t="s">
        <v>4263</v>
      </c>
      <c r="E2352" s="15" t="s">
        <v>9652</v>
      </c>
    </row>
    <row r="2353" spans="1:5" ht="25.5" x14ac:dyDescent="0.2">
      <c r="A2353" s="14" t="s">
        <v>9653</v>
      </c>
      <c r="B2353" s="15" t="s">
        <v>9654</v>
      </c>
      <c r="C2353" s="15" t="s">
        <v>4262</v>
      </c>
      <c r="D2353" s="15" t="s">
        <v>4263</v>
      </c>
      <c r="E2353" s="15" t="s">
        <v>9655</v>
      </c>
    </row>
    <row r="2354" spans="1:5" ht="25.5" x14ac:dyDescent="0.2">
      <c r="A2354" s="14" t="s">
        <v>9656</v>
      </c>
      <c r="B2354" s="15" t="s">
        <v>9657</v>
      </c>
      <c r="C2354" s="15" t="s">
        <v>4262</v>
      </c>
      <c r="D2354" s="15" t="s">
        <v>4263</v>
      </c>
      <c r="E2354" s="15" t="s">
        <v>9658</v>
      </c>
    </row>
    <row r="2355" spans="1:5" ht="25.5" x14ac:dyDescent="0.2">
      <c r="A2355" s="14" t="s">
        <v>9659</v>
      </c>
      <c r="B2355" s="15" t="s">
        <v>9660</v>
      </c>
      <c r="C2355" s="15" t="s">
        <v>4262</v>
      </c>
      <c r="D2355" s="15" t="s">
        <v>4263</v>
      </c>
      <c r="E2355" s="15" t="s">
        <v>9661</v>
      </c>
    </row>
    <row r="2356" spans="1:5" ht="25.5" x14ac:dyDescent="0.2">
      <c r="A2356" s="14" t="s">
        <v>9662</v>
      </c>
      <c r="B2356" s="15" t="s">
        <v>9663</v>
      </c>
      <c r="C2356" s="15" t="s">
        <v>4262</v>
      </c>
      <c r="D2356" s="15" t="s">
        <v>4263</v>
      </c>
      <c r="E2356" s="15" t="s">
        <v>9664</v>
      </c>
    </row>
    <row r="2357" spans="1:5" ht="25.5" x14ac:dyDescent="0.2">
      <c r="A2357" s="14" t="s">
        <v>9665</v>
      </c>
      <c r="B2357" s="15" t="s">
        <v>9666</v>
      </c>
      <c r="C2357" s="15" t="s">
        <v>4262</v>
      </c>
      <c r="D2357" s="15" t="s">
        <v>4263</v>
      </c>
      <c r="E2357" s="15" t="s">
        <v>9667</v>
      </c>
    </row>
    <row r="2358" spans="1:5" ht="25.5" x14ac:dyDescent="0.2">
      <c r="A2358" s="14" t="s">
        <v>9668</v>
      </c>
      <c r="B2358" s="15" t="s">
        <v>9669</v>
      </c>
      <c r="C2358" s="15" t="s">
        <v>4262</v>
      </c>
      <c r="D2358" s="15" t="s">
        <v>4263</v>
      </c>
      <c r="E2358" s="15" t="s">
        <v>9670</v>
      </c>
    </row>
    <row r="2359" spans="1:5" ht="25.5" x14ac:dyDescent="0.2">
      <c r="A2359" s="14" t="s">
        <v>9671</v>
      </c>
      <c r="B2359" s="15" t="s">
        <v>9672</v>
      </c>
      <c r="C2359" s="15" t="s">
        <v>4262</v>
      </c>
      <c r="D2359" s="15" t="s">
        <v>4263</v>
      </c>
      <c r="E2359" s="15" t="s">
        <v>9673</v>
      </c>
    </row>
    <row r="2360" spans="1:5" ht="25.5" x14ac:dyDescent="0.2">
      <c r="A2360" s="14" t="s">
        <v>9674</v>
      </c>
      <c r="B2360" s="15" t="s">
        <v>9675</v>
      </c>
      <c r="C2360" s="15" t="s">
        <v>4262</v>
      </c>
      <c r="D2360" s="15" t="s">
        <v>4263</v>
      </c>
      <c r="E2360" s="15" t="s">
        <v>9676</v>
      </c>
    </row>
    <row r="2361" spans="1:5" ht="25.5" x14ac:dyDescent="0.2">
      <c r="A2361" s="14" t="s">
        <v>9677</v>
      </c>
      <c r="B2361" s="15" t="s">
        <v>9678</v>
      </c>
      <c r="C2361" s="15" t="s">
        <v>4262</v>
      </c>
      <c r="D2361" s="15" t="s">
        <v>4263</v>
      </c>
      <c r="E2361" s="15" t="s">
        <v>9679</v>
      </c>
    </row>
    <row r="2362" spans="1:5" ht="25.5" x14ac:dyDescent="0.2">
      <c r="A2362" s="14" t="s">
        <v>9680</v>
      </c>
      <c r="B2362" s="15" t="s">
        <v>9681</v>
      </c>
      <c r="C2362" s="15" t="s">
        <v>4262</v>
      </c>
      <c r="D2362" s="15" t="s">
        <v>4263</v>
      </c>
      <c r="E2362" s="15" t="s">
        <v>9682</v>
      </c>
    </row>
    <row r="2363" spans="1:5" ht="25.5" x14ac:dyDescent="0.2">
      <c r="A2363" s="14" t="s">
        <v>9683</v>
      </c>
      <c r="B2363" s="15" t="s">
        <v>9684</v>
      </c>
      <c r="C2363" s="15" t="s">
        <v>4262</v>
      </c>
      <c r="D2363" s="15" t="s">
        <v>4263</v>
      </c>
      <c r="E2363" s="15" t="s">
        <v>9685</v>
      </c>
    </row>
    <row r="2364" spans="1:5" ht="25.5" x14ac:dyDescent="0.2">
      <c r="A2364" s="14" t="s">
        <v>9686</v>
      </c>
      <c r="B2364" s="15" t="s">
        <v>9687</v>
      </c>
      <c r="C2364" s="15" t="s">
        <v>4262</v>
      </c>
      <c r="D2364" s="15" t="s">
        <v>4263</v>
      </c>
      <c r="E2364" s="15" t="s">
        <v>9688</v>
      </c>
    </row>
    <row r="2365" spans="1:5" ht="25.5" x14ac:dyDescent="0.2">
      <c r="A2365" s="14" t="s">
        <v>9689</v>
      </c>
      <c r="B2365" s="15" t="s">
        <v>9690</v>
      </c>
      <c r="C2365" s="15" t="s">
        <v>4262</v>
      </c>
      <c r="D2365" s="15" t="s">
        <v>4263</v>
      </c>
      <c r="E2365" s="15" t="s">
        <v>9691</v>
      </c>
    </row>
    <row r="2366" spans="1:5" ht="25.5" x14ac:dyDescent="0.2">
      <c r="A2366" s="14" t="s">
        <v>9692</v>
      </c>
      <c r="B2366" s="15" t="s">
        <v>9693</v>
      </c>
      <c r="C2366" s="15" t="s">
        <v>4262</v>
      </c>
      <c r="D2366" s="15" t="s">
        <v>4263</v>
      </c>
      <c r="E2366" s="15" t="s">
        <v>9694</v>
      </c>
    </row>
    <row r="2367" spans="1:5" ht="25.5" x14ac:dyDescent="0.2">
      <c r="A2367" s="14" t="s">
        <v>9695</v>
      </c>
      <c r="B2367" s="15" t="s">
        <v>9696</v>
      </c>
      <c r="C2367" s="15" t="s">
        <v>4262</v>
      </c>
      <c r="D2367" s="15" t="s">
        <v>4263</v>
      </c>
      <c r="E2367" s="15" t="s">
        <v>9697</v>
      </c>
    </row>
    <row r="2368" spans="1:5" ht="25.5" x14ac:dyDescent="0.2">
      <c r="A2368" s="14" t="s">
        <v>9698</v>
      </c>
      <c r="B2368" s="15" t="s">
        <v>9699</v>
      </c>
      <c r="C2368" s="15" t="s">
        <v>4262</v>
      </c>
      <c r="D2368" s="15" t="s">
        <v>4263</v>
      </c>
      <c r="E2368" s="15" t="s">
        <v>9700</v>
      </c>
    </row>
    <row r="2369" spans="1:5" ht="25.5" x14ac:dyDescent="0.2">
      <c r="A2369" s="14" t="s">
        <v>9701</v>
      </c>
      <c r="B2369" s="15" t="s">
        <v>9702</v>
      </c>
      <c r="C2369" s="15" t="s">
        <v>4262</v>
      </c>
      <c r="D2369" s="15" t="s">
        <v>4263</v>
      </c>
      <c r="E2369" s="15" t="s">
        <v>9703</v>
      </c>
    </row>
    <row r="2370" spans="1:5" ht="25.5" x14ac:dyDescent="0.2">
      <c r="A2370" s="14" t="s">
        <v>9704</v>
      </c>
      <c r="B2370" s="15" t="s">
        <v>9705</v>
      </c>
      <c r="C2370" s="15" t="s">
        <v>4262</v>
      </c>
      <c r="D2370" s="15" t="s">
        <v>4263</v>
      </c>
      <c r="E2370" s="15" t="s">
        <v>9706</v>
      </c>
    </row>
    <row r="2371" spans="1:5" ht="25.5" x14ac:dyDescent="0.2">
      <c r="A2371" s="14" t="s">
        <v>9707</v>
      </c>
      <c r="B2371" s="15" t="s">
        <v>9708</v>
      </c>
      <c r="C2371" s="15" t="s">
        <v>4262</v>
      </c>
      <c r="D2371" s="15" t="s">
        <v>4263</v>
      </c>
      <c r="E2371" s="15" t="s">
        <v>9709</v>
      </c>
    </row>
    <row r="2372" spans="1:5" ht="25.5" x14ac:dyDescent="0.2">
      <c r="A2372" s="14" t="s">
        <v>9710</v>
      </c>
      <c r="B2372" s="15" t="s">
        <v>9711</v>
      </c>
      <c r="C2372" s="15" t="s">
        <v>4262</v>
      </c>
      <c r="D2372" s="15" t="s">
        <v>4263</v>
      </c>
      <c r="E2372" s="15" t="s">
        <v>9712</v>
      </c>
    </row>
    <row r="2373" spans="1:5" ht="25.5" x14ac:dyDescent="0.2">
      <c r="A2373" s="14" t="s">
        <v>9713</v>
      </c>
      <c r="B2373" s="15" t="s">
        <v>9714</v>
      </c>
      <c r="C2373" s="15" t="s">
        <v>4262</v>
      </c>
      <c r="D2373" s="15" t="s">
        <v>4263</v>
      </c>
      <c r="E2373" s="15" t="s">
        <v>9715</v>
      </c>
    </row>
    <row r="2374" spans="1:5" ht="25.5" x14ac:dyDescent="0.2">
      <c r="A2374" s="14" t="s">
        <v>9716</v>
      </c>
      <c r="B2374" s="15" t="s">
        <v>9717</v>
      </c>
      <c r="C2374" s="15" t="s">
        <v>4262</v>
      </c>
      <c r="D2374" s="15" t="s">
        <v>4263</v>
      </c>
      <c r="E2374" s="15" t="s">
        <v>9718</v>
      </c>
    </row>
    <row r="2375" spans="1:5" ht="25.5" x14ac:dyDescent="0.2">
      <c r="A2375" s="14" t="s">
        <v>9719</v>
      </c>
      <c r="B2375" s="15" t="s">
        <v>9720</v>
      </c>
      <c r="C2375" s="15" t="s">
        <v>4262</v>
      </c>
      <c r="D2375" s="15" t="s">
        <v>4263</v>
      </c>
      <c r="E2375" s="15" t="s">
        <v>9721</v>
      </c>
    </row>
    <row r="2376" spans="1:5" ht="25.5" x14ac:dyDescent="0.2">
      <c r="A2376" s="14" t="s">
        <v>9722</v>
      </c>
      <c r="B2376" s="15" t="s">
        <v>9723</v>
      </c>
      <c r="C2376" s="15" t="s">
        <v>4262</v>
      </c>
      <c r="D2376" s="15" t="s">
        <v>4263</v>
      </c>
      <c r="E2376" s="15" t="s">
        <v>9724</v>
      </c>
    </row>
    <row r="2377" spans="1:5" ht="25.5" x14ac:dyDescent="0.2">
      <c r="A2377" s="14" t="s">
        <v>9725</v>
      </c>
      <c r="B2377" s="15" t="s">
        <v>9726</v>
      </c>
      <c r="C2377" s="15" t="s">
        <v>4262</v>
      </c>
      <c r="D2377" s="15" t="s">
        <v>4263</v>
      </c>
      <c r="E2377" s="15" t="s">
        <v>9727</v>
      </c>
    </row>
    <row r="2378" spans="1:5" ht="25.5" x14ac:dyDescent="0.2">
      <c r="A2378" s="14" t="s">
        <v>9728</v>
      </c>
      <c r="B2378" s="15" t="s">
        <v>9729</v>
      </c>
      <c r="C2378" s="15" t="s">
        <v>4262</v>
      </c>
      <c r="D2378" s="15" t="s">
        <v>4263</v>
      </c>
      <c r="E2378" s="15" t="s">
        <v>9730</v>
      </c>
    </row>
    <row r="2379" spans="1:5" ht="25.5" x14ac:dyDescent="0.2">
      <c r="A2379" s="14" t="s">
        <v>9731</v>
      </c>
      <c r="B2379" s="15" t="s">
        <v>9732</v>
      </c>
      <c r="C2379" s="15" t="s">
        <v>4262</v>
      </c>
      <c r="D2379" s="15" t="s">
        <v>4263</v>
      </c>
      <c r="E2379" s="15" t="s">
        <v>9733</v>
      </c>
    </row>
    <row r="2380" spans="1:5" ht="25.5" x14ac:dyDescent="0.2">
      <c r="A2380" s="14" t="s">
        <v>9734</v>
      </c>
      <c r="B2380" s="15" t="s">
        <v>9735</v>
      </c>
      <c r="C2380" s="15" t="s">
        <v>4262</v>
      </c>
      <c r="D2380" s="15" t="s">
        <v>4263</v>
      </c>
      <c r="E2380" s="15" t="s">
        <v>9736</v>
      </c>
    </row>
    <row r="2381" spans="1:5" ht="25.5" x14ac:dyDescent="0.2">
      <c r="A2381" s="14" t="s">
        <v>9737</v>
      </c>
      <c r="B2381" s="15" t="s">
        <v>9738</v>
      </c>
      <c r="C2381" s="15" t="s">
        <v>4262</v>
      </c>
      <c r="D2381" s="15" t="s">
        <v>4263</v>
      </c>
      <c r="E2381" s="15" t="s">
        <v>9739</v>
      </c>
    </row>
    <row r="2382" spans="1:5" ht="25.5" x14ac:dyDescent="0.2">
      <c r="A2382" s="14" t="s">
        <v>9740</v>
      </c>
      <c r="B2382" s="15" t="s">
        <v>9741</v>
      </c>
      <c r="C2382" s="15" t="s">
        <v>4104</v>
      </c>
      <c r="D2382" s="15" t="s">
        <v>4105</v>
      </c>
      <c r="E2382" s="15" t="s">
        <v>9742</v>
      </c>
    </row>
    <row r="2383" spans="1:5" ht="25.5" x14ac:dyDescent="0.2">
      <c r="A2383" s="14" t="s">
        <v>9743</v>
      </c>
      <c r="B2383" s="15" t="s">
        <v>389</v>
      </c>
      <c r="C2383" s="15" t="s">
        <v>9744</v>
      </c>
      <c r="D2383" s="15" t="s">
        <v>9745</v>
      </c>
      <c r="E2383" s="15" t="s">
        <v>9746</v>
      </c>
    </row>
    <row r="2384" spans="1:5" ht="25.5" x14ac:dyDescent="0.2">
      <c r="A2384" s="14" t="s">
        <v>9747</v>
      </c>
      <c r="B2384" s="15" t="s">
        <v>402</v>
      </c>
      <c r="C2384" s="15" t="s">
        <v>9744</v>
      </c>
      <c r="D2384" s="15" t="s">
        <v>9745</v>
      </c>
      <c r="E2384" s="15" t="s">
        <v>9748</v>
      </c>
    </row>
    <row r="2385" spans="1:5" ht="25.5" x14ac:dyDescent="0.2">
      <c r="A2385" s="14" t="s">
        <v>9749</v>
      </c>
      <c r="B2385" s="15" t="s">
        <v>1228</v>
      </c>
      <c r="C2385" s="15" t="s">
        <v>9744</v>
      </c>
      <c r="D2385" s="15" t="s">
        <v>9745</v>
      </c>
      <c r="E2385" s="15" t="s">
        <v>9750</v>
      </c>
    </row>
    <row r="2386" spans="1:5" ht="25.5" x14ac:dyDescent="0.2">
      <c r="A2386" s="14" t="s">
        <v>9751</v>
      </c>
      <c r="B2386" s="15" t="s">
        <v>9752</v>
      </c>
      <c r="C2386" s="15" t="s">
        <v>4262</v>
      </c>
      <c r="D2386" s="15" t="s">
        <v>4263</v>
      </c>
      <c r="E2386" s="15" t="s">
        <v>9753</v>
      </c>
    </row>
    <row r="2387" spans="1:5" ht="25.5" x14ac:dyDescent="0.2">
      <c r="A2387" s="14" t="s">
        <v>9754</v>
      </c>
      <c r="B2387" s="15" t="s">
        <v>9755</v>
      </c>
      <c r="C2387" s="15" t="s">
        <v>4262</v>
      </c>
      <c r="D2387" s="15" t="s">
        <v>4263</v>
      </c>
      <c r="E2387" s="15" t="s">
        <v>9756</v>
      </c>
    </row>
    <row r="2388" spans="1:5" ht="25.5" x14ac:dyDescent="0.2">
      <c r="A2388" s="14" t="s">
        <v>9757</v>
      </c>
      <c r="B2388" s="15" t="s">
        <v>9758</v>
      </c>
      <c r="C2388" s="15" t="s">
        <v>4262</v>
      </c>
      <c r="D2388" s="15" t="s">
        <v>4263</v>
      </c>
      <c r="E2388" s="15" t="s">
        <v>9759</v>
      </c>
    </row>
    <row r="2389" spans="1:5" ht="25.5" x14ac:dyDescent="0.2">
      <c r="A2389" s="14" t="s">
        <v>9760</v>
      </c>
      <c r="B2389" s="15" t="s">
        <v>9761</v>
      </c>
      <c r="C2389" s="15" t="s">
        <v>4262</v>
      </c>
      <c r="D2389" s="15" t="s">
        <v>4263</v>
      </c>
      <c r="E2389" s="15" t="s">
        <v>9762</v>
      </c>
    </row>
    <row r="2390" spans="1:5" ht="25.5" x14ac:dyDescent="0.2">
      <c r="A2390" s="14" t="s">
        <v>9763</v>
      </c>
      <c r="B2390" s="15" t="s">
        <v>9764</v>
      </c>
      <c r="C2390" s="15" t="s">
        <v>4262</v>
      </c>
      <c r="D2390" s="15" t="s">
        <v>4263</v>
      </c>
      <c r="E2390" s="15" t="s">
        <v>9765</v>
      </c>
    </row>
    <row r="2391" spans="1:5" ht="25.5" x14ac:dyDescent="0.2">
      <c r="A2391" s="14" t="s">
        <v>9766</v>
      </c>
      <c r="B2391" s="15" t="s">
        <v>9767</v>
      </c>
      <c r="C2391" s="15" t="s">
        <v>8663</v>
      </c>
      <c r="D2391" s="15" t="s">
        <v>8664</v>
      </c>
      <c r="E2391" s="15" t="s">
        <v>9768</v>
      </c>
    </row>
    <row r="2392" spans="1:5" ht="25.5" x14ac:dyDescent="0.2">
      <c r="A2392" s="14" t="s">
        <v>9769</v>
      </c>
      <c r="B2392" s="15" t="s">
        <v>804</v>
      </c>
      <c r="C2392" s="15" t="s">
        <v>3318</v>
      </c>
      <c r="D2392" s="15" t="s">
        <v>3319</v>
      </c>
      <c r="E2392" s="15" t="s">
        <v>9770</v>
      </c>
    </row>
    <row r="2393" spans="1:5" ht="25.5" x14ac:dyDescent="0.2">
      <c r="A2393" s="14" t="s">
        <v>9771</v>
      </c>
      <c r="B2393" s="15" t="s">
        <v>805</v>
      </c>
      <c r="C2393" s="15" t="s">
        <v>3318</v>
      </c>
      <c r="D2393" s="15" t="s">
        <v>3319</v>
      </c>
      <c r="E2393" s="15" t="s">
        <v>9772</v>
      </c>
    </row>
    <row r="2394" spans="1:5" ht="25.5" x14ac:dyDescent="0.2">
      <c r="A2394" s="14" t="s">
        <v>9773</v>
      </c>
      <c r="B2394" s="15" t="s">
        <v>9774</v>
      </c>
      <c r="C2394" s="15" t="s">
        <v>9775</v>
      </c>
      <c r="D2394" s="15" t="s">
        <v>9776</v>
      </c>
      <c r="E2394" s="15" t="s">
        <v>9777</v>
      </c>
    </row>
    <row r="2395" spans="1:5" ht="25.5" x14ac:dyDescent="0.2">
      <c r="A2395" s="14" t="s">
        <v>9778</v>
      </c>
      <c r="B2395" s="15" t="s">
        <v>9779</v>
      </c>
      <c r="C2395" s="15" t="s">
        <v>4294</v>
      </c>
      <c r="D2395" s="15" t="s">
        <v>4295</v>
      </c>
      <c r="E2395" s="15" t="s">
        <v>9780</v>
      </c>
    </row>
    <row r="2396" spans="1:5" ht="25.5" x14ac:dyDescent="0.2">
      <c r="A2396" s="14" t="s">
        <v>9781</v>
      </c>
      <c r="B2396" s="15" t="s">
        <v>288</v>
      </c>
      <c r="C2396" s="15" t="s">
        <v>9608</v>
      </c>
      <c r="D2396" s="15" t="s">
        <v>9609</v>
      </c>
      <c r="E2396" s="15" t="s">
        <v>9782</v>
      </c>
    </row>
    <row r="2397" spans="1:5" ht="25.5" x14ac:dyDescent="0.2">
      <c r="A2397" s="14" t="s">
        <v>9783</v>
      </c>
      <c r="B2397" s="15" t="s">
        <v>999</v>
      </c>
      <c r="C2397" s="15" t="s">
        <v>9608</v>
      </c>
      <c r="D2397" s="15" t="s">
        <v>9609</v>
      </c>
      <c r="E2397" s="15" t="s">
        <v>9784</v>
      </c>
    </row>
    <row r="2398" spans="1:5" ht="25.5" x14ac:dyDescent="0.2">
      <c r="A2398" s="14" t="s">
        <v>9785</v>
      </c>
      <c r="B2398" s="15" t="s">
        <v>429</v>
      </c>
      <c r="C2398" s="15" t="s">
        <v>9608</v>
      </c>
      <c r="D2398" s="15" t="s">
        <v>9609</v>
      </c>
      <c r="E2398" s="15" t="s">
        <v>9786</v>
      </c>
    </row>
    <row r="2399" spans="1:5" ht="25.5" x14ac:dyDescent="0.2">
      <c r="A2399" s="14" t="s">
        <v>9787</v>
      </c>
      <c r="B2399" s="15" t="s">
        <v>222</v>
      </c>
      <c r="C2399" s="15" t="s">
        <v>9608</v>
      </c>
      <c r="D2399" s="15" t="s">
        <v>9609</v>
      </c>
      <c r="E2399" s="15" t="s">
        <v>9788</v>
      </c>
    </row>
    <row r="2400" spans="1:5" ht="25.5" x14ac:dyDescent="0.2">
      <c r="A2400" s="14" t="s">
        <v>9789</v>
      </c>
      <c r="B2400" s="15" t="s">
        <v>9790</v>
      </c>
      <c r="C2400" s="15" t="s">
        <v>4262</v>
      </c>
      <c r="D2400" s="15" t="s">
        <v>4263</v>
      </c>
      <c r="E2400" s="15" t="s">
        <v>9791</v>
      </c>
    </row>
    <row r="2401" spans="1:5" ht="38.25" x14ac:dyDescent="0.2">
      <c r="A2401" s="14" t="s">
        <v>9792</v>
      </c>
      <c r="B2401" s="15" t="s">
        <v>9793</v>
      </c>
      <c r="C2401" s="15" t="s">
        <v>4262</v>
      </c>
      <c r="D2401" s="15" t="s">
        <v>4263</v>
      </c>
      <c r="E2401" s="15" t="s">
        <v>9794</v>
      </c>
    </row>
    <row r="2402" spans="1:5" ht="38.25" x14ac:dyDescent="0.2">
      <c r="A2402" s="14" t="s">
        <v>9795</v>
      </c>
      <c r="B2402" s="15" t="s">
        <v>9796</v>
      </c>
      <c r="C2402" s="15" t="s">
        <v>4262</v>
      </c>
      <c r="D2402" s="15" t="s">
        <v>4263</v>
      </c>
      <c r="E2402" s="15" t="s">
        <v>9797</v>
      </c>
    </row>
    <row r="2403" spans="1:5" ht="38.25" x14ac:dyDescent="0.2">
      <c r="A2403" s="14" t="s">
        <v>9798</v>
      </c>
      <c r="B2403" s="15" t="s">
        <v>9799</v>
      </c>
      <c r="C2403" s="15" t="s">
        <v>4262</v>
      </c>
      <c r="D2403" s="15" t="s">
        <v>4263</v>
      </c>
      <c r="E2403" s="15" t="s">
        <v>9800</v>
      </c>
    </row>
    <row r="2404" spans="1:5" ht="38.25" x14ac:dyDescent="0.2">
      <c r="A2404" s="14" t="s">
        <v>9801</v>
      </c>
      <c r="B2404" s="15" t="s">
        <v>9802</v>
      </c>
      <c r="C2404" s="15" t="s">
        <v>4262</v>
      </c>
      <c r="D2404" s="15" t="s">
        <v>4263</v>
      </c>
      <c r="E2404" s="15" t="s">
        <v>9803</v>
      </c>
    </row>
    <row r="2405" spans="1:5" ht="38.25" x14ac:dyDescent="0.2">
      <c r="A2405" s="14" t="s">
        <v>9804</v>
      </c>
      <c r="B2405" s="15" t="s">
        <v>9805</v>
      </c>
      <c r="C2405" s="15" t="s">
        <v>4262</v>
      </c>
      <c r="D2405" s="15" t="s">
        <v>4263</v>
      </c>
      <c r="E2405" s="15" t="s">
        <v>9806</v>
      </c>
    </row>
    <row r="2406" spans="1:5" ht="38.25" x14ac:dyDescent="0.2">
      <c r="A2406" s="14" t="s">
        <v>9807</v>
      </c>
      <c r="B2406" s="15" t="s">
        <v>9808</v>
      </c>
      <c r="C2406" s="15" t="s">
        <v>4262</v>
      </c>
      <c r="D2406" s="15" t="s">
        <v>4263</v>
      </c>
      <c r="E2406" s="15" t="s">
        <v>9809</v>
      </c>
    </row>
    <row r="2407" spans="1:5" ht="38.25" x14ac:dyDescent="0.2">
      <c r="A2407" s="14" t="s">
        <v>9810</v>
      </c>
      <c r="B2407" s="15" t="s">
        <v>9811</v>
      </c>
      <c r="C2407" s="15" t="s">
        <v>4262</v>
      </c>
      <c r="D2407" s="15" t="s">
        <v>4263</v>
      </c>
      <c r="E2407" s="15" t="s">
        <v>9812</v>
      </c>
    </row>
    <row r="2408" spans="1:5" ht="38.25" x14ac:dyDescent="0.2">
      <c r="A2408" s="14" t="s">
        <v>9813</v>
      </c>
      <c r="B2408" s="15" t="s">
        <v>9814</v>
      </c>
      <c r="C2408" s="15" t="s">
        <v>4262</v>
      </c>
      <c r="D2408" s="15" t="s">
        <v>4263</v>
      </c>
      <c r="E2408" s="15" t="s">
        <v>9815</v>
      </c>
    </row>
    <row r="2409" spans="1:5" ht="25.5" x14ac:dyDescent="0.2">
      <c r="A2409" s="14" t="s">
        <v>9816</v>
      </c>
      <c r="B2409" s="15" t="s">
        <v>9817</v>
      </c>
      <c r="C2409" s="15" t="s">
        <v>4104</v>
      </c>
      <c r="D2409" s="15" t="s">
        <v>4105</v>
      </c>
      <c r="E2409" s="15" t="s">
        <v>9818</v>
      </c>
    </row>
    <row r="2410" spans="1:5" ht="25.5" x14ac:dyDescent="0.2">
      <c r="A2410" s="14" t="s">
        <v>9819</v>
      </c>
      <c r="B2410" s="15" t="s">
        <v>436</v>
      </c>
      <c r="C2410" s="15" t="s">
        <v>5207</v>
      </c>
      <c r="D2410" s="15" t="s">
        <v>5208</v>
      </c>
      <c r="E2410" s="15" t="s">
        <v>9820</v>
      </c>
    </row>
    <row r="2411" spans="1:5" ht="25.5" x14ac:dyDescent="0.2">
      <c r="A2411" s="14" t="s">
        <v>9821</v>
      </c>
      <c r="B2411" s="15" t="s">
        <v>614</v>
      </c>
      <c r="C2411" s="15" t="s">
        <v>4226</v>
      </c>
      <c r="D2411" s="15" t="s">
        <v>4227</v>
      </c>
      <c r="E2411" s="15" t="s">
        <v>9822</v>
      </c>
    </row>
    <row r="2412" spans="1:5" ht="25.5" x14ac:dyDescent="0.2">
      <c r="A2412" s="14" t="s">
        <v>9823</v>
      </c>
      <c r="B2412" s="15" t="s">
        <v>9824</v>
      </c>
      <c r="C2412" s="15" t="s">
        <v>4226</v>
      </c>
      <c r="D2412" s="15" t="s">
        <v>4227</v>
      </c>
      <c r="E2412" s="15" t="s">
        <v>9825</v>
      </c>
    </row>
    <row r="2413" spans="1:5" ht="25.5" x14ac:dyDescent="0.2">
      <c r="A2413" s="14" t="s">
        <v>9826</v>
      </c>
      <c r="B2413" s="15" t="s">
        <v>9827</v>
      </c>
      <c r="C2413" s="15" t="s">
        <v>4226</v>
      </c>
      <c r="D2413" s="15" t="s">
        <v>4227</v>
      </c>
      <c r="E2413" s="15" t="s">
        <v>9828</v>
      </c>
    </row>
    <row r="2414" spans="1:5" ht="25.5" x14ac:dyDescent="0.2">
      <c r="A2414" s="14" t="s">
        <v>9829</v>
      </c>
      <c r="B2414" s="15" t="s">
        <v>200</v>
      </c>
      <c r="C2414" s="15" t="s">
        <v>4226</v>
      </c>
      <c r="D2414" s="15" t="s">
        <v>4227</v>
      </c>
      <c r="E2414" s="15" t="s">
        <v>9830</v>
      </c>
    </row>
    <row r="2415" spans="1:5" ht="25.5" x14ac:dyDescent="0.2">
      <c r="A2415" s="14" t="s">
        <v>9831</v>
      </c>
      <c r="B2415" s="15" t="s">
        <v>127</v>
      </c>
      <c r="C2415" s="15" t="s">
        <v>4226</v>
      </c>
      <c r="D2415" s="15" t="s">
        <v>4227</v>
      </c>
      <c r="E2415" s="15" t="s">
        <v>9832</v>
      </c>
    </row>
    <row r="2416" spans="1:5" ht="25.5" x14ac:dyDescent="0.2">
      <c r="A2416" s="14" t="s">
        <v>9833</v>
      </c>
      <c r="B2416" s="15" t="s">
        <v>9834</v>
      </c>
      <c r="C2416" s="15" t="s">
        <v>5231</v>
      </c>
      <c r="D2416" s="15" t="s">
        <v>5232</v>
      </c>
      <c r="E2416" s="15" t="s">
        <v>9835</v>
      </c>
    </row>
    <row r="2417" spans="1:5" ht="25.5" x14ac:dyDescent="0.2">
      <c r="A2417" s="14" t="s">
        <v>9836</v>
      </c>
      <c r="B2417" s="15" t="s">
        <v>542</v>
      </c>
      <c r="C2417" s="15" t="s">
        <v>4273</v>
      </c>
      <c r="D2417" s="15" t="s">
        <v>4274</v>
      </c>
      <c r="E2417" s="15" t="s">
        <v>9837</v>
      </c>
    </row>
    <row r="2418" spans="1:5" ht="25.5" x14ac:dyDescent="0.2">
      <c r="A2418" s="14" t="s">
        <v>9838</v>
      </c>
      <c r="B2418" s="15" t="s">
        <v>9839</v>
      </c>
      <c r="C2418" s="15" t="s">
        <v>3328</v>
      </c>
      <c r="D2418" s="15" t="s">
        <v>3329</v>
      </c>
      <c r="E2418" s="15" t="s">
        <v>9840</v>
      </c>
    </row>
    <row r="2419" spans="1:5" ht="25.5" x14ac:dyDescent="0.2">
      <c r="A2419" s="14" t="s">
        <v>9841</v>
      </c>
      <c r="B2419" s="15" t="s">
        <v>9842</v>
      </c>
      <c r="C2419" s="15" t="s">
        <v>5498</v>
      </c>
      <c r="D2419" s="15" t="s">
        <v>5499</v>
      </c>
      <c r="E2419" s="15" t="s">
        <v>9843</v>
      </c>
    </row>
    <row r="2420" spans="1:5" ht="25.5" x14ac:dyDescent="0.2">
      <c r="A2420" s="14" t="s">
        <v>9844</v>
      </c>
      <c r="B2420" s="15" t="s">
        <v>9845</v>
      </c>
      <c r="C2420" s="15" t="s">
        <v>3318</v>
      </c>
      <c r="D2420" s="15" t="s">
        <v>3319</v>
      </c>
      <c r="E2420" s="15" t="s">
        <v>9846</v>
      </c>
    </row>
    <row r="2421" spans="1:5" ht="25.5" x14ac:dyDescent="0.2">
      <c r="A2421" s="14" t="s">
        <v>9847</v>
      </c>
      <c r="B2421" s="15" t="s">
        <v>9848</v>
      </c>
      <c r="C2421" s="15" t="s">
        <v>6179</v>
      </c>
      <c r="D2421" s="15" t="s">
        <v>6180</v>
      </c>
      <c r="E2421" s="15" t="s">
        <v>9849</v>
      </c>
    </row>
    <row r="2422" spans="1:5" ht="25.5" x14ac:dyDescent="0.2">
      <c r="A2422" s="14" t="s">
        <v>9850</v>
      </c>
      <c r="B2422" s="15" t="s">
        <v>1481</v>
      </c>
      <c r="C2422" s="15" t="s">
        <v>6179</v>
      </c>
      <c r="D2422" s="15" t="s">
        <v>6180</v>
      </c>
      <c r="E2422" s="15" t="s">
        <v>9851</v>
      </c>
    </row>
    <row r="2423" spans="1:5" ht="25.5" x14ac:dyDescent="0.2">
      <c r="A2423" s="14" t="s">
        <v>9852</v>
      </c>
      <c r="B2423" s="15" t="s">
        <v>9853</v>
      </c>
      <c r="C2423" s="15" t="s">
        <v>6179</v>
      </c>
      <c r="D2423" s="15" t="s">
        <v>6180</v>
      </c>
      <c r="E2423" s="15" t="s">
        <v>9854</v>
      </c>
    </row>
    <row r="2424" spans="1:5" ht="25.5" x14ac:dyDescent="0.2">
      <c r="A2424" s="14" t="s">
        <v>9855</v>
      </c>
      <c r="B2424" s="15" t="s">
        <v>479</v>
      </c>
      <c r="C2424" s="15" t="s">
        <v>4273</v>
      </c>
      <c r="D2424" s="15" t="s">
        <v>4274</v>
      </c>
      <c r="E2424" s="15" t="s">
        <v>9856</v>
      </c>
    </row>
    <row r="2425" spans="1:5" ht="25.5" x14ac:dyDescent="0.2">
      <c r="A2425" s="14" t="s">
        <v>9857</v>
      </c>
      <c r="B2425" s="15" t="s">
        <v>902</v>
      </c>
      <c r="C2425" s="15" t="s">
        <v>9858</v>
      </c>
      <c r="D2425" s="15" t="s">
        <v>9859</v>
      </c>
      <c r="E2425" s="15" t="s">
        <v>9860</v>
      </c>
    </row>
    <row r="2426" spans="1:5" ht="25.5" x14ac:dyDescent="0.2">
      <c r="A2426" s="14" t="s">
        <v>9861</v>
      </c>
      <c r="B2426" s="15" t="s">
        <v>692</v>
      </c>
      <c r="C2426" s="15" t="s">
        <v>5231</v>
      </c>
      <c r="D2426" s="15" t="s">
        <v>5232</v>
      </c>
      <c r="E2426" s="15" t="s">
        <v>9862</v>
      </c>
    </row>
    <row r="2427" spans="1:5" ht="25.5" x14ac:dyDescent="0.2">
      <c r="A2427" s="14" t="s">
        <v>9863</v>
      </c>
      <c r="B2427" s="15" t="s">
        <v>1133</v>
      </c>
      <c r="C2427" s="15" t="s">
        <v>5231</v>
      </c>
      <c r="D2427" s="15" t="s">
        <v>5232</v>
      </c>
      <c r="E2427" s="15" t="s">
        <v>9864</v>
      </c>
    </row>
    <row r="2428" spans="1:5" ht="25.5" x14ac:dyDescent="0.2">
      <c r="A2428" s="14" t="s">
        <v>9865</v>
      </c>
      <c r="B2428" s="15" t="s">
        <v>9866</v>
      </c>
      <c r="C2428" s="15" t="s">
        <v>3370</v>
      </c>
      <c r="D2428" s="15" t="s">
        <v>3371</v>
      </c>
      <c r="E2428" s="15" t="s">
        <v>9867</v>
      </c>
    </row>
    <row r="2429" spans="1:5" ht="25.5" x14ac:dyDescent="0.2">
      <c r="A2429" s="14" t="s">
        <v>9868</v>
      </c>
      <c r="B2429" s="15" t="s">
        <v>9869</v>
      </c>
      <c r="C2429" s="15" t="s">
        <v>5231</v>
      </c>
      <c r="D2429" s="15" t="s">
        <v>5232</v>
      </c>
      <c r="E2429" s="15" t="s">
        <v>9870</v>
      </c>
    </row>
    <row r="2430" spans="1:5" ht="25.5" x14ac:dyDescent="0.2">
      <c r="A2430" s="14" t="s">
        <v>9871</v>
      </c>
      <c r="B2430" s="15" t="s">
        <v>9872</v>
      </c>
      <c r="C2430" s="15" t="s">
        <v>3370</v>
      </c>
      <c r="D2430" s="15" t="s">
        <v>3371</v>
      </c>
      <c r="E2430" s="15" t="s">
        <v>9873</v>
      </c>
    </row>
    <row r="2431" spans="1:5" ht="25.5" x14ac:dyDescent="0.2">
      <c r="A2431" s="14" t="s">
        <v>9874</v>
      </c>
      <c r="B2431" s="15" t="s">
        <v>711</v>
      </c>
      <c r="C2431" s="15" t="s">
        <v>4800</v>
      </c>
      <c r="D2431" s="15" t="s">
        <v>4801</v>
      </c>
      <c r="E2431" s="15" t="s">
        <v>9875</v>
      </c>
    </row>
    <row r="2432" spans="1:5" ht="25.5" x14ac:dyDescent="0.2">
      <c r="A2432" s="14" t="s">
        <v>9876</v>
      </c>
      <c r="B2432" s="15" t="s">
        <v>9877</v>
      </c>
      <c r="C2432" s="15" t="s">
        <v>5202</v>
      </c>
      <c r="D2432" s="15" t="s">
        <v>5203</v>
      </c>
      <c r="E2432" s="15" t="s">
        <v>9878</v>
      </c>
    </row>
    <row r="2433" spans="1:5" ht="25.5" x14ac:dyDescent="0.2">
      <c r="A2433" s="14" t="s">
        <v>9879</v>
      </c>
      <c r="B2433" s="15" t="s">
        <v>9880</v>
      </c>
      <c r="C2433" s="15" t="s">
        <v>5202</v>
      </c>
      <c r="D2433" s="15" t="s">
        <v>5203</v>
      </c>
      <c r="E2433" s="15" t="s">
        <v>9881</v>
      </c>
    </row>
    <row r="2434" spans="1:5" ht="25.5" x14ac:dyDescent="0.2">
      <c r="A2434" s="14" t="s">
        <v>9882</v>
      </c>
      <c r="B2434" s="15" t="s">
        <v>9883</v>
      </c>
      <c r="C2434" s="15" t="s">
        <v>9884</v>
      </c>
      <c r="D2434" s="15" t="s">
        <v>9885</v>
      </c>
      <c r="E2434" s="15" t="s">
        <v>9886</v>
      </c>
    </row>
    <row r="2435" spans="1:5" ht="25.5" x14ac:dyDescent="0.2">
      <c r="A2435" s="14" t="s">
        <v>9887</v>
      </c>
      <c r="B2435" s="15" t="s">
        <v>9888</v>
      </c>
      <c r="C2435" s="15" t="s">
        <v>9889</v>
      </c>
      <c r="D2435" s="15" t="s">
        <v>9890</v>
      </c>
      <c r="E2435" s="15" t="s">
        <v>9891</v>
      </c>
    </row>
    <row r="2436" spans="1:5" ht="25.5" x14ac:dyDescent="0.2">
      <c r="A2436" s="14" t="s">
        <v>9892</v>
      </c>
      <c r="B2436" s="15" t="s">
        <v>229</v>
      </c>
      <c r="C2436" s="15" t="s">
        <v>5395</v>
      </c>
      <c r="D2436" s="15" t="s">
        <v>5396</v>
      </c>
      <c r="E2436" s="15" t="s">
        <v>9893</v>
      </c>
    </row>
    <row r="2437" spans="1:5" ht="25.5" x14ac:dyDescent="0.2">
      <c r="A2437" s="14" t="s">
        <v>9894</v>
      </c>
      <c r="B2437" s="15" t="s">
        <v>9895</v>
      </c>
      <c r="C2437" s="15" t="s">
        <v>4104</v>
      </c>
      <c r="D2437" s="15" t="s">
        <v>4105</v>
      </c>
      <c r="E2437" s="15" t="s">
        <v>9896</v>
      </c>
    </row>
    <row r="2438" spans="1:5" ht="25.5" x14ac:dyDescent="0.2">
      <c r="A2438" s="14" t="s">
        <v>9897</v>
      </c>
      <c r="B2438" s="15" t="s">
        <v>9898</v>
      </c>
      <c r="C2438" s="15" t="s">
        <v>3318</v>
      </c>
      <c r="D2438" s="15" t="s">
        <v>3319</v>
      </c>
      <c r="E2438" s="15" t="s">
        <v>9899</v>
      </c>
    </row>
    <row r="2439" spans="1:5" ht="25.5" x14ac:dyDescent="0.2">
      <c r="A2439" s="14" t="s">
        <v>9900</v>
      </c>
      <c r="B2439" s="15" t="s">
        <v>9901</v>
      </c>
      <c r="C2439" s="15" t="s">
        <v>4104</v>
      </c>
      <c r="D2439" s="15" t="s">
        <v>4105</v>
      </c>
      <c r="E2439" s="15" t="s">
        <v>9902</v>
      </c>
    </row>
    <row r="2440" spans="1:5" ht="25.5" x14ac:dyDescent="0.2">
      <c r="A2440" s="14" t="s">
        <v>9903</v>
      </c>
      <c r="B2440" s="15" t="s">
        <v>9904</v>
      </c>
      <c r="C2440" s="15" t="s">
        <v>4104</v>
      </c>
      <c r="D2440" s="15" t="s">
        <v>4105</v>
      </c>
      <c r="E2440" s="15" t="s">
        <v>9905</v>
      </c>
    </row>
    <row r="2441" spans="1:5" ht="25.5" x14ac:dyDescent="0.2">
      <c r="A2441" s="14" t="s">
        <v>9906</v>
      </c>
      <c r="B2441" s="15" t="s">
        <v>9907</v>
      </c>
      <c r="C2441" s="15" t="s">
        <v>3339</v>
      </c>
      <c r="D2441" s="15" t="s">
        <v>3340</v>
      </c>
      <c r="E2441" s="15" t="s">
        <v>9908</v>
      </c>
    </row>
    <row r="2442" spans="1:5" ht="25.5" x14ac:dyDescent="0.2">
      <c r="A2442" s="14" t="s">
        <v>9909</v>
      </c>
      <c r="B2442" s="15" t="s">
        <v>9910</v>
      </c>
      <c r="C2442" s="15" t="s">
        <v>5207</v>
      </c>
      <c r="D2442" s="15" t="s">
        <v>5208</v>
      </c>
      <c r="E2442" s="15" t="s">
        <v>9911</v>
      </c>
    </row>
    <row r="2443" spans="1:5" ht="25.5" x14ac:dyDescent="0.2">
      <c r="A2443" s="14" t="s">
        <v>9912</v>
      </c>
      <c r="B2443" s="15" t="s">
        <v>9913</v>
      </c>
      <c r="C2443" s="15" t="s">
        <v>4175</v>
      </c>
      <c r="D2443" s="15" t="s">
        <v>4176</v>
      </c>
      <c r="E2443" s="15" t="s">
        <v>9914</v>
      </c>
    </row>
    <row r="2444" spans="1:5" ht="25.5" x14ac:dyDescent="0.2">
      <c r="A2444" s="14" t="s">
        <v>9915</v>
      </c>
      <c r="B2444" s="15" t="s">
        <v>423</v>
      </c>
      <c r="C2444" s="15" t="s">
        <v>4764</v>
      </c>
      <c r="D2444" s="15" t="s">
        <v>4765</v>
      </c>
      <c r="E2444" s="15" t="s">
        <v>9916</v>
      </c>
    </row>
    <row r="2445" spans="1:5" ht="25.5" x14ac:dyDescent="0.2">
      <c r="A2445" s="14" t="s">
        <v>9917</v>
      </c>
      <c r="B2445" s="15" t="s">
        <v>9918</v>
      </c>
      <c r="C2445" s="15" t="s">
        <v>9919</v>
      </c>
      <c r="D2445" s="15" t="s">
        <v>9920</v>
      </c>
      <c r="E2445" s="15" t="s">
        <v>9921</v>
      </c>
    </row>
    <row r="2446" spans="1:5" ht="38.25" x14ac:dyDescent="0.2">
      <c r="A2446" s="14" t="s">
        <v>9922</v>
      </c>
      <c r="B2446" s="15" t="s">
        <v>9923</v>
      </c>
      <c r="C2446" s="15" t="s">
        <v>4055</v>
      </c>
      <c r="D2446" s="15" t="s">
        <v>4056</v>
      </c>
      <c r="E2446" s="15" t="s">
        <v>9924</v>
      </c>
    </row>
    <row r="2447" spans="1:5" ht="38.25" x14ac:dyDescent="0.2">
      <c r="A2447" s="14" t="s">
        <v>9925</v>
      </c>
      <c r="B2447" s="15" t="s">
        <v>9926</v>
      </c>
      <c r="C2447" s="15" t="s">
        <v>5409</v>
      </c>
      <c r="D2447" s="15" t="s">
        <v>5410</v>
      </c>
      <c r="E2447" s="15" t="s">
        <v>9927</v>
      </c>
    </row>
    <row r="2448" spans="1:5" ht="25.5" x14ac:dyDescent="0.2">
      <c r="A2448" s="14" t="s">
        <v>9928</v>
      </c>
      <c r="B2448" s="15" t="s">
        <v>9929</v>
      </c>
      <c r="C2448" s="15" t="s">
        <v>3395</v>
      </c>
      <c r="D2448" s="15" t="s">
        <v>3396</v>
      </c>
      <c r="E2448" s="15" t="s">
        <v>9930</v>
      </c>
    </row>
    <row r="2449" spans="1:5" ht="25.5" x14ac:dyDescent="0.2">
      <c r="A2449" s="14" t="s">
        <v>9931</v>
      </c>
      <c r="B2449" s="15" t="s">
        <v>9932</v>
      </c>
      <c r="C2449" s="15" t="s">
        <v>4104</v>
      </c>
      <c r="D2449" s="15" t="s">
        <v>4105</v>
      </c>
      <c r="E2449" s="15" t="s">
        <v>9933</v>
      </c>
    </row>
    <row r="2450" spans="1:5" ht="25.5" x14ac:dyDescent="0.2">
      <c r="A2450" s="14" t="s">
        <v>9934</v>
      </c>
      <c r="B2450" s="15" t="s">
        <v>9935</v>
      </c>
      <c r="C2450" s="15" t="s">
        <v>4104</v>
      </c>
      <c r="D2450" s="15" t="s">
        <v>4105</v>
      </c>
      <c r="E2450" s="15" t="s">
        <v>9936</v>
      </c>
    </row>
    <row r="2451" spans="1:5" ht="25.5" x14ac:dyDescent="0.2">
      <c r="A2451" s="14" t="s">
        <v>9937</v>
      </c>
      <c r="B2451" s="15" t="s">
        <v>9938</v>
      </c>
      <c r="C2451" s="15" t="s">
        <v>4104</v>
      </c>
      <c r="D2451" s="15" t="s">
        <v>4105</v>
      </c>
      <c r="E2451" s="15" t="s">
        <v>9939</v>
      </c>
    </row>
    <row r="2452" spans="1:5" ht="25.5" x14ac:dyDescent="0.2">
      <c r="A2452" s="14" t="s">
        <v>9940</v>
      </c>
      <c r="B2452" s="15" t="s">
        <v>9941</v>
      </c>
      <c r="C2452" s="15" t="s">
        <v>4104</v>
      </c>
      <c r="D2452" s="15" t="s">
        <v>4105</v>
      </c>
      <c r="E2452" s="15" t="s">
        <v>9942</v>
      </c>
    </row>
    <row r="2453" spans="1:5" ht="25.5" x14ac:dyDescent="0.2">
      <c r="A2453" s="14" t="s">
        <v>9943</v>
      </c>
      <c r="B2453" s="15" t="s">
        <v>721</v>
      </c>
      <c r="C2453" s="15" t="s">
        <v>4104</v>
      </c>
      <c r="D2453" s="15" t="s">
        <v>4105</v>
      </c>
      <c r="E2453" s="15" t="s">
        <v>9944</v>
      </c>
    </row>
    <row r="2454" spans="1:5" ht="25.5" x14ac:dyDescent="0.2">
      <c r="A2454" s="14" t="s">
        <v>9945</v>
      </c>
      <c r="B2454" s="15" t="s">
        <v>721</v>
      </c>
      <c r="C2454" s="15" t="s">
        <v>6609</v>
      </c>
      <c r="D2454" s="15" t="s">
        <v>6610</v>
      </c>
      <c r="E2454" s="15" t="s">
        <v>9946</v>
      </c>
    </row>
    <row r="2455" spans="1:5" ht="25.5" x14ac:dyDescent="0.2">
      <c r="A2455" s="14" t="s">
        <v>9947</v>
      </c>
      <c r="B2455" s="15" t="s">
        <v>9948</v>
      </c>
      <c r="C2455" s="15" t="s">
        <v>9949</v>
      </c>
      <c r="D2455" s="15" t="s">
        <v>9950</v>
      </c>
      <c r="E2455" s="15" t="s">
        <v>9951</v>
      </c>
    </row>
    <row r="2456" spans="1:5" ht="25.5" x14ac:dyDescent="0.2">
      <c r="A2456" s="14" t="s">
        <v>9952</v>
      </c>
      <c r="B2456" s="15" t="s">
        <v>9953</v>
      </c>
      <c r="C2456" s="15" t="s">
        <v>4171</v>
      </c>
      <c r="D2456" s="15" t="s">
        <v>4172</v>
      </c>
      <c r="E2456" s="15" t="s">
        <v>9954</v>
      </c>
    </row>
    <row r="2457" spans="1:5" ht="25.5" x14ac:dyDescent="0.2">
      <c r="A2457" s="14" t="s">
        <v>9955</v>
      </c>
      <c r="B2457" s="15" t="s">
        <v>1316</v>
      </c>
      <c r="C2457" s="15" t="s">
        <v>9956</v>
      </c>
      <c r="D2457" s="15" t="s">
        <v>9957</v>
      </c>
      <c r="E2457" s="15" t="s">
        <v>9958</v>
      </c>
    </row>
    <row r="2458" spans="1:5" ht="25.5" x14ac:dyDescent="0.2">
      <c r="A2458" s="14" t="s">
        <v>9959</v>
      </c>
      <c r="B2458" s="15" t="s">
        <v>521</v>
      </c>
      <c r="C2458" s="15" t="s">
        <v>9956</v>
      </c>
      <c r="D2458" s="15" t="s">
        <v>9957</v>
      </c>
      <c r="E2458" s="15" t="s">
        <v>9960</v>
      </c>
    </row>
    <row r="2459" spans="1:5" ht="25.5" x14ac:dyDescent="0.2">
      <c r="A2459" s="14" t="s">
        <v>9961</v>
      </c>
      <c r="B2459" s="15" t="s">
        <v>9962</v>
      </c>
      <c r="C2459" s="15" t="s">
        <v>9956</v>
      </c>
      <c r="D2459" s="15" t="s">
        <v>9957</v>
      </c>
      <c r="E2459" s="15" t="s">
        <v>9963</v>
      </c>
    </row>
    <row r="2460" spans="1:5" ht="25.5" x14ac:dyDescent="0.2">
      <c r="A2460" s="14" t="s">
        <v>9964</v>
      </c>
      <c r="B2460" s="15" t="s">
        <v>9965</v>
      </c>
      <c r="C2460" s="15" t="s">
        <v>9956</v>
      </c>
      <c r="D2460" s="15" t="s">
        <v>9957</v>
      </c>
      <c r="E2460" s="15" t="s">
        <v>9966</v>
      </c>
    </row>
    <row r="2461" spans="1:5" ht="25.5" x14ac:dyDescent="0.2">
      <c r="A2461" s="14" t="s">
        <v>9967</v>
      </c>
      <c r="B2461" s="15" t="s">
        <v>744</v>
      </c>
      <c r="C2461" s="15" t="s">
        <v>9956</v>
      </c>
      <c r="D2461" s="15" t="s">
        <v>9957</v>
      </c>
      <c r="E2461" s="15" t="s">
        <v>9968</v>
      </c>
    </row>
    <row r="2462" spans="1:5" ht="25.5" x14ac:dyDescent="0.2">
      <c r="A2462" s="14" t="s">
        <v>9969</v>
      </c>
      <c r="B2462" s="15" t="s">
        <v>9970</v>
      </c>
      <c r="C2462" s="15" t="s">
        <v>9956</v>
      </c>
      <c r="D2462" s="15" t="s">
        <v>9957</v>
      </c>
      <c r="E2462" s="15" t="s">
        <v>9971</v>
      </c>
    </row>
    <row r="2463" spans="1:5" ht="25.5" x14ac:dyDescent="0.2">
      <c r="A2463" s="14" t="s">
        <v>9972</v>
      </c>
      <c r="B2463" s="15" t="s">
        <v>1479</v>
      </c>
      <c r="C2463" s="15" t="s">
        <v>9956</v>
      </c>
      <c r="D2463" s="15" t="s">
        <v>9957</v>
      </c>
      <c r="E2463" s="15" t="s">
        <v>9973</v>
      </c>
    </row>
    <row r="2464" spans="1:5" ht="25.5" x14ac:dyDescent="0.2">
      <c r="A2464" s="14" t="s">
        <v>9974</v>
      </c>
      <c r="B2464" s="15" t="s">
        <v>9975</v>
      </c>
      <c r="C2464" s="15" t="s">
        <v>9956</v>
      </c>
      <c r="D2464" s="15" t="s">
        <v>9957</v>
      </c>
      <c r="E2464" s="15" t="s">
        <v>9976</v>
      </c>
    </row>
    <row r="2465" spans="1:5" ht="25.5" x14ac:dyDescent="0.2">
      <c r="A2465" s="14" t="s">
        <v>9977</v>
      </c>
      <c r="B2465" s="15" t="s">
        <v>918</v>
      </c>
      <c r="C2465" s="15" t="s">
        <v>9956</v>
      </c>
      <c r="D2465" s="15" t="s">
        <v>9957</v>
      </c>
      <c r="E2465" s="15" t="s">
        <v>9978</v>
      </c>
    </row>
    <row r="2466" spans="1:5" ht="25.5" x14ac:dyDescent="0.2">
      <c r="A2466" s="14" t="s">
        <v>9979</v>
      </c>
      <c r="B2466" s="15" t="s">
        <v>1518</v>
      </c>
      <c r="C2466" s="15" t="s">
        <v>9956</v>
      </c>
      <c r="D2466" s="15" t="s">
        <v>9957</v>
      </c>
      <c r="E2466" s="15" t="s">
        <v>9980</v>
      </c>
    </row>
    <row r="2467" spans="1:5" ht="25.5" x14ac:dyDescent="0.2">
      <c r="A2467" s="14" t="s">
        <v>9981</v>
      </c>
      <c r="B2467" s="15" t="s">
        <v>340</v>
      </c>
      <c r="C2467" s="15" t="s">
        <v>9956</v>
      </c>
      <c r="D2467" s="15" t="s">
        <v>9957</v>
      </c>
      <c r="E2467" s="15" t="s">
        <v>9982</v>
      </c>
    </row>
    <row r="2468" spans="1:5" ht="25.5" x14ac:dyDescent="0.2">
      <c r="A2468" s="14" t="s">
        <v>9983</v>
      </c>
      <c r="B2468" s="15" t="s">
        <v>1519</v>
      </c>
      <c r="C2468" s="15" t="s">
        <v>9956</v>
      </c>
      <c r="D2468" s="15" t="s">
        <v>9957</v>
      </c>
      <c r="E2468" s="15" t="s">
        <v>9984</v>
      </c>
    </row>
    <row r="2469" spans="1:5" ht="25.5" x14ac:dyDescent="0.2">
      <c r="A2469" s="14" t="s">
        <v>9985</v>
      </c>
      <c r="B2469" s="15" t="s">
        <v>1509</v>
      </c>
      <c r="C2469" s="15" t="s">
        <v>9956</v>
      </c>
      <c r="D2469" s="15" t="s">
        <v>9957</v>
      </c>
      <c r="E2469" s="15" t="s">
        <v>9986</v>
      </c>
    </row>
    <row r="2470" spans="1:5" ht="25.5" x14ac:dyDescent="0.2">
      <c r="A2470" s="14" t="s">
        <v>9987</v>
      </c>
      <c r="B2470" s="15" t="s">
        <v>248</v>
      </c>
      <c r="C2470" s="15" t="s">
        <v>9956</v>
      </c>
      <c r="D2470" s="15" t="s">
        <v>9957</v>
      </c>
      <c r="E2470" s="15" t="s">
        <v>9988</v>
      </c>
    </row>
    <row r="2471" spans="1:5" ht="25.5" x14ac:dyDescent="0.2">
      <c r="A2471" s="14" t="s">
        <v>9989</v>
      </c>
      <c r="B2471" s="15" t="s">
        <v>1068</v>
      </c>
      <c r="C2471" s="15" t="s">
        <v>9956</v>
      </c>
      <c r="D2471" s="15" t="s">
        <v>9957</v>
      </c>
      <c r="E2471" s="15" t="s">
        <v>9990</v>
      </c>
    </row>
    <row r="2472" spans="1:5" ht="25.5" x14ac:dyDescent="0.2">
      <c r="A2472" s="14" t="s">
        <v>9991</v>
      </c>
      <c r="B2472" s="15" t="s">
        <v>1243</v>
      </c>
      <c r="C2472" s="15" t="s">
        <v>9956</v>
      </c>
      <c r="D2472" s="15" t="s">
        <v>9957</v>
      </c>
      <c r="E2472" s="15" t="s">
        <v>9992</v>
      </c>
    </row>
    <row r="2473" spans="1:5" ht="25.5" x14ac:dyDescent="0.2">
      <c r="A2473" s="14" t="s">
        <v>9993</v>
      </c>
      <c r="B2473" s="15" t="s">
        <v>211</v>
      </c>
      <c r="C2473" s="15" t="s">
        <v>9956</v>
      </c>
      <c r="D2473" s="15" t="s">
        <v>9957</v>
      </c>
      <c r="E2473" s="15" t="s">
        <v>9994</v>
      </c>
    </row>
    <row r="2474" spans="1:5" ht="25.5" x14ac:dyDescent="0.2">
      <c r="A2474" s="14" t="s">
        <v>9995</v>
      </c>
      <c r="B2474" s="15" t="s">
        <v>246</v>
      </c>
      <c r="C2474" s="15" t="s">
        <v>9956</v>
      </c>
      <c r="D2474" s="15" t="s">
        <v>9957</v>
      </c>
      <c r="E2474" s="15" t="s">
        <v>9996</v>
      </c>
    </row>
    <row r="2475" spans="1:5" ht="25.5" x14ac:dyDescent="0.2">
      <c r="A2475" s="14" t="s">
        <v>9997</v>
      </c>
      <c r="B2475" s="15" t="s">
        <v>1517</v>
      </c>
      <c r="C2475" s="15" t="s">
        <v>9956</v>
      </c>
      <c r="D2475" s="15" t="s">
        <v>9957</v>
      </c>
      <c r="E2475" s="15" t="s">
        <v>9998</v>
      </c>
    </row>
    <row r="2476" spans="1:5" ht="25.5" x14ac:dyDescent="0.2">
      <c r="A2476" s="14" t="s">
        <v>9999</v>
      </c>
      <c r="B2476" s="15" t="s">
        <v>779</v>
      </c>
      <c r="C2476" s="15" t="s">
        <v>9956</v>
      </c>
      <c r="D2476" s="15" t="s">
        <v>9957</v>
      </c>
      <c r="E2476" s="15" t="s">
        <v>10000</v>
      </c>
    </row>
    <row r="2477" spans="1:5" ht="25.5" x14ac:dyDescent="0.2">
      <c r="A2477" s="14" t="s">
        <v>10001</v>
      </c>
      <c r="B2477" s="15" t="s">
        <v>830</v>
      </c>
      <c r="C2477" s="15" t="s">
        <v>9956</v>
      </c>
      <c r="D2477" s="15" t="s">
        <v>9957</v>
      </c>
      <c r="E2477" s="15" t="s">
        <v>10002</v>
      </c>
    </row>
    <row r="2478" spans="1:5" ht="25.5" x14ac:dyDescent="0.2">
      <c r="A2478" s="14" t="s">
        <v>10003</v>
      </c>
      <c r="B2478" s="15" t="s">
        <v>830</v>
      </c>
      <c r="C2478" s="15" t="s">
        <v>9956</v>
      </c>
      <c r="D2478" s="15" t="s">
        <v>9957</v>
      </c>
      <c r="E2478" s="15" t="s">
        <v>10004</v>
      </c>
    </row>
    <row r="2479" spans="1:5" ht="25.5" x14ac:dyDescent="0.2">
      <c r="A2479" s="14" t="s">
        <v>10005</v>
      </c>
      <c r="B2479" s="15" t="s">
        <v>10006</v>
      </c>
      <c r="C2479" s="15" t="s">
        <v>9956</v>
      </c>
      <c r="D2479" s="15" t="s">
        <v>9957</v>
      </c>
      <c r="E2479" s="15" t="s">
        <v>10007</v>
      </c>
    </row>
    <row r="2480" spans="1:5" ht="25.5" x14ac:dyDescent="0.2">
      <c r="A2480" s="14" t="s">
        <v>10008</v>
      </c>
      <c r="B2480" s="15" t="s">
        <v>10009</v>
      </c>
      <c r="C2480" s="15" t="s">
        <v>9956</v>
      </c>
      <c r="D2480" s="15" t="s">
        <v>9957</v>
      </c>
      <c r="E2480" s="15" t="s">
        <v>10010</v>
      </c>
    </row>
    <row r="2481" spans="1:5" ht="25.5" x14ac:dyDescent="0.2">
      <c r="A2481" s="14" t="s">
        <v>10011</v>
      </c>
      <c r="B2481" s="15" t="s">
        <v>1516</v>
      </c>
      <c r="C2481" s="15" t="s">
        <v>9956</v>
      </c>
      <c r="D2481" s="15" t="s">
        <v>9957</v>
      </c>
      <c r="E2481" s="15" t="s">
        <v>10012</v>
      </c>
    </row>
    <row r="2482" spans="1:5" ht="25.5" x14ac:dyDescent="0.2">
      <c r="A2482" s="14" t="s">
        <v>10013</v>
      </c>
      <c r="B2482" s="15" t="s">
        <v>10014</v>
      </c>
      <c r="C2482" s="15" t="s">
        <v>9956</v>
      </c>
      <c r="D2482" s="15" t="s">
        <v>9957</v>
      </c>
      <c r="E2482" s="15" t="s">
        <v>10015</v>
      </c>
    </row>
    <row r="2483" spans="1:5" ht="25.5" x14ac:dyDescent="0.2">
      <c r="A2483" s="14" t="s">
        <v>10016</v>
      </c>
      <c r="B2483" s="15" t="s">
        <v>10017</v>
      </c>
      <c r="C2483" s="15" t="s">
        <v>9956</v>
      </c>
      <c r="D2483" s="15" t="s">
        <v>9957</v>
      </c>
      <c r="E2483" s="15" t="s">
        <v>10018</v>
      </c>
    </row>
    <row r="2484" spans="1:5" ht="25.5" x14ac:dyDescent="0.2">
      <c r="A2484" s="14" t="s">
        <v>10019</v>
      </c>
      <c r="B2484" s="15" t="s">
        <v>122</v>
      </c>
      <c r="C2484" s="15" t="s">
        <v>9956</v>
      </c>
      <c r="D2484" s="15" t="s">
        <v>9957</v>
      </c>
      <c r="E2484" s="15" t="s">
        <v>10020</v>
      </c>
    </row>
    <row r="2485" spans="1:5" ht="25.5" x14ac:dyDescent="0.2">
      <c r="A2485" s="14" t="s">
        <v>10021</v>
      </c>
      <c r="B2485" s="15" t="s">
        <v>646</v>
      </c>
      <c r="C2485" s="15" t="s">
        <v>9956</v>
      </c>
      <c r="D2485" s="15" t="s">
        <v>9957</v>
      </c>
      <c r="E2485" s="15" t="s">
        <v>10022</v>
      </c>
    </row>
    <row r="2486" spans="1:5" ht="25.5" x14ac:dyDescent="0.2">
      <c r="A2486" s="14" t="s">
        <v>10023</v>
      </c>
      <c r="B2486" s="15" t="s">
        <v>1308</v>
      </c>
      <c r="C2486" s="15" t="s">
        <v>9956</v>
      </c>
      <c r="D2486" s="15" t="s">
        <v>9957</v>
      </c>
      <c r="E2486" s="15" t="s">
        <v>10024</v>
      </c>
    </row>
    <row r="2487" spans="1:5" ht="25.5" x14ac:dyDescent="0.2">
      <c r="A2487" s="14" t="s">
        <v>10025</v>
      </c>
      <c r="B2487" s="15" t="s">
        <v>10026</v>
      </c>
      <c r="C2487" s="15" t="s">
        <v>9956</v>
      </c>
      <c r="D2487" s="15" t="s">
        <v>9957</v>
      </c>
      <c r="E2487" s="15" t="s">
        <v>10027</v>
      </c>
    </row>
    <row r="2488" spans="1:5" ht="25.5" x14ac:dyDescent="0.2">
      <c r="A2488" s="14" t="s">
        <v>10028</v>
      </c>
      <c r="B2488" s="15" t="s">
        <v>833</v>
      </c>
      <c r="C2488" s="15" t="s">
        <v>9956</v>
      </c>
      <c r="D2488" s="15" t="s">
        <v>9957</v>
      </c>
      <c r="E2488" s="15" t="s">
        <v>10029</v>
      </c>
    </row>
    <row r="2489" spans="1:5" ht="25.5" x14ac:dyDescent="0.2">
      <c r="A2489" s="14" t="s">
        <v>10030</v>
      </c>
      <c r="B2489" s="15" t="s">
        <v>989</v>
      </c>
      <c r="C2489" s="15" t="s">
        <v>10031</v>
      </c>
      <c r="D2489" s="15" t="s">
        <v>10032</v>
      </c>
      <c r="E2489" s="15" t="s">
        <v>10033</v>
      </c>
    </row>
    <row r="2490" spans="1:5" ht="25.5" x14ac:dyDescent="0.2">
      <c r="A2490" s="14" t="s">
        <v>10034</v>
      </c>
      <c r="B2490" s="15" t="s">
        <v>210</v>
      </c>
      <c r="C2490" s="15" t="s">
        <v>10031</v>
      </c>
      <c r="D2490" s="15" t="s">
        <v>10032</v>
      </c>
      <c r="E2490" s="15" t="s">
        <v>10035</v>
      </c>
    </row>
    <row r="2491" spans="1:5" ht="25.5" x14ac:dyDescent="0.2">
      <c r="A2491" s="14" t="s">
        <v>10036</v>
      </c>
      <c r="B2491" s="15" t="s">
        <v>1356</v>
      </c>
      <c r="C2491" s="15" t="s">
        <v>10031</v>
      </c>
      <c r="D2491" s="15" t="s">
        <v>10032</v>
      </c>
      <c r="E2491" s="15" t="s">
        <v>10037</v>
      </c>
    </row>
    <row r="2492" spans="1:5" ht="25.5" x14ac:dyDescent="0.2">
      <c r="A2492" s="14" t="s">
        <v>10038</v>
      </c>
      <c r="B2492" s="15" t="s">
        <v>1395</v>
      </c>
      <c r="C2492" s="15" t="s">
        <v>10031</v>
      </c>
      <c r="D2492" s="15" t="s">
        <v>10032</v>
      </c>
      <c r="E2492" s="15" t="s">
        <v>10039</v>
      </c>
    </row>
    <row r="2493" spans="1:5" ht="25.5" x14ac:dyDescent="0.2">
      <c r="A2493" s="14" t="s">
        <v>10040</v>
      </c>
      <c r="B2493" s="15" t="s">
        <v>1191</v>
      </c>
      <c r="C2493" s="15" t="s">
        <v>10031</v>
      </c>
      <c r="D2493" s="15" t="s">
        <v>10032</v>
      </c>
      <c r="E2493" s="15" t="s">
        <v>10041</v>
      </c>
    </row>
    <row r="2494" spans="1:5" ht="25.5" x14ac:dyDescent="0.2">
      <c r="A2494" s="14" t="s">
        <v>10042</v>
      </c>
      <c r="B2494" s="15" t="s">
        <v>596</v>
      </c>
      <c r="C2494" s="15" t="s">
        <v>10043</v>
      </c>
      <c r="D2494" s="15" t="s">
        <v>10044</v>
      </c>
      <c r="E2494" s="15" t="s">
        <v>10045</v>
      </c>
    </row>
    <row r="2495" spans="1:5" ht="25.5" x14ac:dyDescent="0.2">
      <c r="A2495" s="14" t="s">
        <v>10046</v>
      </c>
      <c r="B2495" s="15" t="s">
        <v>10047</v>
      </c>
      <c r="C2495" s="15" t="s">
        <v>10043</v>
      </c>
      <c r="D2495" s="15" t="s">
        <v>10044</v>
      </c>
      <c r="E2495" s="15" t="s">
        <v>10048</v>
      </c>
    </row>
    <row r="2496" spans="1:5" ht="25.5" x14ac:dyDescent="0.2">
      <c r="A2496" s="14" t="s">
        <v>10049</v>
      </c>
      <c r="B2496" s="15" t="s">
        <v>535</v>
      </c>
      <c r="C2496" s="15" t="s">
        <v>10043</v>
      </c>
      <c r="D2496" s="15" t="s">
        <v>10044</v>
      </c>
      <c r="E2496" s="15" t="s">
        <v>10050</v>
      </c>
    </row>
    <row r="2497" spans="1:5" ht="25.5" x14ac:dyDescent="0.2">
      <c r="A2497" s="14" t="s">
        <v>10051</v>
      </c>
      <c r="B2497" s="15" t="s">
        <v>1593</v>
      </c>
      <c r="C2497" s="15" t="s">
        <v>10043</v>
      </c>
      <c r="D2497" s="15" t="s">
        <v>10044</v>
      </c>
      <c r="E2497" s="15" t="s">
        <v>10052</v>
      </c>
    </row>
    <row r="2498" spans="1:5" ht="25.5" x14ac:dyDescent="0.2">
      <c r="A2498" s="14" t="s">
        <v>10053</v>
      </c>
      <c r="B2498" s="15" t="s">
        <v>990</v>
      </c>
      <c r="C2498" s="15" t="s">
        <v>10043</v>
      </c>
      <c r="D2498" s="15" t="s">
        <v>10044</v>
      </c>
      <c r="E2498" s="15" t="s">
        <v>10054</v>
      </c>
    </row>
    <row r="2499" spans="1:5" ht="25.5" x14ac:dyDescent="0.2">
      <c r="A2499" s="14" t="s">
        <v>10055</v>
      </c>
      <c r="B2499" s="15" t="s">
        <v>896</v>
      </c>
      <c r="C2499" s="15" t="s">
        <v>10056</v>
      </c>
      <c r="D2499" s="15" t="s">
        <v>10057</v>
      </c>
      <c r="E2499" s="15" t="s">
        <v>10058</v>
      </c>
    </row>
    <row r="2500" spans="1:5" ht="25.5" x14ac:dyDescent="0.2">
      <c r="A2500" s="14" t="s">
        <v>10059</v>
      </c>
      <c r="B2500" s="15" t="s">
        <v>991</v>
      </c>
      <c r="C2500" s="15" t="s">
        <v>10056</v>
      </c>
      <c r="D2500" s="15" t="s">
        <v>10057</v>
      </c>
      <c r="E2500" s="15" t="s">
        <v>10060</v>
      </c>
    </row>
    <row r="2501" spans="1:5" ht="25.5" x14ac:dyDescent="0.2">
      <c r="A2501" s="14" t="s">
        <v>10061</v>
      </c>
      <c r="B2501" s="15" t="s">
        <v>1039</v>
      </c>
      <c r="C2501" s="15" t="s">
        <v>10056</v>
      </c>
      <c r="D2501" s="15" t="s">
        <v>10057</v>
      </c>
      <c r="E2501" s="15" t="s">
        <v>10062</v>
      </c>
    </row>
    <row r="2502" spans="1:5" ht="25.5" x14ac:dyDescent="0.2">
      <c r="A2502" s="14" t="s">
        <v>10063</v>
      </c>
      <c r="B2502" s="15" t="s">
        <v>1039</v>
      </c>
      <c r="C2502" s="15" t="s">
        <v>10056</v>
      </c>
      <c r="D2502" s="15" t="s">
        <v>10057</v>
      </c>
      <c r="E2502" s="15" t="s">
        <v>10064</v>
      </c>
    </row>
    <row r="2503" spans="1:5" ht="25.5" x14ac:dyDescent="0.2">
      <c r="A2503" s="14" t="s">
        <v>10065</v>
      </c>
      <c r="B2503" s="15" t="s">
        <v>298</v>
      </c>
      <c r="C2503" s="15" t="s">
        <v>10056</v>
      </c>
      <c r="D2503" s="15" t="s">
        <v>10057</v>
      </c>
      <c r="E2503" s="15" t="s">
        <v>10066</v>
      </c>
    </row>
    <row r="2504" spans="1:5" ht="25.5" x14ac:dyDescent="0.2">
      <c r="A2504" s="14" t="s">
        <v>10067</v>
      </c>
      <c r="B2504" s="15" t="s">
        <v>10068</v>
      </c>
      <c r="C2504" s="15" t="s">
        <v>10056</v>
      </c>
      <c r="D2504" s="15" t="s">
        <v>10057</v>
      </c>
      <c r="E2504" s="15" t="s">
        <v>10069</v>
      </c>
    </row>
    <row r="2505" spans="1:5" ht="25.5" x14ac:dyDescent="0.2">
      <c r="A2505" s="14" t="s">
        <v>10070</v>
      </c>
      <c r="B2505" s="15" t="s">
        <v>1594</v>
      </c>
      <c r="C2505" s="15" t="s">
        <v>10056</v>
      </c>
      <c r="D2505" s="15" t="s">
        <v>10057</v>
      </c>
      <c r="E2505" s="15" t="s">
        <v>10071</v>
      </c>
    </row>
    <row r="2506" spans="1:5" ht="25.5" x14ac:dyDescent="0.2">
      <c r="A2506" s="14" t="s">
        <v>10072</v>
      </c>
      <c r="B2506" s="15" t="s">
        <v>578</v>
      </c>
      <c r="C2506" s="15" t="s">
        <v>10073</v>
      </c>
      <c r="D2506" s="15" t="s">
        <v>10074</v>
      </c>
      <c r="E2506" s="15" t="s">
        <v>10075</v>
      </c>
    </row>
    <row r="2507" spans="1:5" ht="25.5" x14ac:dyDescent="0.2">
      <c r="A2507" s="14" t="s">
        <v>10076</v>
      </c>
      <c r="B2507" s="15" t="s">
        <v>1588</v>
      </c>
      <c r="C2507" s="15" t="s">
        <v>10073</v>
      </c>
      <c r="D2507" s="15" t="s">
        <v>10074</v>
      </c>
      <c r="E2507" s="15" t="s">
        <v>10077</v>
      </c>
    </row>
    <row r="2508" spans="1:5" ht="25.5" x14ac:dyDescent="0.2">
      <c r="A2508" s="14" t="s">
        <v>10078</v>
      </c>
      <c r="B2508" s="15" t="s">
        <v>1547</v>
      </c>
      <c r="C2508" s="15" t="s">
        <v>10073</v>
      </c>
      <c r="D2508" s="15" t="s">
        <v>10074</v>
      </c>
      <c r="E2508" s="15" t="s">
        <v>10079</v>
      </c>
    </row>
    <row r="2509" spans="1:5" ht="25.5" x14ac:dyDescent="0.2">
      <c r="A2509" s="14" t="s">
        <v>10080</v>
      </c>
      <c r="B2509" s="15" t="s">
        <v>1376</v>
      </c>
      <c r="C2509" s="15" t="s">
        <v>10073</v>
      </c>
      <c r="D2509" s="15" t="s">
        <v>10074</v>
      </c>
      <c r="E2509" s="15" t="s">
        <v>10081</v>
      </c>
    </row>
    <row r="2510" spans="1:5" ht="25.5" x14ac:dyDescent="0.2">
      <c r="A2510" s="14" t="s">
        <v>10082</v>
      </c>
      <c r="B2510" s="15" t="s">
        <v>1189</v>
      </c>
      <c r="C2510" s="15" t="s">
        <v>10073</v>
      </c>
      <c r="D2510" s="15" t="s">
        <v>10074</v>
      </c>
      <c r="E2510" s="15" t="s">
        <v>10083</v>
      </c>
    </row>
    <row r="2511" spans="1:5" ht="25.5" x14ac:dyDescent="0.2">
      <c r="A2511" s="14" t="s">
        <v>10084</v>
      </c>
      <c r="B2511" s="15" t="s">
        <v>597</v>
      </c>
      <c r="C2511" s="15" t="s">
        <v>10085</v>
      </c>
      <c r="D2511" s="15" t="s">
        <v>10086</v>
      </c>
      <c r="E2511" s="15" t="s">
        <v>10087</v>
      </c>
    </row>
    <row r="2512" spans="1:5" ht="25.5" x14ac:dyDescent="0.2">
      <c r="A2512" s="14" t="s">
        <v>10088</v>
      </c>
      <c r="B2512" s="15" t="s">
        <v>992</v>
      </c>
      <c r="C2512" s="15" t="s">
        <v>10085</v>
      </c>
      <c r="D2512" s="15" t="s">
        <v>10086</v>
      </c>
      <c r="E2512" s="15" t="s">
        <v>10089</v>
      </c>
    </row>
    <row r="2513" spans="1:5" ht="25.5" x14ac:dyDescent="0.2">
      <c r="A2513" s="14" t="s">
        <v>10090</v>
      </c>
      <c r="B2513" s="15" t="s">
        <v>1598</v>
      </c>
      <c r="C2513" s="15" t="s">
        <v>10085</v>
      </c>
      <c r="D2513" s="15" t="s">
        <v>10086</v>
      </c>
      <c r="E2513" s="15" t="s">
        <v>10091</v>
      </c>
    </row>
    <row r="2514" spans="1:5" ht="25.5" x14ac:dyDescent="0.2">
      <c r="A2514" s="14" t="s">
        <v>10092</v>
      </c>
      <c r="B2514" s="15" t="s">
        <v>10093</v>
      </c>
      <c r="C2514" s="15" t="s">
        <v>10085</v>
      </c>
      <c r="D2514" s="15" t="s">
        <v>10086</v>
      </c>
      <c r="E2514" s="15" t="s">
        <v>10094</v>
      </c>
    </row>
    <row r="2515" spans="1:5" ht="25.5" x14ac:dyDescent="0.2">
      <c r="A2515" s="14" t="s">
        <v>10095</v>
      </c>
      <c r="B2515" s="15" t="s">
        <v>1186</v>
      </c>
      <c r="C2515" s="15" t="s">
        <v>10085</v>
      </c>
      <c r="D2515" s="15" t="s">
        <v>10086</v>
      </c>
      <c r="E2515" s="15" t="s">
        <v>10096</v>
      </c>
    </row>
    <row r="2516" spans="1:5" ht="38.25" x14ac:dyDescent="0.2">
      <c r="A2516" s="14" t="s">
        <v>10097</v>
      </c>
      <c r="B2516" s="15" t="s">
        <v>10098</v>
      </c>
      <c r="C2516" s="15" t="s">
        <v>10085</v>
      </c>
      <c r="D2516" s="15" t="s">
        <v>10086</v>
      </c>
      <c r="E2516" s="15" t="s">
        <v>10099</v>
      </c>
    </row>
    <row r="2517" spans="1:5" ht="25.5" x14ac:dyDescent="0.2">
      <c r="A2517" s="14" t="s">
        <v>10100</v>
      </c>
      <c r="B2517" s="15" t="s">
        <v>10101</v>
      </c>
      <c r="C2517" s="15" t="s">
        <v>10056</v>
      </c>
      <c r="D2517" s="15" t="s">
        <v>10057</v>
      </c>
      <c r="E2517" s="15" t="s">
        <v>10102</v>
      </c>
    </row>
    <row r="2518" spans="1:5" ht="25.5" x14ac:dyDescent="0.2">
      <c r="A2518" s="14" t="s">
        <v>10103</v>
      </c>
      <c r="B2518" s="15" t="s">
        <v>10104</v>
      </c>
      <c r="C2518" s="15" t="s">
        <v>10056</v>
      </c>
      <c r="D2518" s="15" t="s">
        <v>10057</v>
      </c>
      <c r="E2518" s="15" t="s">
        <v>10105</v>
      </c>
    </row>
    <row r="2519" spans="1:5" ht="25.5" x14ac:dyDescent="0.2">
      <c r="A2519" s="14" t="s">
        <v>10106</v>
      </c>
      <c r="B2519" s="15" t="s">
        <v>887</v>
      </c>
      <c r="C2519" s="15" t="s">
        <v>10056</v>
      </c>
      <c r="D2519" s="15" t="s">
        <v>10057</v>
      </c>
      <c r="E2519" s="15" t="s">
        <v>10107</v>
      </c>
    </row>
    <row r="2520" spans="1:5" ht="25.5" x14ac:dyDescent="0.2">
      <c r="A2520" s="14" t="s">
        <v>10108</v>
      </c>
      <c r="B2520" s="15" t="s">
        <v>887</v>
      </c>
      <c r="C2520" s="15" t="s">
        <v>10056</v>
      </c>
      <c r="D2520" s="15" t="s">
        <v>10057</v>
      </c>
      <c r="E2520" s="15" t="s">
        <v>10109</v>
      </c>
    </row>
    <row r="2521" spans="1:5" ht="25.5" x14ac:dyDescent="0.2">
      <c r="A2521" s="14" t="s">
        <v>10110</v>
      </c>
      <c r="B2521" s="15" t="s">
        <v>10111</v>
      </c>
      <c r="C2521" s="15" t="s">
        <v>10056</v>
      </c>
      <c r="D2521" s="15" t="s">
        <v>10057</v>
      </c>
      <c r="E2521" s="15" t="s">
        <v>10112</v>
      </c>
    </row>
    <row r="2522" spans="1:5" ht="25.5" x14ac:dyDescent="0.2">
      <c r="A2522" s="14" t="s">
        <v>10113</v>
      </c>
      <c r="B2522" s="15" t="s">
        <v>168</v>
      </c>
      <c r="C2522" s="15" t="s">
        <v>10114</v>
      </c>
      <c r="D2522" s="15" t="s">
        <v>10115</v>
      </c>
      <c r="E2522" s="15" t="s">
        <v>10116</v>
      </c>
    </row>
    <row r="2523" spans="1:5" ht="25.5" x14ac:dyDescent="0.2">
      <c r="A2523" s="14" t="s">
        <v>10117</v>
      </c>
      <c r="B2523" s="15" t="s">
        <v>693</v>
      </c>
      <c r="C2523" s="15" t="s">
        <v>10118</v>
      </c>
      <c r="D2523" s="15" t="s">
        <v>10119</v>
      </c>
      <c r="E2523" s="15" t="s">
        <v>10120</v>
      </c>
    </row>
    <row r="2524" spans="1:5" ht="25.5" x14ac:dyDescent="0.2">
      <c r="A2524" s="14" t="s">
        <v>10121</v>
      </c>
      <c r="B2524" s="15" t="s">
        <v>149</v>
      </c>
      <c r="C2524" s="15" t="s">
        <v>10118</v>
      </c>
      <c r="D2524" s="15" t="s">
        <v>10119</v>
      </c>
      <c r="E2524" s="15" t="s">
        <v>10122</v>
      </c>
    </row>
    <row r="2525" spans="1:5" ht="25.5" x14ac:dyDescent="0.2">
      <c r="A2525" s="14" t="s">
        <v>10123</v>
      </c>
      <c r="B2525" s="15" t="s">
        <v>1599</v>
      </c>
      <c r="C2525" s="15" t="s">
        <v>10118</v>
      </c>
      <c r="D2525" s="15" t="s">
        <v>10119</v>
      </c>
      <c r="E2525" s="15" t="s">
        <v>10124</v>
      </c>
    </row>
    <row r="2526" spans="1:5" ht="25.5" x14ac:dyDescent="0.2">
      <c r="A2526" s="14" t="s">
        <v>10125</v>
      </c>
      <c r="B2526" s="15" t="s">
        <v>167</v>
      </c>
      <c r="C2526" s="15" t="s">
        <v>10114</v>
      </c>
      <c r="D2526" s="15" t="s">
        <v>10115</v>
      </c>
      <c r="E2526" s="15" t="s">
        <v>10126</v>
      </c>
    </row>
    <row r="2527" spans="1:5" ht="25.5" x14ac:dyDescent="0.2">
      <c r="A2527" s="14" t="s">
        <v>10127</v>
      </c>
      <c r="B2527" s="15" t="s">
        <v>577</v>
      </c>
      <c r="C2527" s="15" t="s">
        <v>10118</v>
      </c>
      <c r="D2527" s="15" t="s">
        <v>10119</v>
      </c>
      <c r="E2527" s="15" t="s">
        <v>10128</v>
      </c>
    </row>
    <row r="2528" spans="1:5" ht="25.5" x14ac:dyDescent="0.2">
      <c r="A2528" s="14" t="s">
        <v>10129</v>
      </c>
      <c r="B2528" s="15" t="s">
        <v>169</v>
      </c>
      <c r="C2528" s="15" t="s">
        <v>10114</v>
      </c>
      <c r="D2528" s="15" t="s">
        <v>10115</v>
      </c>
      <c r="E2528" s="15" t="s">
        <v>10130</v>
      </c>
    </row>
    <row r="2529" spans="1:5" ht="25.5" x14ac:dyDescent="0.2">
      <c r="A2529" s="14" t="s">
        <v>10131</v>
      </c>
      <c r="B2529" s="15" t="s">
        <v>1591</v>
      </c>
      <c r="C2529" s="15" t="s">
        <v>10118</v>
      </c>
      <c r="D2529" s="15" t="s">
        <v>10119</v>
      </c>
      <c r="E2529" s="15" t="s">
        <v>10132</v>
      </c>
    </row>
    <row r="2530" spans="1:5" ht="25.5" x14ac:dyDescent="0.2">
      <c r="A2530" s="14" t="s">
        <v>10133</v>
      </c>
      <c r="B2530" s="15" t="s">
        <v>1038</v>
      </c>
      <c r="C2530" s="15" t="s">
        <v>10056</v>
      </c>
      <c r="D2530" s="15" t="s">
        <v>10057</v>
      </c>
      <c r="E2530" s="15" t="s">
        <v>10134</v>
      </c>
    </row>
    <row r="2531" spans="1:5" ht="25.5" x14ac:dyDescent="0.2">
      <c r="A2531" s="14" t="s">
        <v>10135</v>
      </c>
      <c r="B2531" s="15" t="s">
        <v>717</v>
      </c>
      <c r="C2531" s="15" t="s">
        <v>10056</v>
      </c>
      <c r="D2531" s="15" t="s">
        <v>10057</v>
      </c>
      <c r="E2531" s="15" t="s">
        <v>10136</v>
      </c>
    </row>
    <row r="2532" spans="1:5" ht="25.5" x14ac:dyDescent="0.2">
      <c r="A2532" s="14" t="s">
        <v>10137</v>
      </c>
      <c r="B2532" s="15" t="s">
        <v>717</v>
      </c>
      <c r="C2532" s="15" t="s">
        <v>10056</v>
      </c>
      <c r="D2532" s="15" t="s">
        <v>10057</v>
      </c>
      <c r="E2532" s="15" t="s">
        <v>10138</v>
      </c>
    </row>
    <row r="2533" spans="1:5" ht="25.5" x14ac:dyDescent="0.2">
      <c r="A2533" s="14" t="s">
        <v>10139</v>
      </c>
      <c r="B2533" s="15" t="s">
        <v>984</v>
      </c>
      <c r="C2533" s="15" t="s">
        <v>10140</v>
      </c>
      <c r="D2533" s="15" t="s">
        <v>10141</v>
      </c>
      <c r="E2533" s="15" t="s">
        <v>10142</v>
      </c>
    </row>
    <row r="2534" spans="1:5" ht="25.5" x14ac:dyDescent="0.2">
      <c r="A2534" s="14" t="s">
        <v>10143</v>
      </c>
      <c r="B2534" s="15" t="s">
        <v>10144</v>
      </c>
      <c r="C2534" s="15" t="s">
        <v>10145</v>
      </c>
      <c r="D2534" s="15" t="s">
        <v>10146</v>
      </c>
      <c r="E2534" s="15" t="s">
        <v>10147</v>
      </c>
    </row>
    <row r="2535" spans="1:5" ht="25.5" x14ac:dyDescent="0.2">
      <c r="A2535" s="14" t="s">
        <v>10148</v>
      </c>
      <c r="B2535" s="15" t="s">
        <v>1355</v>
      </c>
      <c r="C2535" s="15" t="s">
        <v>10145</v>
      </c>
      <c r="D2535" s="15" t="s">
        <v>10146</v>
      </c>
      <c r="E2535" s="15" t="s">
        <v>10149</v>
      </c>
    </row>
    <row r="2536" spans="1:5" ht="25.5" x14ac:dyDescent="0.2">
      <c r="A2536" s="14" t="s">
        <v>10150</v>
      </c>
      <c r="B2536" s="15" t="s">
        <v>598</v>
      </c>
      <c r="C2536" s="15" t="s">
        <v>10151</v>
      </c>
      <c r="D2536" s="15" t="s">
        <v>10152</v>
      </c>
      <c r="E2536" s="15" t="s">
        <v>10153</v>
      </c>
    </row>
    <row r="2537" spans="1:5" ht="25.5" x14ac:dyDescent="0.2">
      <c r="A2537" s="14" t="s">
        <v>10154</v>
      </c>
      <c r="B2537" s="15" t="s">
        <v>982</v>
      </c>
      <c r="C2537" s="15" t="s">
        <v>10151</v>
      </c>
      <c r="D2537" s="15" t="s">
        <v>10152</v>
      </c>
      <c r="E2537" s="15" t="s">
        <v>10155</v>
      </c>
    </row>
    <row r="2538" spans="1:5" ht="25.5" x14ac:dyDescent="0.2">
      <c r="A2538" s="14" t="s">
        <v>10156</v>
      </c>
      <c r="B2538" s="15" t="s">
        <v>987</v>
      </c>
      <c r="C2538" s="15" t="s">
        <v>10151</v>
      </c>
      <c r="D2538" s="15" t="s">
        <v>10152</v>
      </c>
      <c r="E2538" s="15" t="s">
        <v>10157</v>
      </c>
    </row>
    <row r="2539" spans="1:5" ht="25.5" x14ac:dyDescent="0.2">
      <c r="A2539" s="14" t="s">
        <v>10158</v>
      </c>
      <c r="B2539" s="15" t="s">
        <v>10159</v>
      </c>
      <c r="C2539" s="15" t="s">
        <v>10151</v>
      </c>
      <c r="D2539" s="15" t="s">
        <v>10152</v>
      </c>
      <c r="E2539" s="15" t="s">
        <v>10160</v>
      </c>
    </row>
    <row r="2540" spans="1:5" ht="25.5" x14ac:dyDescent="0.2">
      <c r="A2540" s="14" t="s">
        <v>10161</v>
      </c>
      <c r="B2540" s="15" t="s">
        <v>582</v>
      </c>
      <c r="C2540" s="15" t="s">
        <v>10151</v>
      </c>
      <c r="D2540" s="15" t="s">
        <v>10152</v>
      </c>
      <c r="E2540" s="15" t="s">
        <v>10162</v>
      </c>
    </row>
    <row r="2541" spans="1:5" ht="25.5" x14ac:dyDescent="0.2">
      <c r="A2541" s="14" t="s">
        <v>10163</v>
      </c>
      <c r="B2541" s="15" t="s">
        <v>1548</v>
      </c>
      <c r="C2541" s="15" t="s">
        <v>10151</v>
      </c>
      <c r="D2541" s="15" t="s">
        <v>10152</v>
      </c>
      <c r="E2541" s="15" t="s">
        <v>10164</v>
      </c>
    </row>
    <row r="2542" spans="1:5" ht="25.5" x14ac:dyDescent="0.2">
      <c r="A2542" s="14" t="s">
        <v>10165</v>
      </c>
      <c r="B2542" s="15" t="s">
        <v>468</v>
      </c>
      <c r="C2542" s="15" t="s">
        <v>10056</v>
      </c>
      <c r="D2542" s="15" t="s">
        <v>10057</v>
      </c>
      <c r="E2542" s="15" t="s">
        <v>10166</v>
      </c>
    </row>
    <row r="2543" spans="1:5" ht="25.5" x14ac:dyDescent="0.2">
      <c r="A2543" s="14" t="s">
        <v>10167</v>
      </c>
      <c r="B2543" s="15" t="s">
        <v>895</v>
      </c>
      <c r="C2543" s="15" t="s">
        <v>10168</v>
      </c>
      <c r="D2543" s="15" t="s">
        <v>10169</v>
      </c>
      <c r="E2543" s="15" t="s">
        <v>10170</v>
      </c>
    </row>
    <row r="2544" spans="1:5" ht="25.5" x14ac:dyDescent="0.2">
      <c r="A2544" s="14" t="s">
        <v>10171</v>
      </c>
      <c r="B2544" s="15" t="s">
        <v>985</v>
      </c>
      <c r="C2544" s="15" t="s">
        <v>10056</v>
      </c>
      <c r="D2544" s="15" t="s">
        <v>10057</v>
      </c>
      <c r="E2544" s="15" t="s">
        <v>10172</v>
      </c>
    </row>
    <row r="2545" spans="1:5" ht="25.5" x14ac:dyDescent="0.2">
      <c r="A2545" s="14" t="s">
        <v>10173</v>
      </c>
      <c r="B2545" s="15" t="s">
        <v>10174</v>
      </c>
      <c r="C2545" s="15" t="s">
        <v>10056</v>
      </c>
      <c r="D2545" s="15" t="s">
        <v>10057</v>
      </c>
      <c r="E2545" s="15" t="s">
        <v>10175</v>
      </c>
    </row>
    <row r="2546" spans="1:5" ht="25.5" x14ac:dyDescent="0.2">
      <c r="A2546" s="14" t="s">
        <v>10176</v>
      </c>
      <c r="B2546" s="15" t="s">
        <v>388</v>
      </c>
      <c r="C2546" s="15" t="s">
        <v>10056</v>
      </c>
      <c r="D2546" s="15" t="s">
        <v>10057</v>
      </c>
      <c r="E2546" s="15" t="s">
        <v>10177</v>
      </c>
    </row>
    <row r="2547" spans="1:5" ht="25.5" x14ac:dyDescent="0.2">
      <c r="A2547" s="14" t="s">
        <v>10178</v>
      </c>
      <c r="B2547" s="15" t="s">
        <v>1394</v>
      </c>
      <c r="C2547" s="15" t="s">
        <v>10168</v>
      </c>
      <c r="D2547" s="15" t="s">
        <v>10169</v>
      </c>
      <c r="E2547" s="15" t="s">
        <v>10179</v>
      </c>
    </row>
    <row r="2548" spans="1:5" ht="25.5" x14ac:dyDescent="0.2">
      <c r="A2548" s="14" t="s">
        <v>10180</v>
      </c>
      <c r="B2548" s="15" t="s">
        <v>10181</v>
      </c>
      <c r="C2548" s="15" t="s">
        <v>10168</v>
      </c>
      <c r="D2548" s="15" t="s">
        <v>10169</v>
      </c>
      <c r="E2548" s="15" t="s">
        <v>10182</v>
      </c>
    </row>
    <row r="2549" spans="1:5" ht="25.5" x14ac:dyDescent="0.2">
      <c r="A2549" s="14" t="s">
        <v>10183</v>
      </c>
      <c r="B2549" s="15" t="s">
        <v>1225</v>
      </c>
      <c r="C2549" s="15" t="s">
        <v>10056</v>
      </c>
      <c r="D2549" s="15" t="s">
        <v>10057</v>
      </c>
      <c r="E2549" s="15" t="s">
        <v>10184</v>
      </c>
    </row>
    <row r="2550" spans="1:5" ht="25.5" x14ac:dyDescent="0.2">
      <c r="A2550" s="14" t="s">
        <v>10185</v>
      </c>
      <c r="B2550" s="15" t="s">
        <v>1592</v>
      </c>
      <c r="C2550" s="15" t="s">
        <v>10186</v>
      </c>
      <c r="D2550" s="15" t="s">
        <v>10187</v>
      </c>
      <c r="E2550" s="15" t="s">
        <v>10188</v>
      </c>
    </row>
    <row r="2551" spans="1:5" ht="25.5" x14ac:dyDescent="0.2">
      <c r="A2551" s="14" t="s">
        <v>10189</v>
      </c>
      <c r="B2551" s="15" t="s">
        <v>1393</v>
      </c>
      <c r="C2551" s="15" t="s">
        <v>10190</v>
      </c>
      <c r="D2551" s="15" t="s">
        <v>10191</v>
      </c>
      <c r="E2551" s="15" t="s">
        <v>10192</v>
      </c>
    </row>
    <row r="2552" spans="1:5" ht="25.5" x14ac:dyDescent="0.2">
      <c r="A2552" s="14" t="s">
        <v>10193</v>
      </c>
      <c r="B2552" s="15" t="s">
        <v>117</v>
      </c>
      <c r="C2552" s="15" t="s">
        <v>10190</v>
      </c>
      <c r="D2552" s="15" t="s">
        <v>10191</v>
      </c>
      <c r="E2552" s="15" t="s">
        <v>10194</v>
      </c>
    </row>
    <row r="2553" spans="1:5" ht="25.5" x14ac:dyDescent="0.2">
      <c r="A2553" s="14" t="s">
        <v>10195</v>
      </c>
      <c r="B2553" s="15" t="s">
        <v>601</v>
      </c>
      <c r="C2553" s="15" t="s">
        <v>10190</v>
      </c>
      <c r="D2553" s="15" t="s">
        <v>10191</v>
      </c>
      <c r="E2553" s="15" t="s">
        <v>10196</v>
      </c>
    </row>
    <row r="2554" spans="1:5" ht="25.5" x14ac:dyDescent="0.2">
      <c r="A2554" s="14" t="s">
        <v>10197</v>
      </c>
      <c r="B2554" s="15" t="s">
        <v>1392</v>
      </c>
      <c r="C2554" s="15" t="s">
        <v>10190</v>
      </c>
      <c r="D2554" s="15" t="s">
        <v>10191</v>
      </c>
      <c r="E2554" s="15" t="s">
        <v>10198</v>
      </c>
    </row>
    <row r="2555" spans="1:5" ht="25.5" x14ac:dyDescent="0.2">
      <c r="A2555" s="14" t="s">
        <v>10199</v>
      </c>
      <c r="B2555" s="15" t="s">
        <v>997</v>
      </c>
      <c r="C2555" s="15" t="s">
        <v>10190</v>
      </c>
      <c r="D2555" s="15" t="s">
        <v>10191</v>
      </c>
      <c r="E2555" s="15" t="s">
        <v>10200</v>
      </c>
    </row>
    <row r="2556" spans="1:5" ht="25.5" x14ac:dyDescent="0.2">
      <c r="A2556" s="14" t="s">
        <v>10201</v>
      </c>
      <c r="B2556" s="15" t="s">
        <v>594</v>
      </c>
      <c r="C2556" s="15" t="s">
        <v>10202</v>
      </c>
      <c r="D2556" s="15" t="s">
        <v>10203</v>
      </c>
      <c r="E2556" s="15" t="s">
        <v>10204</v>
      </c>
    </row>
    <row r="2557" spans="1:5" ht="25.5" x14ac:dyDescent="0.2">
      <c r="A2557" s="14" t="s">
        <v>10205</v>
      </c>
      <c r="B2557" s="15" t="s">
        <v>457</v>
      </c>
      <c r="C2557" s="15" t="s">
        <v>10202</v>
      </c>
      <c r="D2557" s="15" t="s">
        <v>10203</v>
      </c>
      <c r="E2557" s="15" t="s">
        <v>10206</v>
      </c>
    </row>
    <row r="2558" spans="1:5" ht="25.5" x14ac:dyDescent="0.2">
      <c r="A2558" s="14" t="s">
        <v>10207</v>
      </c>
      <c r="B2558" s="15" t="s">
        <v>1361</v>
      </c>
      <c r="C2558" s="15" t="s">
        <v>10202</v>
      </c>
      <c r="D2558" s="15" t="s">
        <v>10203</v>
      </c>
      <c r="E2558" s="15" t="s">
        <v>10208</v>
      </c>
    </row>
    <row r="2559" spans="1:5" ht="25.5" x14ac:dyDescent="0.2">
      <c r="A2559" s="14" t="s">
        <v>10209</v>
      </c>
      <c r="B2559" s="15" t="s">
        <v>986</v>
      </c>
      <c r="C2559" s="15" t="s">
        <v>10202</v>
      </c>
      <c r="D2559" s="15" t="s">
        <v>10203</v>
      </c>
      <c r="E2559" s="15" t="s">
        <v>10210</v>
      </c>
    </row>
    <row r="2560" spans="1:5" ht="25.5" x14ac:dyDescent="0.2">
      <c r="A2560" s="14" t="s">
        <v>10211</v>
      </c>
      <c r="B2560" s="15" t="s">
        <v>10212</v>
      </c>
      <c r="C2560" s="15" t="s">
        <v>10213</v>
      </c>
      <c r="D2560" s="15" t="s">
        <v>10214</v>
      </c>
      <c r="E2560" s="15" t="s">
        <v>10215</v>
      </c>
    </row>
    <row r="2561" spans="1:5" ht="25.5" x14ac:dyDescent="0.2">
      <c r="A2561" s="14" t="s">
        <v>10216</v>
      </c>
      <c r="B2561" s="15" t="s">
        <v>1391</v>
      </c>
      <c r="C2561" s="15" t="s">
        <v>10217</v>
      </c>
      <c r="D2561" s="15" t="s">
        <v>10218</v>
      </c>
      <c r="E2561" s="15" t="s">
        <v>10219</v>
      </c>
    </row>
    <row r="2562" spans="1:5" ht="25.5" x14ac:dyDescent="0.2">
      <c r="A2562" s="14" t="s">
        <v>10220</v>
      </c>
      <c r="B2562" s="15" t="s">
        <v>784</v>
      </c>
      <c r="C2562" s="15" t="s">
        <v>10217</v>
      </c>
      <c r="D2562" s="15" t="s">
        <v>10218</v>
      </c>
      <c r="E2562" s="15" t="s">
        <v>10221</v>
      </c>
    </row>
    <row r="2563" spans="1:5" ht="25.5" x14ac:dyDescent="0.2">
      <c r="A2563" s="14" t="s">
        <v>10222</v>
      </c>
      <c r="B2563" s="15" t="s">
        <v>1375</v>
      </c>
      <c r="C2563" s="15" t="s">
        <v>10217</v>
      </c>
      <c r="D2563" s="15" t="s">
        <v>10218</v>
      </c>
      <c r="E2563" s="15" t="s">
        <v>10223</v>
      </c>
    </row>
    <row r="2564" spans="1:5" ht="25.5" x14ac:dyDescent="0.2">
      <c r="A2564" s="14" t="s">
        <v>10224</v>
      </c>
      <c r="B2564" s="15" t="s">
        <v>1190</v>
      </c>
      <c r="C2564" s="15" t="s">
        <v>10217</v>
      </c>
      <c r="D2564" s="15" t="s">
        <v>10218</v>
      </c>
      <c r="E2564" s="15" t="s">
        <v>10225</v>
      </c>
    </row>
    <row r="2565" spans="1:5" ht="25.5" x14ac:dyDescent="0.2">
      <c r="A2565" s="14" t="s">
        <v>10226</v>
      </c>
      <c r="B2565" s="15" t="s">
        <v>595</v>
      </c>
      <c r="C2565" s="15" t="s">
        <v>10227</v>
      </c>
      <c r="D2565" s="15" t="s">
        <v>10228</v>
      </c>
      <c r="E2565" s="15" t="s">
        <v>10229</v>
      </c>
    </row>
    <row r="2566" spans="1:5" ht="25.5" x14ac:dyDescent="0.2">
      <c r="A2566" s="14" t="s">
        <v>10230</v>
      </c>
      <c r="B2566" s="15" t="s">
        <v>481</v>
      </c>
      <c r="C2566" s="15" t="s">
        <v>10227</v>
      </c>
      <c r="D2566" s="15" t="s">
        <v>10228</v>
      </c>
      <c r="E2566" s="15" t="s">
        <v>10231</v>
      </c>
    </row>
    <row r="2567" spans="1:5" ht="25.5" x14ac:dyDescent="0.2">
      <c r="A2567" s="14" t="s">
        <v>10232</v>
      </c>
      <c r="B2567" s="15" t="s">
        <v>10233</v>
      </c>
      <c r="C2567" s="15" t="s">
        <v>10227</v>
      </c>
      <c r="D2567" s="15" t="s">
        <v>10228</v>
      </c>
      <c r="E2567" s="15" t="s">
        <v>10234</v>
      </c>
    </row>
    <row r="2568" spans="1:5" ht="25.5" x14ac:dyDescent="0.2">
      <c r="A2568" s="14" t="s">
        <v>10235</v>
      </c>
      <c r="B2568" s="15" t="s">
        <v>10236</v>
      </c>
      <c r="C2568" s="15" t="s">
        <v>10227</v>
      </c>
      <c r="D2568" s="15" t="s">
        <v>10228</v>
      </c>
      <c r="E2568" s="15" t="s">
        <v>10237</v>
      </c>
    </row>
    <row r="2569" spans="1:5" ht="25.5" x14ac:dyDescent="0.2">
      <c r="A2569" s="14" t="s">
        <v>10238</v>
      </c>
      <c r="B2569" s="15" t="s">
        <v>10239</v>
      </c>
      <c r="C2569" s="15" t="s">
        <v>10240</v>
      </c>
      <c r="D2569" s="15" t="s">
        <v>10241</v>
      </c>
      <c r="E2569" s="15" t="s">
        <v>10242</v>
      </c>
    </row>
    <row r="2570" spans="1:5" ht="25.5" x14ac:dyDescent="0.2">
      <c r="A2570" s="14" t="s">
        <v>10243</v>
      </c>
      <c r="B2570" s="15" t="s">
        <v>10244</v>
      </c>
      <c r="C2570" s="15" t="s">
        <v>10245</v>
      </c>
      <c r="D2570" s="15" t="s">
        <v>10246</v>
      </c>
      <c r="E2570" s="15" t="s">
        <v>10247</v>
      </c>
    </row>
    <row r="2571" spans="1:5" ht="25.5" x14ac:dyDescent="0.2">
      <c r="A2571" s="14" t="s">
        <v>10248</v>
      </c>
      <c r="B2571" s="15" t="s">
        <v>673</v>
      </c>
      <c r="C2571" s="15" t="s">
        <v>10245</v>
      </c>
      <c r="D2571" s="15" t="s">
        <v>10246</v>
      </c>
      <c r="E2571" s="15" t="s">
        <v>10249</v>
      </c>
    </row>
    <row r="2572" spans="1:5" ht="25.5" x14ac:dyDescent="0.2">
      <c r="A2572" s="14" t="s">
        <v>10250</v>
      </c>
      <c r="B2572" s="15" t="s">
        <v>10251</v>
      </c>
      <c r="C2572" s="15" t="s">
        <v>10240</v>
      </c>
      <c r="D2572" s="15" t="s">
        <v>10241</v>
      </c>
      <c r="E2572" s="15" t="s">
        <v>10252</v>
      </c>
    </row>
    <row r="2573" spans="1:5" ht="25.5" x14ac:dyDescent="0.2">
      <c r="A2573" s="14" t="s">
        <v>10253</v>
      </c>
      <c r="B2573" s="15" t="s">
        <v>1609</v>
      </c>
      <c r="C2573" s="15" t="s">
        <v>10240</v>
      </c>
      <c r="D2573" s="15" t="s">
        <v>10241</v>
      </c>
      <c r="E2573" s="15" t="s">
        <v>10254</v>
      </c>
    </row>
    <row r="2574" spans="1:5" ht="25.5" x14ac:dyDescent="0.2">
      <c r="A2574" s="14" t="s">
        <v>10255</v>
      </c>
      <c r="B2574" s="15" t="s">
        <v>1446</v>
      </c>
      <c r="C2574" s="15" t="s">
        <v>10240</v>
      </c>
      <c r="D2574" s="15" t="s">
        <v>10241</v>
      </c>
      <c r="E2574" s="15" t="s">
        <v>10256</v>
      </c>
    </row>
    <row r="2575" spans="1:5" ht="25.5" x14ac:dyDescent="0.2">
      <c r="A2575" s="14" t="s">
        <v>10257</v>
      </c>
      <c r="B2575" s="15" t="s">
        <v>785</v>
      </c>
      <c r="C2575" s="15" t="s">
        <v>10245</v>
      </c>
      <c r="D2575" s="15" t="s">
        <v>10246</v>
      </c>
      <c r="E2575" s="15" t="s">
        <v>10258</v>
      </c>
    </row>
    <row r="2576" spans="1:5" ht="25.5" x14ac:dyDescent="0.2">
      <c r="A2576" s="14" t="s">
        <v>10259</v>
      </c>
      <c r="B2576" s="15" t="s">
        <v>1610</v>
      </c>
      <c r="C2576" s="15" t="s">
        <v>10240</v>
      </c>
      <c r="D2576" s="15" t="s">
        <v>10241</v>
      </c>
      <c r="E2576" s="15" t="s">
        <v>10260</v>
      </c>
    </row>
    <row r="2577" spans="1:5" ht="25.5" x14ac:dyDescent="0.2">
      <c r="A2577" s="14" t="s">
        <v>10261</v>
      </c>
      <c r="B2577" s="15" t="s">
        <v>10262</v>
      </c>
      <c r="C2577" s="15" t="s">
        <v>10240</v>
      </c>
      <c r="D2577" s="15" t="s">
        <v>10241</v>
      </c>
      <c r="E2577" s="15" t="s">
        <v>10263</v>
      </c>
    </row>
    <row r="2578" spans="1:5" ht="25.5" x14ac:dyDescent="0.2">
      <c r="A2578" s="14" t="s">
        <v>10264</v>
      </c>
      <c r="B2578" s="15" t="s">
        <v>10265</v>
      </c>
      <c r="C2578" s="15" t="s">
        <v>10240</v>
      </c>
      <c r="D2578" s="15" t="s">
        <v>10241</v>
      </c>
      <c r="E2578" s="15" t="s">
        <v>10266</v>
      </c>
    </row>
    <row r="2579" spans="1:5" ht="25.5" x14ac:dyDescent="0.2">
      <c r="A2579" s="14" t="s">
        <v>10267</v>
      </c>
      <c r="B2579" s="15" t="s">
        <v>10268</v>
      </c>
      <c r="C2579" s="15" t="s">
        <v>10240</v>
      </c>
      <c r="D2579" s="15" t="s">
        <v>10241</v>
      </c>
      <c r="E2579" s="15" t="s">
        <v>10269</v>
      </c>
    </row>
    <row r="2580" spans="1:5" ht="25.5" x14ac:dyDescent="0.2">
      <c r="A2580" s="14" t="s">
        <v>10270</v>
      </c>
      <c r="B2580" s="15" t="s">
        <v>10271</v>
      </c>
      <c r="C2580" s="15" t="s">
        <v>10245</v>
      </c>
      <c r="D2580" s="15" t="s">
        <v>10246</v>
      </c>
      <c r="E2580" s="15" t="s">
        <v>10272</v>
      </c>
    </row>
    <row r="2581" spans="1:5" ht="25.5" x14ac:dyDescent="0.2">
      <c r="A2581" s="14" t="s">
        <v>10273</v>
      </c>
      <c r="B2581" s="15" t="s">
        <v>10274</v>
      </c>
      <c r="C2581" s="15" t="s">
        <v>10240</v>
      </c>
      <c r="D2581" s="15" t="s">
        <v>10241</v>
      </c>
      <c r="E2581" s="15" t="s">
        <v>10275</v>
      </c>
    </row>
    <row r="2582" spans="1:5" ht="25.5" x14ac:dyDescent="0.2">
      <c r="A2582" s="14" t="s">
        <v>10276</v>
      </c>
      <c r="B2582" s="15" t="s">
        <v>10277</v>
      </c>
      <c r="C2582" s="15" t="s">
        <v>10245</v>
      </c>
      <c r="D2582" s="15" t="s">
        <v>10246</v>
      </c>
      <c r="E2582" s="15" t="s">
        <v>10278</v>
      </c>
    </row>
    <row r="2583" spans="1:5" ht="25.5" x14ac:dyDescent="0.2">
      <c r="A2583" s="14" t="s">
        <v>10279</v>
      </c>
      <c r="B2583" s="15" t="s">
        <v>10280</v>
      </c>
      <c r="C2583" s="15" t="s">
        <v>10240</v>
      </c>
      <c r="D2583" s="15" t="s">
        <v>10241</v>
      </c>
      <c r="E2583" s="15" t="s">
        <v>10281</v>
      </c>
    </row>
    <row r="2584" spans="1:5" ht="25.5" x14ac:dyDescent="0.2">
      <c r="A2584" s="14" t="s">
        <v>10282</v>
      </c>
      <c r="B2584" s="15" t="s">
        <v>1555</v>
      </c>
      <c r="C2584" s="15" t="s">
        <v>10240</v>
      </c>
      <c r="D2584" s="15" t="s">
        <v>10241</v>
      </c>
      <c r="E2584" s="15" t="s">
        <v>10283</v>
      </c>
    </row>
    <row r="2585" spans="1:5" ht="25.5" x14ac:dyDescent="0.2">
      <c r="A2585" s="14" t="s">
        <v>10284</v>
      </c>
      <c r="B2585" s="15" t="s">
        <v>10285</v>
      </c>
      <c r="C2585" s="15" t="s">
        <v>10245</v>
      </c>
      <c r="D2585" s="15" t="s">
        <v>10246</v>
      </c>
      <c r="E2585" s="15" t="s">
        <v>10286</v>
      </c>
    </row>
    <row r="2586" spans="1:5" ht="25.5" x14ac:dyDescent="0.2">
      <c r="A2586" s="14" t="s">
        <v>10287</v>
      </c>
      <c r="B2586" s="15" t="s">
        <v>663</v>
      </c>
      <c r="C2586" s="15" t="s">
        <v>10245</v>
      </c>
      <c r="D2586" s="15" t="s">
        <v>10246</v>
      </c>
      <c r="E2586" s="15" t="s">
        <v>10288</v>
      </c>
    </row>
    <row r="2587" spans="1:5" ht="25.5" x14ac:dyDescent="0.2">
      <c r="A2587" s="14" t="s">
        <v>10289</v>
      </c>
      <c r="B2587" s="15" t="s">
        <v>10290</v>
      </c>
      <c r="C2587" s="15" t="s">
        <v>10240</v>
      </c>
      <c r="D2587" s="15" t="s">
        <v>10241</v>
      </c>
      <c r="E2587" s="15" t="s">
        <v>10291</v>
      </c>
    </row>
    <row r="2588" spans="1:5" ht="25.5" x14ac:dyDescent="0.2">
      <c r="A2588" s="14" t="s">
        <v>10292</v>
      </c>
      <c r="B2588" s="15" t="s">
        <v>10293</v>
      </c>
      <c r="C2588" s="15" t="s">
        <v>10240</v>
      </c>
      <c r="D2588" s="15" t="s">
        <v>10241</v>
      </c>
      <c r="E2588" s="15" t="s">
        <v>10294</v>
      </c>
    </row>
    <row r="2589" spans="1:5" ht="38.25" x14ac:dyDescent="0.2">
      <c r="A2589" s="14" t="s">
        <v>10295</v>
      </c>
      <c r="B2589" s="15" t="s">
        <v>10296</v>
      </c>
      <c r="C2589" s="15" t="s">
        <v>10245</v>
      </c>
      <c r="D2589" s="15" t="s">
        <v>10246</v>
      </c>
      <c r="E2589" s="15" t="s">
        <v>10297</v>
      </c>
    </row>
    <row r="2590" spans="1:5" ht="25.5" x14ac:dyDescent="0.2">
      <c r="A2590" s="14" t="s">
        <v>10298</v>
      </c>
      <c r="B2590" s="15" t="s">
        <v>662</v>
      </c>
      <c r="C2590" s="15" t="s">
        <v>10245</v>
      </c>
      <c r="D2590" s="15" t="s">
        <v>10246</v>
      </c>
      <c r="E2590" s="15" t="s">
        <v>10299</v>
      </c>
    </row>
    <row r="2591" spans="1:5" ht="25.5" x14ac:dyDescent="0.2">
      <c r="A2591" s="14" t="s">
        <v>10300</v>
      </c>
      <c r="B2591" s="15" t="s">
        <v>1612</v>
      </c>
      <c r="C2591" s="15" t="s">
        <v>10240</v>
      </c>
      <c r="D2591" s="15" t="s">
        <v>10241</v>
      </c>
      <c r="E2591" s="15" t="s">
        <v>10301</v>
      </c>
    </row>
    <row r="2592" spans="1:5" ht="25.5" x14ac:dyDescent="0.2">
      <c r="A2592" s="14" t="s">
        <v>10302</v>
      </c>
      <c r="B2592" s="15" t="s">
        <v>1611</v>
      </c>
      <c r="C2592" s="15" t="s">
        <v>10240</v>
      </c>
      <c r="D2592" s="15" t="s">
        <v>10241</v>
      </c>
      <c r="E2592" s="15" t="s">
        <v>10303</v>
      </c>
    </row>
    <row r="2593" spans="1:5" ht="25.5" x14ac:dyDescent="0.2">
      <c r="A2593" s="14" t="s">
        <v>10304</v>
      </c>
      <c r="B2593" s="15" t="s">
        <v>10305</v>
      </c>
      <c r="C2593" s="15" t="s">
        <v>10240</v>
      </c>
      <c r="D2593" s="15" t="s">
        <v>10241</v>
      </c>
      <c r="E2593" s="15" t="s">
        <v>10306</v>
      </c>
    </row>
    <row r="2594" spans="1:5" ht="25.5" x14ac:dyDescent="0.2">
      <c r="A2594" s="14" t="s">
        <v>10307</v>
      </c>
      <c r="B2594" s="15" t="s">
        <v>10308</v>
      </c>
      <c r="C2594" s="15" t="s">
        <v>4104</v>
      </c>
      <c r="D2594" s="15" t="s">
        <v>4105</v>
      </c>
      <c r="E2594" s="15" t="s">
        <v>10309</v>
      </c>
    </row>
    <row r="2595" spans="1:5" ht="25.5" x14ac:dyDescent="0.2">
      <c r="A2595" s="14" t="s">
        <v>10310</v>
      </c>
      <c r="B2595" s="15" t="s">
        <v>10311</v>
      </c>
      <c r="C2595" s="15" t="s">
        <v>4104</v>
      </c>
      <c r="D2595" s="15" t="s">
        <v>4105</v>
      </c>
      <c r="E2595" s="15" t="s">
        <v>10312</v>
      </c>
    </row>
    <row r="2596" spans="1:5" ht="25.5" x14ac:dyDescent="0.2">
      <c r="A2596" s="14" t="s">
        <v>10313</v>
      </c>
      <c r="B2596" s="15" t="s">
        <v>10314</v>
      </c>
      <c r="C2596" s="15" t="s">
        <v>4104</v>
      </c>
      <c r="D2596" s="15" t="s">
        <v>4105</v>
      </c>
      <c r="E2596" s="15" t="s">
        <v>10315</v>
      </c>
    </row>
    <row r="2597" spans="1:5" ht="25.5" x14ac:dyDescent="0.2">
      <c r="A2597" s="14" t="s">
        <v>10316</v>
      </c>
      <c r="B2597" s="15" t="s">
        <v>10317</v>
      </c>
      <c r="C2597" s="15" t="s">
        <v>4104</v>
      </c>
      <c r="D2597" s="15" t="s">
        <v>4105</v>
      </c>
      <c r="E2597" s="15" t="s">
        <v>10318</v>
      </c>
    </row>
    <row r="2598" spans="1:5" ht="25.5" x14ac:dyDescent="0.2">
      <c r="A2598" s="14" t="s">
        <v>10319</v>
      </c>
      <c r="B2598" s="15" t="s">
        <v>788</v>
      </c>
      <c r="C2598" s="15" t="s">
        <v>4764</v>
      </c>
      <c r="D2598" s="15" t="s">
        <v>4765</v>
      </c>
      <c r="E2598" s="15" t="s">
        <v>10320</v>
      </c>
    </row>
    <row r="2599" spans="1:5" ht="25.5" x14ac:dyDescent="0.2">
      <c r="A2599" s="14" t="s">
        <v>10321</v>
      </c>
      <c r="B2599" s="15" t="s">
        <v>835</v>
      </c>
      <c r="C2599" s="15" t="s">
        <v>6061</v>
      </c>
      <c r="D2599" s="15" t="s">
        <v>6062</v>
      </c>
      <c r="E2599" s="15" t="s">
        <v>10322</v>
      </c>
    </row>
    <row r="2600" spans="1:5" ht="25.5" x14ac:dyDescent="0.2">
      <c r="A2600" s="14" t="s">
        <v>10323</v>
      </c>
      <c r="B2600" s="15" t="s">
        <v>1303</v>
      </c>
      <c r="C2600" s="15" t="s">
        <v>6061</v>
      </c>
      <c r="D2600" s="15" t="s">
        <v>6062</v>
      </c>
      <c r="E2600" s="15" t="s">
        <v>10324</v>
      </c>
    </row>
    <row r="2601" spans="1:5" ht="25.5" x14ac:dyDescent="0.2">
      <c r="A2601" s="14" t="s">
        <v>10325</v>
      </c>
      <c r="B2601" s="15" t="s">
        <v>10326</v>
      </c>
      <c r="C2601" s="15" t="s">
        <v>3318</v>
      </c>
      <c r="D2601" s="15" t="s">
        <v>3319</v>
      </c>
      <c r="E2601" s="15" t="s">
        <v>10327</v>
      </c>
    </row>
    <row r="2602" spans="1:5" ht="25.5" x14ac:dyDescent="0.2">
      <c r="A2602" s="14" t="s">
        <v>10328</v>
      </c>
      <c r="B2602" s="15" t="s">
        <v>10329</v>
      </c>
      <c r="C2602" s="15" t="s">
        <v>4857</v>
      </c>
      <c r="D2602" s="15" t="s">
        <v>4858</v>
      </c>
      <c r="E2602" s="15" t="s">
        <v>10330</v>
      </c>
    </row>
    <row r="2603" spans="1:5" ht="25.5" x14ac:dyDescent="0.2">
      <c r="A2603" s="14" t="s">
        <v>10331</v>
      </c>
      <c r="B2603" s="15" t="s">
        <v>10332</v>
      </c>
      <c r="C2603" s="15" t="s">
        <v>4764</v>
      </c>
      <c r="D2603" s="15" t="s">
        <v>4765</v>
      </c>
      <c r="E2603" s="15" t="s">
        <v>10333</v>
      </c>
    </row>
    <row r="2604" spans="1:5" ht="25.5" x14ac:dyDescent="0.2">
      <c r="A2604" s="14" t="s">
        <v>10334</v>
      </c>
      <c r="B2604" s="15" t="s">
        <v>10335</v>
      </c>
      <c r="C2604" s="15" t="s">
        <v>5131</v>
      </c>
      <c r="D2604" s="15" t="s">
        <v>5132</v>
      </c>
      <c r="E2604" s="15" t="s">
        <v>10336</v>
      </c>
    </row>
    <row r="2605" spans="1:5" ht="25.5" x14ac:dyDescent="0.2">
      <c r="A2605" s="14" t="s">
        <v>10337</v>
      </c>
      <c r="B2605" s="15" t="s">
        <v>10338</v>
      </c>
      <c r="C2605" s="15" t="s">
        <v>4829</v>
      </c>
      <c r="D2605" s="15" t="s">
        <v>4830</v>
      </c>
      <c r="E2605" s="15" t="s">
        <v>10339</v>
      </c>
    </row>
    <row r="2606" spans="1:5" ht="38.25" x14ac:dyDescent="0.2">
      <c r="A2606" s="14" t="s">
        <v>10340</v>
      </c>
      <c r="B2606" s="15" t="s">
        <v>10341</v>
      </c>
      <c r="C2606" s="15" t="s">
        <v>9775</v>
      </c>
      <c r="D2606" s="15" t="s">
        <v>9776</v>
      </c>
      <c r="E2606" s="15" t="s">
        <v>10342</v>
      </c>
    </row>
    <row r="2607" spans="1:5" ht="38.25" x14ac:dyDescent="0.2">
      <c r="A2607" s="14" t="s">
        <v>10343</v>
      </c>
      <c r="B2607" s="15" t="s">
        <v>10344</v>
      </c>
      <c r="C2607" s="15" t="s">
        <v>4029</v>
      </c>
      <c r="D2607" s="15" t="s">
        <v>4030</v>
      </c>
      <c r="E2607" s="15" t="s">
        <v>10345</v>
      </c>
    </row>
    <row r="2608" spans="1:5" ht="25.5" x14ac:dyDescent="0.2">
      <c r="A2608" s="14" t="s">
        <v>10346</v>
      </c>
      <c r="B2608" s="15" t="s">
        <v>10347</v>
      </c>
      <c r="C2608" s="15" t="s">
        <v>8279</v>
      </c>
      <c r="D2608" s="15" t="s">
        <v>8280</v>
      </c>
      <c r="E2608" s="15" t="s">
        <v>10348</v>
      </c>
    </row>
    <row r="2609" spans="1:5" ht="25.5" x14ac:dyDescent="0.2">
      <c r="A2609" s="14" t="s">
        <v>10349</v>
      </c>
      <c r="B2609" s="15" t="s">
        <v>10350</v>
      </c>
      <c r="C2609" s="15" t="s">
        <v>10351</v>
      </c>
      <c r="D2609" s="15" t="s">
        <v>10352</v>
      </c>
      <c r="E2609" s="15" t="s">
        <v>10353</v>
      </c>
    </row>
    <row r="2610" spans="1:5" ht="25.5" x14ac:dyDescent="0.2">
      <c r="A2610" s="14" t="s">
        <v>10354</v>
      </c>
      <c r="B2610" s="15" t="s">
        <v>324</v>
      </c>
      <c r="C2610" s="15" t="s">
        <v>4179</v>
      </c>
      <c r="D2610" s="15" t="s">
        <v>4180</v>
      </c>
      <c r="E2610" s="15" t="s">
        <v>10355</v>
      </c>
    </row>
    <row r="2611" spans="1:5" ht="25.5" x14ac:dyDescent="0.2">
      <c r="A2611" s="14" t="s">
        <v>10356</v>
      </c>
      <c r="B2611" s="15" t="s">
        <v>1411</v>
      </c>
      <c r="C2611" s="15" t="s">
        <v>4179</v>
      </c>
      <c r="D2611" s="15" t="s">
        <v>4180</v>
      </c>
      <c r="E2611" s="15" t="s">
        <v>10357</v>
      </c>
    </row>
    <row r="2612" spans="1:5" ht="25.5" x14ac:dyDescent="0.2">
      <c r="A2612" s="14" t="s">
        <v>10358</v>
      </c>
      <c r="B2612" s="15" t="s">
        <v>10359</v>
      </c>
      <c r="C2612" s="15" t="s">
        <v>3339</v>
      </c>
      <c r="D2612" s="15" t="s">
        <v>3340</v>
      </c>
      <c r="E2612" s="15" t="s">
        <v>10360</v>
      </c>
    </row>
    <row r="2613" spans="1:5" ht="38.25" x14ac:dyDescent="0.2">
      <c r="A2613" s="14" t="s">
        <v>10361</v>
      </c>
      <c r="B2613" s="15" t="s">
        <v>1279</v>
      </c>
      <c r="C2613" s="15" t="s">
        <v>3303</v>
      </c>
      <c r="D2613" s="15" t="s">
        <v>3304</v>
      </c>
      <c r="E2613" s="15" t="s">
        <v>10362</v>
      </c>
    </row>
    <row r="2614" spans="1:5" ht="25.5" x14ac:dyDescent="0.2">
      <c r="A2614" s="14" t="s">
        <v>10363</v>
      </c>
      <c r="B2614" s="15" t="s">
        <v>10364</v>
      </c>
      <c r="C2614" s="15" t="s">
        <v>4171</v>
      </c>
      <c r="D2614" s="15" t="s">
        <v>4172</v>
      </c>
      <c r="E2614" s="15" t="s">
        <v>10365</v>
      </c>
    </row>
    <row r="2615" spans="1:5" ht="25.5" x14ac:dyDescent="0.2">
      <c r="A2615" s="14" t="s">
        <v>10366</v>
      </c>
      <c r="B2615" s="15" t="s">
        <v>10367</v>
      </c>
      <c r="C2615" s="15" t="s">
        <v>4171</v>
      </c>
      <c r="D2615" s="15" t="s">
        <v>4172</v>
      </c>
      <c r="E2615" s="15" t="s">
        <v>10368</v>
      </c>
    </row>
    <row r="2616" spans="1:5" ht="25.5" x14ac:dyDescent="0.2">
      <c r="A2616" s="14" t="s">
        <v>10369</v>
      </c>
      <c r="B2616" s="15" t="s">
        <v>10370</v>
      </c>
      <c r="C2616" s="15" t="s">
        <v>4171</v>
      </c>
      <c r="D2616" s="15" t="s">
        <v>4172</v>
      </c>
      <c r="E2616" s="15" t="s">
        <v>10371</v>
      </c>
    </row>
    <row r="2617" spans="1:5" ht="25.5" x14ac:dyDescent="0.2">
      <c r="A2617" s="14" t="s">
        <v>10372</v>
      </c>
      <c r="B2617" s="15" t="s">
        <v>10373</v>
      </c>
      <c r="C2617" s="15" t="s">
        <v>4171</v>
      </c>
      <c r="D2617" s="15" t="s">
        <v>4172</v>
      </c>
      <c r="E2617" s="15" t="s">
        <v>10374</v>
      </c>
    </row>
    <row r="2618" spans="1:5" ht="25.5" x14ac:dyDescent="0.2">
      <c r="A2618" s="14" t="s">
        <v>10375</v>
      </c>
      <c r="B2618" s="15" t="s">
        <v>10376</v>
      </c>
      <c r="C2618" s="15" t="s">
        <v>4273</v>
      </c>
      <c r="D2618" s="15" t="s">
        <v>4274</v>
      </c>
      <c r="E2618" s="15" t="s">
        <v>10377</v>
      </c>
    </row>
    <row r="2619" spans="1:5" ht="25.5" x14ac:dyDescent="0.2">
      <c r="A2619" s="14" t="s">
        <v>10378</v>
      </c>
      <c r="B2619" s="15" t="s">
        <v>255</v>
      </c>
      <c r="C2619" s="15" t="s">
        <v>4179</v>
      </c>
      <c r="D2619" s="15" t="s">
        <v>4180</v>
      </c>
      <c r="E2619" s="15" t="s">
        <v>10379</v>
      </c>
    </row>
    <row r="2620" spans="1:5" ht="25.5" x14ac:dyDescent="0.2">
      <c r="A2620" s="14" t="s">
        <v>10380</v>
      </c>
      <c r="B2620" s="15" t="s">
        <v>10381</v>
      </c>
      <c r="C2620" s="15" t="s">
        <v>6292</v>
      </c>
      <c r="D2620" s="15" t="s">
        <v>6293</v>
      </c>
      <c r="E2620" s="15" t="s">
        <v>10382</v>
      </c>
    </row>
    <row r="2621" spans="1:5" ht="25.5" x14ac:dyDescent="0.2">
      <c r="A2621" s="14" t="s">
        <v>10383</v>
      </c>
      <c r="B2621" s="15" t="s">
        <v>10384</v>
      </c>
      <c r="C2621" s="15" t="s">
        <v>6292</v>
      </c>
      <c r="D2621" s="15" t="s">
        <v>6293</v>
      </c>
      <c r="E2621" s="15" t="s">
        <v>10385</v>
      </c>
    </row>
    <row r="2622" spans="1:5" ht="25.5" x14ac:dyDescent="0.2">
      <c r="A2622" s="14" t="s">
        <v>10386</v>
      </c>
      <c r="B2622" s="15" t="s">
        <v>352</v>
      </c>
      <c r="C2622" s="15" t="s">
        <v>10387</v>
      </c>
      <c r="D2622" s="15" t="s">
        <v>10388</v>
      </c>
      <c r="E2622" s="15" t="s">
        <v>10389</v>
      </c>
    </row>
    <row r="2623" spans="1:5" ht="25.5" x14ac:dyDescent="0.2">
      <c r="A2623" s="14" t="s">
        <v>10390</v>
      </c>
      <c r="B2623" s="15" t="s">
        <v>270</v>
      </c>
      <c r="C2623" s="15" t="s">
        <v>10387</v>
      </c>
      <c r="D2623" s="15" t="s">
        <v>10388</v>
      </c>
      <c r="E2623" s="15" t="s">
        <v>10391</v>
      </c>
    </row>
    <row r="2624" spans="1:5" ht="25.5" x14ac:dyDescent="0.2">
      <c r="A2624" s="14" t="s">
        <v>10392</v>
      </c>
      <c r="B2624" s="15" t="s">
        <v>1285</v>
      </c>
      <c r="C2624" s="15" t="s">
        <v>10387</v>
      </c>
      <c r="D2624" s="15" t="s">
        <v>10388</v>
      </c>
      <c r="E2624" s="15" t="s">
        <v>10393</v>
      </c>
    </row>
    <row r="2625" spans="1:5" ht="25.5" x14ac:dyDescent="0.2">
      <c r="A2625" s="14" t="s">
        <v>10394</v>
      </c>
      <c r="B2625" s="15" t="s">
        <v>1332</v>
      </c>
      <c r="C2625" s="15" t="s">
        <v>10387</v>
      </c>
      <c r="D2625" s="15" t="s">
        <v>10388</v>
      </c>
      <c r="E2625" s="15" t="s">
        <v>10395</v>
      </c>
    </row>
    <row r="2626" spans="1:5" ht="25.5" x14ac:dyDescent="0.2">
      <c r="A2626" s="14" t="s">
        <v>10396</v>
      </c>
      <c r="B2626" s="15" t="s">
        <v>499</v>
      </c>
      <c r="C2626" s="15" t="s">
        <v>10387</v>
      </c>
      <c r="D2626" s="15" t="s">
        <v>10388</v>
      </c>
      <c r="E2626" s="15" t="s">
        <v>10397</v>
      </c>
    </row>
    <row r="2627" spans="1:5" ht="25.5" x14ac:dyDescent="0.2">
      <c r="A2627" s="14" t="s">
        <v>10398</v>
      </c>
      <c r="B2627" s="15" t="s">
        <v>550</v>
      </c>
      <c r="C2627" s="15" t="s">
        <v>10387</v>
      </c>
      <c r="D2627" s="15" t="s">
        <v>10388</v>
      </c>
      <c r="E2627" s="15" t="s">
        <v>10399</v>
      </c>
    </row>
    <row r="2628" spans="1:5" ht="25.5" x14ac:dyDescent="0.2">
      <c r="A2628" s="14" t="s">
        <v>10400</v>
      </c>
      <c r="B2628" s="15" t="s">
        <v>10401</v>
      </c>
      <c r="C2628" s="15" t="s">
        <v>10387</v>
      </c>
      <c r="D2628" s="15" t="s">
        <v>10388</v>
      </c>
      <c r="E2628" s="15" t="s">
        <v>10402</v>
      </c>
    </row>
    <row r="2629" spans="1:5" ht="25.5" x14ac:dyDescent="0.2">
      <c r="A2629" s="14" t="s">
        <v>10403</v>
      </c>
      <c r="B2629" s="15" t="s">
        <v>10404</v>
      </c>
      <c r="C2629" s="15" t="s">
        <v>4171</v>
      </c>
      <c r="D2629" s="15" t="s">
        <v>4172</v>
      </c>
      <c r="E2629" s="15" t="s">
        <v>10405</v>
      </c>
    </row>
    <row r="2630" spans="1:5" ht="25.5" x14ac:dyDescent="0.2">
      <c r="A2630" s="14" t="s">
        <v>10406</v>
      </c>
      <c r="B2630" s="15" t="s">
        <v>10407</v>
      </c>
      <c r="C2630" s="15" t="s">
        <v>4171</v>
      </c>
      <c r="D2630" s="15" t="s">
        <v>4172</v>
      </c>
      <c r="E2630" s="15" t="s">
        <v>10408</v>
      </c>
    </row>
    <row r="2631" spans="1:5" ht="25.5" x14ac:dyDescent="0.2">
      <c r="A2631" s="14" t="s">
        <v>10409</v>
      </c>
      <c r="B2631" s="15" t="s">
        <v>10410</v>
      </c>
      <c r="C2631" s="15" t="s">
        <v>5202</v>
      </c>
      <c r="D2631" s="15" t="s">
        <v>5203</v>
      </c>
      <c r="E2631" s="15" t="s">
        <v>10411</v>
      </c>
    </row>
    <row r="2632" spans="1:5" ht="25.5" x14ac:dyDescent="0.2">
      <c r="A2632" s="14" t="s">
        <v>10412</v>
      </c>
      <c r="B2632" s="15" t="s">
        <v>10413</v>
      </c>
      <c r="C2632" s="15" t="s">
        <v>5202</v>
      </c>
      <c r="D2632" s="15" t="s">
        <v>5203</v>
      </c>
      <c r="E2632" s="15" t="s">
        <v>10414</v>
      </c>
    </row>
    <row r="2633" spans="1:5" ht="25.5" x14ac:dyDescent="0.2">
      <c r="A2633" s="14" t="s">
        <v>10415</v>
      </c>
      <c r="B2633" s="15" t="s">
        <v>1543</v>
      </c>
      <c r="C2633" s="15" t="s">
        <v>5671</v>
      </c>
      <c r="D2633" s="15" t="s">
        <v>5672</v>
      </c>
      <c r="E2633" s="15" t="s">
        <v>10416</v>
      </c>
    </row>
    <row r="2634" spans="1:5" ht="25.5" x14ac:dyDescent="0.2">
      <c r="A2634" s="14" t="s">
        <v>10417</v>
      </c>
      <c r="B2634" s="15" t="s">
        <v>10418</v>
      </c>
      <c r="C2634" s="15" t="s">
        <v>10419</v>
      </c>
      <c r="D2634" s="15" t="s">
        <v>10420</v>
      </c>
      <c r="E2634" s="15" t="s">
        <v>10421</v>
      </c>
    </row>
    <row r="2635" spans="1:5" ht="25.5" x14ac:dyDescent="0.2">
      <c r="A2635" s="14" t="s">
        <v>10422</v>
      </c>
      <c r="B2635" s="15" t="s">
        <v>10423</v>
      </c>
      <c r="C2635" s="15" t="s">
        <v>4029</v>
      </c>
      <c r="D2635" s="15" t="s">
        <v>4030</v>
      </c>
      <c r="E2635" s="15" t="s">
        <v>10424</v>
      </c>
    </row>
    <row r="2636" spans="1:5" ht="25.5" x14ac:dyDescent="0.2">
      <c r="A2636" s="14" t="s">
        <v>10425</v>
      </c>
      <c r="B2636" s="15" t="s">
        <v>1397</v>
      </c>
      <c r="C2636" s="15" t="s">
        <v>9311</v>
      </c>
      <c r="D2636" s="15" t="s">
        <v>9312</v>
      </c>
      <c r="E2636" s="15" t="s">
        <v>10426</v>
      </c>
    </row>
    <row r="2637" spans="1:5" ht="25.5" x14ac:dyDescent="0.2">
      <c r="A2637" s="14" t="s">
        <v>10427</v>
      </c>
      <c r="B2637" s="15" t="s">
        <v>1410</v>
      </c>
      <c r="C2637" s="15" t="s">
        <v>5298</v>
      </c>
      <c r="D2637" s="15" t="s">
        <v>5299</v>
      </c>
      <c r="E2637" s="15" t="s">
        <v>10428</v>
      </c>
    </row>
    <row r="2638" spans="1:5" ht="25.5" x14ac:dyDescent="0.2">
      <c r="A2638" s="14" t="s">
        <v>10429</v>
      </c>
      <c r="B2638" s="15" t="s">
        <v>10430</v>
      </c>
      <c r="C2638" s="15" t="s">
        <v>4390</v>
      </c>
      <c r="D2638" s="15" t="s">
        <v>4391</v>
      </c>
      <c r="E2638" s="15" t="s">
        <v>10431</v>
      </c>
    </row>
    <row r="2639" spans="1:5" ht="25.5" x14ac:dyDescent="0.2">
      <c r="A2639" s="14" t="s">
        <v>10432</v>
      </c>
      <c r="B2639" s="15" t="s">
        <v>10433</v>
      </c>
      <c r="C2639" s="15" t="s">
        <v>4390</v>
      </c>
      <c r="D2639" s="15" t="s">
        <v>4391</v>
      </c>
      <c r="E2639" s="15" t="s">
        <v>10434</v>
      </c>
    </row>
    <row r="2640" spans="1:5" ht="25.5" x14ac:dyDescent="0.2">
      <c r="A2640" s="14" t="s">
        <v>10435</v>
      </c>
      <c r="B2640" s="15" t="s">
        <v>10436</v>
      </c>
      <c r="C2640" s="15" t="s">
        <v>10437</v>
      </c>
      <c r="D2640" s="15" t="s">
        <v>10438</v>
      </c>
      <c r="E2640" s="15" t="s">
        <v>10439</v>
      </c>
    </row>
    <row r="2641" spans="1:5" ht="25.5" x14ac:dyDescent="0.2">
      <c r="A2641" s="14" t="s">
        <v>10440</v>
      </c>
      <c r="B2641" s="15" t="s">
        <v>10441</v>
      </c>
      <c r="C2641" s="15" t="s">
        <v>4764</v>
      </c>
      <c r="D2641" s="15" t="s">
        <v>4765</v>
      </c>
      <c r="E2641" s="15" t="s">
        <v>10442</v>
      </c>
    </row>
    <row r="2642" spans="1:5" ht="25.5" x14ac:dyDescent="0.2">
      <c r="A2642" s="14" t="s">
        <v>10443</v>
      </c>
      <c r="B2642" s="15" t="s">
        <v>10444</v>
      </c>
      <c r="C2642" s="15" t="s">
        <v>4390</v>
      </c>
      <c r="D2642" s="15" t="s">
        <v>4391</v>
      </c>
      <c r="E2642" s="15" t="s">
        <v>10445</v>
      </c>
    </row>
    <row r="2643" spans="1:5" ht="25.5" x14ac:dyDescent="0.2">
      <c r="A2643" s="14" t="s">
        <v>10446</v>
      </c>
      <c r="B2643" s="15" t="s">
        <v>10447</v>
      </c>
      <c r="C2643" s="15" t="s">
        <v>4390</v>
      </c>
      <c r="D2643" s="15" t="s">
        <v>4391</v>
      </c>
      <c r="E2643" s="15" t="s">
        <v>10448</v>
      </c>
    </row>
    <row r="2644" spans="1:5" ht="25.5" x14ac:dyDescent="0.2">
      <c r="A2644" s="14" t="s">
        <v>10449</v>
      </c>
      <c r="B2644" s="15" t="s">
        <v>10450</v>
      </c>
      <c r="C2644" s="15" t="s">
        <v>3343</v>
      </c>
      <c r="D2644" s="15" t="s">
        <v>3344</v>
      </c>
      <c r="E2644" s="15" t="s">
        <v>10451</v>
      </c>
    </row>
    <row r="2645" spans="1:5" ht="25.5" x14ac:dyDescent="0.2">
      <c r="A2645" s="14" t="s">
        <v>10452</v>
      </c>
      <c r="B2645" s="15" t="s">
        <v>10453</v>
      </c>
      <c r="C2645" s="15" t="s">
        <v>3343</v>
      </c>
      <c r="D2645" s="15" t="s">
        <v>3344</v>
      </c>
      <c r="E2645" s="15" t="s">
        <v>10454</v>
      </c>
    </row>
    <row r="2646" spans="1:5" ht="25.5" x14ac:dyDescent="0.2">
      <c r="A2646" s="14" t="s">
        <v>10455</v>
      </c>
      <c r="B2646" s="15" t="s">
        <v>10456</v>
      </c>
      <c r="C2646" s="15" t="s">
        <v>4800</v>
      </c>
      <c r="D2646" s="15" t="s">
        <v>4801</v>
      </c>
      <c r="E2646" s="15" t="s">
        <v>10457</v>
      </c>
    </row>
    <row r="2647" spans="1:5" ht="25.5" x14ac:dyDescent="0.2">
      <c r="A2647" s="14" t="s">
        <v>10458</v>
      </c>
      <c r="B2647" s="15" t="s">
        <v>10459</v>
      </c>
      <c r="C2647" s="15" t="s">
        <v>4800</v>
      </c>
      <c r="D2647" s="15" t="s">
        <v>4801</v>
      </c>
      <c r="E2647" s="15" t="s">
        <v>10460</v>
      </c>
    </row>
    <row r="2648" spans="1:5" ht="25.5" x14ac:dyDescent="0.2">
      <c r="A2648" s="14" t="s">
        <v>10461</v>
      </c>
      <c r="B2648" s="15" t="s">
        <v>10462</v>
      </c>
      <c r="C2648" s="15" t="s">
        <v>4800</v>
      </c>
      <c r="D2648" s="15" t="s">
        <v>4801</v>
      </c>
      <c r="E2648" s="15" t="s">
        <v>10463</v>
      </c>
    </row>
    <row r="2649" spans="1:5" ht="25.5" x14ac:dyDescent="0.2">
      <c r="A2649" s="14" t="s">
        <v>10464</v>
      </c>
      <c r="B2649" s="15" t="s">
        <v>10462</v>
      </c>
      <c r="C2649" s="15" t="s">
        <v>4800</v>
      </c>
      <c r="D2649" s="15" t="s">
        <v>4801</v>
      </c>
      <c r="E2649" s="15" t="s">
        <v>10465</v>
      </c>
    </row>
    <row r="2650" spans="1:5" ht="25.5" x14ac:dyDescent="0.2">
      <c r="A2650" s="14" t="s">
        <v>10466</v>
      </c>
      <c r="B2650" s="15" t="s">
        <v>556</v>
      </c>
      <c r="C2650" s="15" t="s">
        <v>4800</v>
      </c>
      <c r="D2650" s="15" t="s">
        <v>4801</v>
      </c>
      <c r="E2650" s="15" t="s">
        <v>10467</v>
      </c>
    </row>
    <row r="2651" spans="1:5" ht="25.5" x14ac:dyDescent="0.2">
      <c r="A2651" s="14" t="s">
        <v>10468</v>
      </c>
      <c r="B2651" s="15" t="s">
        <v>27</v>
      </c>
      <c r="C2651" s="15" t="s">
        <v>8383</v>
      </c>
      <c r="D2651" s="15" t="s">
        <v>8384</v>
      </c>
      <c r="E2651" s="15" t="s">
        <v>10469</v>
      </c>
    </row>
    <row r="2652" spans="1:5" ht="25.5" x14ac:dyDescent="0.2">
      <c r="A2652" s="14" t="s">
        <v>10470</v>
      </c>
      <c r="B2652" s="15" t="s">
        <v>309</v>
      </c>
      <c r="C2652" s="15" t="s">
        <v>3318</v>
      </c>
      <c r="D2652" s="15" t="s">
        <v>3319</v>
      </c>
      <c r="E2652" s="15" t="s">
        <v>10471</v>
      </c>
    </row>
    <row r="2653" spans="1:5" ht="25.5" x14ac:dyDescent="0.2">
      <c r="A2653" s="14" t="s">
        <v>10472</v>
      </c>
      <c r="B2653" s="15" t="s">
        <v>1421</v>
      </c>
      <c r="C2653" s="15" t="s">
        <v>3318</v>
      </c>
      <c r="D2653" s="15" t="s">
        <v>3319</v>
      </c>
      <c r="E2653" s="15" t="s">
        <v>10473</v>
      </c>
    </row>
    <row r="2654" spans="1:5" ht="25.5" x14ac:dyDescent="0.2">
      <c r="A2654" s="14" t="s">
        <v>10474</v>
      </c>
      <c r="B2654" s="15" t="s">
        <v>10475</v>
      </c>
      <c r="C2654" s="15" t="s">
        <v>4281</v>
      </c>
      <c r="D2654" s="15" t="s">
        <v>4282</v>
      </c>
      <c r="E2654" s="15" t="s">
        <v>10476</v>
      </c>
    </row>
    <row r="2655" spans="1:5" ht="25.5" x14ac:dyDescent="0.2">
      <c r="A2655" s="14" t="s">
        <v>10477</v>
      </c>
      <c r="B2655" s="15" t="s">
        <v>201</v>
      </c>
      <c r="C2655" s="15" t="s">
        <v>4226</v>
      </c>
      <c r="D2655" s="15" t="s">
        <v>4227</v>
      </c>
      <c r="E2655" s="15" t="s">
        <v>10478</v>
      </c>
    </row>
    <row r="2656" spans="1:5" ht="25.5" x14ac:dyDescent="0.2">
      <c r="A2656" s="14" t="s">
        <v>10479</v>
      </c>
      <c r="B2656" s="15" t="s">
        <v>1621</v>
      </c>
      <c r="C2656" s="15" t="s">
        <v>4226</v>
      </c>
      <c r="D2656" s="15" t="s">
        <v>4227</v>
      </c>
      <c r="E2656" s="15" t="s">
        <v>10480</v>
      </c>
    </row>
    <row r="2657" spans="1:5" ht="25.5" x14ac:dyDescent="0.2">
      <c r="A2657" s="14" t="s">
        <v>10481</v>
      </c>
      <c r="B2657" s="15" t="s">
        <v>10482</v>
      </c>
      <c r="C2657" s="15" t="s">
        <v>3410</v>
      </c>
      <c r="D2657" s="15" t="s">
        <v>3411</v>
      </c>
      <c r="E2657" s="15" t="s">
        <v>10483</v>
      </c>
    </row>
    <row r="2658" spans="1:5" ht="25.5" x14ac:dyDescent="0.2">
      <c r="A2658" s="14" t="s">
        <v>10484</v>
      </c>
      <c r="B2658" s="15" t="s">
        <v>1568</v>
      </c>
      <c r="C2658" s="15" t="s">
        <v>4345</v>
      </c>
      <c r="D2658" s="15" t="s">
        <v>4346</v>
      </c>
      <c r="E2658" s="15" t="s">
        <v>10485</v>
      </c>
    </row>
    <row r="2659" spans="1:5" ht="25.5" x14ac:dyDescent="0.2">
      <c r="A2659" s="14" t="s">
        <v>10486</v>
      </c>
      <c r="B2659" s="15" t="s">
        <v>1567</v>
      </c>
      <c r="C2659" s="15" t="s">
        <v>4345</v>
      </c>
      <c r="D2659" s="15" t="s">
        <v>4346</v>
      </c>
      <c r="E2659" s="15" t="s">
        <v>10487</v>
      </c>
    </row>
    <row r="2660" spans="1:5" ht="25.5" x14ac:dyDescent="0.2">
      <c r="A2660" s="14" t="s">
        <v>10488</v>
      </c>
      <c r="B2660" s="15" t="s">
        <v>10489</v>
      </c>
      <c r="C2660" s="15" t="s">
        <v>5498</v>
      </c>
      <c r="D2660" s="15" t="s">
        <v>5499</v>
      </c>
      <c r="E2660" s="15" t="s">
        <v>10490</v>
      </c>
    </row>
    <row r="2661" spans="1:5" ht="25.5" x14ac:dyDescent="0.2">
      <c r="A2661" s="14" t="s">
        <v>10491</v>
      </c>
      <c r="B2661" s="15" t="s">
        <v>1569</v>
      </c>
      <c r="C2661" s="15" t="s">
        <v>4345</v>
      </c>
      <c r="D2661" s="15" t="s">
        <v>4346</v>
      </c>
      <c r="E2661" s="15" t="s">
        <v>10492</v>
      </c>
    </row>
    <row r="2662" spans="1:5" ht="25.5" x14ac:dyDescent="0.2">
      <c r="A2662" s="14" t="s">
        <v>10493</v>
      </c>
      <c r="B2662" s="15" t="s">
        <v>421</v>
      </c>
      <c r="C2662" s="15" t="s">
        <v>10494</v>
      </c>
      <c r="D2662" s="15" t="s">
        <v>10495</v>
      </c>
      <c r="E2662" s="15" t="s">
        <v>10496</v>
      </c>
    </row>
    <row r="2663" spans="1:5" ht="38.25" x14ac:dyDescent="0.2">
      <c r="A2663" s="14" t="s">
        <v>10497</v>
      </c>
      <c r="B2663" s="15" t="s">
        <v>10498</v>
      </c>
      <c r="C2663" s="15" t="s">
        <v>10499</v>
      </c>
      <c r="D2663" s="15" t="s">
        <v>10500</v>
      </c>
      <c r="E2663" s="15" t="s">
        <v>10501</v>
      </c>
    </row>
    <row r="2664" spans="1:5" ht="25.5" x14ac:dyDescent="0.2">
      <c r="A2664" s="14" t="s">
        <v>10502</v>
      </c>
      <c r="B2664" s="15" t="s">
        <v>10503</v>
      </c>
      <c r="C2664" s="15" t="s">
        <v>4104</v>
      </c>
      <c r="D2664" s="15" t="s">
        <v>4105</v>
      </c>
      <c r="E2664" s="15" t="s">
        <v>10504</v>
      </c>
    </row>
    <row r="2665" spans="1:5" ht="25.5" x14ac:dyDescent="0.2">
      <c r="A2665" s="14" t="s">
        <v>10505</v>
      </c>
      <c r="B2665" s="15" t="s">
        <v>253</v>
      </c>
      <c r="C2665" s="15" t="s">
        <v>4203</v>
      </c>
      <c r="D2665" s="15" t="s">
        <v>4204</v>
      </c>
      <c r="E2665" s="15" t="s">
        <v>10506</v>
      </c>
    </row>
    <row r="2666" spans="1:5" ht="25.5" x14ac:dyDescent="0.2">
      <c r="A2666" s="14" t="s">
        <v>10507</v>
      </c>
      <c r="B2666" s="15" t="s">
        <v>339</v>
      </c>
      <c r="C2666" s="15" t="s">
        <v>4203</v>
      </c>
      <c r="D2666" s="15" t="s">
        <v>4204</v>
      </c>
      <c r="E2666" s="15" t="s">
        <v>10508</v>
      </c>
    </row>
    <row r="2667" spans="1:5" ht="25.5" x14ac:dyDescent="0.2">
      <c r="A2667" s="14" t="s">
        <v>10509</v>
      </c>
      <c r="B2667" s="15" t="s">
        <v>10510</v>
      </c>
      <c r="C2667" s="15" t="s">
        <v>4203</v>
      </c>
      <c r="D2667" s="15" t="s">
        <v>4204</v>
      </c>
      <c r="E2667" s="15" t="s">
        <v>10511</v>
      </c>
    </row>
    <row r="2668" spans="1:5" ht="25.5" x14ac:dyDescent="0.2">
      <c r="A2668" s="14" t="s">
        <v>10512</v>
      </c>
      <c r="B2668" s="15" t="s">
        <v>686</v>
      </c>
      <c r="C2668" s="15" t="s">
        <v>4203</v>
      </c>
      <c r="D2668" s="15" t="s">
        <v>4204</v>
      </c>
      <c r="E2668" s="15" t="s">
        <v>10513</v>
      </c>
    </row>
    <row r="2669" spans="1:5" ht="25.5" x14ac:dyDescent="0.2">
      <c r="A2669" s="14" t="s">
        <v>10514</v>
      </c>
      <c r="B2669" s="15" t="s">
        <v>1620</v>
      </c>
      <c r="C2669" s="15" t="s">
        <v>4203</v>
      </c>
      <c r="D2669" s="15" t="s">
        <v>4204</v>
      </c>
      <c r="E2669" s="15" t="s">
        <v>10515</v>
      </c>
    </row>
    <row r="2670" spans="1:5" ht="25.5" x14ac:dyDescent="0.2">
      <c r="A2670" s="14" t="s">
        <v>10516</v>
      </c>
      <c r="B2670" s="15" t="s">
        <v>10517</v>
      </c>
      <c r="C2670" s="15" t="s">
        <v>4203</v>
      </c>
      <c r="D2670" s="15" t="s">
        <v>4204</v>
      </c>
      <c r="E2670" s="15" t="s">
        <v>10518</v>
      </c>
    </row>
    <row r="2671" spans="1:5" ht="25.5" x14ac:dyDescent="0.2">
      <c r="A2671" s="14" t="s">
        <v>10519</v>
      </c>
      <c r="B2671" s="15" t="s">
        <v>183</v>
      </c>
      <c r="C2671" s="15" t="s">
        <v>4203</v>
      </c>
      <c r="D2671" s="15" t="s">
        <v>4204</v>
      </c>
      <c r="E2671" s="15" t="s">
        <v>10520</v>
      </c>
    </row>
    <row r="2672" spans="1:5" ht="25.5" x14ac:dyDescent="0.2">
      <c r="A2672" s="14" t="s">
        <v>10521</v>
      </c>
      <c r="B2672" s="15" t="s">
        <v>10522</v>
      </c>
      <c r="C2672" s="15" t="s">
        <v>4307</v>
      </c>
      <c r="D2672" s="15" t="s">
        <v>4308</v>
      </c>
      <c r="E2672" s="15" t="s">
        <v>10523</v>
      </c>
    </row>
    <row r="2673" spans="1:5" ht="25.5" x14ac:dyDescent="0.2">
      <c r="A2673" s="14" t="s">
        <v>10524</v>
      </c>
      <c r="B2673" s="15" t="s">
        <v>10525</v>
      </c>
      <c r="C2673" s="15" t="s">
        <v>4104</v>
      </c>
      <c r="D2673" s="15" t="s">
        <v>4105</v>
      </c>
      <c r="E2673" s="15" t="s">
        <v>10526</v>
      </c>
    </row>
    <row r="2674" spans="1:5" ht="25.5" x14ac:dyDescent="0.2">
      <c r="A2674" s="14" t="s">
        <v>10527</v>
      </c>
      <c r="B2674" s="15" t="s">
        <v>194</v>
      </c>
      <c r="C2674" s="15" t="s">
        <v>5207</v>
      </c>
      <c r="D2674" s="15" t="s">
        <v>5208</v>
      </c>
      <c r="E2674" s="15" t="s">
        <v>10528</v>
      </c>
    </row>
    <row r="2675" spans="1:5" ht="25.5" x14ac:dyDescent="0.2">
      <c r="A2675" s="14" t="s">
        <v>10529</v>
      </c>
      <c r="B2675" s="15" t="s">
        <v>10530</v>
      </c>
      <c r="C2675" s="15" t="s">
        <v>4307</v>
      </c>
      <c r="D2675" s="15" t="s">
        <v>4308</v>
      </c>
      <c r="E2675" s="15" t="s">
        <v>10531</v>
      </c>
    </row>
    <row r="2676" spans="1:5" ht="25.5" x14ac:dyDescent="0.2">
      <c r="A2676" s="14" t="s">
        <v>10532</v>
      </c>
      <c r="B2676" s="15" t="s">
        <v>10533</v>
      </c>
      <c r="C2676" s="15" t="s">
        <v>4307</v>
      </c>
      <c r="D2676" s="15" t="s">
        <v>4308</v>
      </c>
      <c r="E2676" s="15" t="s">
        <v>10534</v>
      </c>
    </row>
    <row r="2677" spans="1:5" ht="25.5" x14ac:dyDescent="0.2">
      <c r="A2677" s="14" t="s">
        <v>10535</v>
      </c>
      <c r="B2677" s="15" t="s">
        <v>474</v>
      </c>
      <c r="C2677" s="15" t="s">
        <v>5207</v>
      </c>
      <c r="D2677" s="15" t="s">
        <v>5208</v>
      </c>
      <c r="E2677" s="15" t="s">
        <v>10536</v>
      </c>
    </row>
    <row r="2678" spans="1:5" ht="25.5" x14ac:dyDescent="0.2">
      <c r="A2678" s="14" t="s">
        <v>10537</v>
      </c>
      <c r="B2678" s="15" t="s">
        <v>906</v>
      </c>
      <c r="C2678" s="15" t="s">
        <v>4286</v>
      </c>
      <c r="D2678" s="15" t="s">
        <v>4287</v>
      </c>
      <c r="E2678" s="15" t="s">
        <v>10538</v>
      </c>
    </row>
    <row r="2679" spans="1:5" ht="25.5" x14ac:dyDescent="0.2">
      <c r="A2679" s="14" t="s">
        <v>10539</v>
      </c>
      <c r="B2679" s="15" t="s">
        <v>470</v>
      </c>
      <c r="C2679" s="15" t="s">
        <v>4764</v>
      </c>
      <c r="D2679" s="15" t="s">
        <v>4765</v>
      </c>
      <c r="E2679" s="15" t="s">
        <v>10540</v>
      </c>
    </row>
    <row r="2680" spans="1:5" ht="25.5" x14ac:dyDescent="0.2">
      <c r="A2680" s="14" t="s">
        <v>10541</v>
      </c>
      <c r="B2680" s="15" t="s">
        <v>908</v>
      </c>
      <c r="C2680" s="15" t="s">
        <v>4286</v>
      </c>
      <c r="D2680" s="15" t="s">
        <v>4287</v>
      </c>
      <c r="E2680" s="15" t="s">
        <v>10542</v>
      </c>
    </row>
    <row r="2681" spans="1:5" ht="25.5" x14ac:dyDescent="0.2">
      <c r="A2681" s="14" t="s">
        <v>10543</v>
      </c>
      <c r="B2681" s="15" t="s">
        <v>909</v>
      </c>
      <c r="C2681" s="15" t="s">
        <v>4286</v>
      </c>
      <c r="D2681" s="15" t="s">
        <v>4287</v>
      </c>
      <c r="E2681" s="15" t="s">
        <v>10544</v>
      </c>
    </row>
    <row r="2682" spans="1:5" ht="25.5" x14ac:dyDescent="0.2">
      <c r="A2682" s="14" t="s">
        <v>10545</v>
      </c>
      <c r="B2682" s="15" t="s">
        <v>10546</v>
      </c>
      <c r="C2682" s="15" t="s">
        <v>4262</v>
      </c>
      <c r="D2682" s="15" t="s">
        <v>4263</v>
      </c>
      <c r="E2682" s="15" t="s">
        <v>10547</v>
      </c>
    </row>
    <row r="2683" spans="1:5" ht="25.5" x14ac:dyDescent="0.2">
      <c r="A2683" s="14" t="s">
        <v>10548</v>
      </c>
      <c r="B2683" s="15" t="s">
        <v>10549</v>
      </c>
      <c r="C2683" s="15" t="s">
        <v>4800</v>
      </c>
      <c r="D2683" s="15" t="s">
        <v>4801</v>
      </c>
      <c r="E2683" s="15" t="s">
        <v>10550</v>
      </c>
    </row>
    <row r="2684" spans="1:5" ht="25.5" x14ac:dyDescent="0.2">
      <c r="A2684" s="14" t="s">
        <v>10551</v>
      </c>
      <c r="B2684" s="15" t="s">
        <v>313</v>
      </c>
      <c r="C2684" s="15" t="s">
        <v>4203</v>
      </c>
      <c r="D2684" s="15" t="s">
        <v>4204</v>
      </c>
      <c r="E2684" s="15" t="s">
        <v>10552</v>
      </c>
    </row>
    <row r="2685" spans="1:5" ht="25.5" x14ac:dyDescent="0.2">
      <c r="A2685" s="14" t="s">
        <v>10553</v>
      </c>
      <c r="B2685" s="15" t="s">
        <v>283</v>
      </c>
      <c r="C2685" s="15" t="s">
        <v>4226</v>
      </c>
      <c r="D2685" s="15" t="s">
        <v>4227</v>
      </c>
      <c r="E2685" s="15" t="s">
        <v>10554</v>
      </c>
    </row>
    <row r="2686" spans="1:5" ht="25.5" x14ac:dyDescent="0.2">
      <c r="A2686" s="14" t="s">
        <v>10555</v>
      </c>
      <c r="B2686" s="15" t="s">
        <v>1550</v>
      </c>
      <c r="C2686" s="15" t="s">
        <v>10556</v>
      </c>
      <c r="D2686" s="15" t="s">
        <v>10557</v>
      </c>
      <c r="E2686" s="15" t="s">
        <v>10558</v>
      </c>
    </row>
    <row r="2687" spans="1:5" ht="25.5" x14ac:dyDescent="0.2">
      <c r="A2687" s="14" t="s">
        <v>10559</v>
      </c>
      <c r="B2687" s="15" t="s">
        <v>765</v>
      </c>
      <c r="C2687" s="15" t="s">
        <v>5671</v>
      </c>
      <c r="D2687" s="15" t="s">
        <v>5672</v>
      </c>
      <c r="E2687" s="15" t="s">
        <v>10560</v>
      </c>
    </row>
    <row r="2688" spans="1:5" ht="25.5" x14ac:dyDescent="0.2">
      <c r="A2688" s="14" t="s">
        <v>10561</v>
      </c>
      <c r="B2688" s="15" t="s">
        <v>762</v>
      </c>
      <c r="C2688" s="15" t="s">
        <v>5671</v>
      </c>
      <c r="D2688" s="15" t="s">
        <v>5672</v>
      </c>
      <c r="E2688" s="15" t="s">
        <v>10562</v>
      </c>
    </row>
    <row r="2689" spans="1:5" ht="25.5" x14ac:dyDescent="0.2">
      <c r="A2689" s="14" t="s">
        <v>10563</v>
      </c>
      <c r="B2689" s="15" t="s">
        <v>766</v>
      </c>
      <c r="C2689" s="15" t="s">
        <v>10564</v>
      </c>
      <c r="D2689" s="15" t="s">
        <v>10565</v>
      </c>
      <c r="E2689" s="15" t="s">
        <v>10566</v>
      </c>
    </row>
    <row r="2690" spans="1:5" ht="25.5" x14ac:dyDescent="0.2">
      <c r="A2690" s="14" t="s">
        <v>10567</v>
      </c>
      <c r="B2690" s="15" t="s">
        <v>761</v>
      </c>
      <c r="C2690" s="15" t="s">
        <v>5671</v>
      </c>
      <c r="D2690" s="15" t="s">
        <v>5672</v>
      </c>
      <c r="E2690" s="15" t="s">
        <v>10568</v>
      </c>
    </row>
    <row r="2691" spans="1:5" ht="38.25" x14ac:dyDescent="0.2">
      <c r="A2691" s="14" t="s">
        <v>10569</v>
      </c>
      <c r="B2691" s="15" t="s">
        <v>764</v>
      </c>
      <c r="C2691" s="15" t="s">
        <v>10564</v>
      </c>
      <c r="D2691" s="15" t="s">
        <v>10565</v>
      </c>
      <c r="E2691" s="15" t="s">
        <v>10570</v>
      </c>
    </row>
    <row r="2692" spans="1:5" ht="25.5" x14ac:dyDescent="0.2">
      <c r="A2692" s="14" t="s">
        <v>10571</v>
      </c>
      <c r="B2692" s="15" t="s">
        <v>760</v>
      </c>
      <c r="C2692" s="15" t="s">
        <v>5671</v>
      </c>
      <c r="D2692" s="15" t="s">
        <v>5672</v>
      </c>
      <c r="E2692" s="15" t="s">
        <v>10572</v>
      </c>
    </row>
    <row r="2693" spans="1:5" ht="25.5" x14ac:dyDescent="0.2">
      <c r="A2693" s="14" t="s">
        <v>10573</v>
      </c>
      <c r="B2693" s="15" t="s">
        <v>763</v>
      </c>
      <c r="C2693" s="15" t="s">
        <v>5671</v>
      </c>
      <c r="D2693" s="15" t="s">
        <v>5672</v>
      </c>
      <c r="E2693" s="15" t="s">
        <v>10574</v>
      </c>
    </row>
    <row r="2694" spans="1:5" ht="25.5" x14ac:dyDescent="0.2">
      <c r="A2694" s="14" t="s">
        <v>10575</v>
      </c>
      <c r="B2694" s="15" t="s">
        <v>10576</v>
      </c>
      <c r="C2694" s="15" t="s">
        <v>10564</v>
      </c>
      <c r="D2694" s="15" t="s">
        <v>10565</v>
      </c>
      <c r="E2694" s="15" t="s">
        <v>10577</v>
      </c>
    </row>
    <row r="2695" spans="1:5" ht="25.5" x14ac:dyDescent="0.2">
      <c r="A2695" s="14" t="s">
        <v>10578</v>
      </c>
      <c r="B2695" s="15" t="s">
        <v>912</v>
      </c>
      <c r="C2695" s="15" t="s">
        <v>4861</v>
      </c>
      <c r="D2695" s="15" t="s">
        <v>4862</v>
      </c>
      <c r="E2695" s="15" t="s">
        <v>10579</v>
      </c>
    </row>
    <row r="2696" spans="1:5" ht="25.5" x14ac:dyDescent="0.2">
      <c r="A2696" s="14" t="s">
        <v>10580</v>
      </c>
      <c r="B2696" s="15" t="s">
        <v>10581</v>
      </c>
      <c r="C2696" s="15" t="s">
        <v>10556</v>
      </c>
      <c r="D2696" s="15" t="s">
        <v>10557</v>
      </c>
      <c r="E2696" s="15" t="s">
        <v>10582</v>
      </c>
    </row>
    <row r="2697" spans="1:5" ht="25.5" x14ac:dyDescent="0.2">
      <c r="A2697" s="14" t="s">
        <v>10583</v>
      </c>
      <c r="B2697" s="15" t="s">
        <v>1219</v>
      </c>
      <c r="C2697" s="15" t="s">
        <v>10584</v>
      </c>
      <c r="D2697" s="15" t="s">
        <v>10585</v>
      </c>
      <c r="E2697" s="15" t="s">
        <v>10586</v>
      </c>
    </row>
    <row r="2698" spans="1:5" ht="25.5" x14ac:dyDescent="0.2">
      <c r="A2698" s="14" t="s">
        <v>10587</v>
      </c>
      <c r="B2698" s="15" t="s">
        <v>1430</v>
      </c>
      <c r="C2698" s="15" t="s">
        <v>5231</v>
      </c>
      <c r="D2698" s="15" t="s">
        <v>5232</v>
      </c>
      <c r="E2698" s="15" t="s">
        <v>10588</v>
      </c>
    </row>
    <row r="2699" spans="1:5" ht="25.5" x14ac:dyDescent="0.2">
      <c r="A2699" s="14" t="s">
        <v>10589</v>
      </c>
      <c r="B2699" s="15" t="s">
        <v>312</v>
      </c>
      <c r="C2699" s="15" t="s">
        <v>3395</v>
      </c>
      <c r="D2699" s="15" t="s">
        <v>3396</v>
      </c>
      <c r="E2699" s="15" t="s">
        <v>10590</v>
      </c>
    </row>
    <row r="2700" spans="1:5" ht="25.5" x14ac:dyDescent="0.2">
      <c r="A2700" s="14" t="s">
        <v>10591</v>
      </c>
      <c r="B2700" s="15" t="s">
        <v>687</v>
      </c>
      <c r="C2700" s="15" t="s">
        <v>4226</v>
      </c>
      <c r="D2700" s="15" t="s">
        <v>4227</v>
      </c>
      <c r="E2700" s="15" t="s">
        <v>10592</v>
      </c>
    </row>
    <row r="2701" spans="1:5" ht="25.5" x14ac:dyDescent="0.2">
      <c r="A2701" s="14" t="s">
        <v>10593</v>
      </c>
      <c r="B2701" s="15" t="s">
        <v>10594</v>
      </c>
      <c r="C2701" s="15" t="s">
        <v>4262</v>
      </c>
      <c r="D2701" s="15" t="s">
        <v>4263</v>
      </c>
      <c r="E2701" s="15" t="s">
        <v>10595</v>
      </c>
    </row>
    <row r="2702" spans="1:5" ht="25.5" x14ac:dyDescent="0.2">
      <c r="A2702" s="14" t="s">
        <v>10596</v>
      </c>
      <c r="B2702" s="15" t="s">
        <v>10597</v>
      </c>
      <c r="C2702" s="15" t="s">
        <v>4262</v>
      </c>
      <c r="D2702" s="15" t="s">
        <v>4263</v>
      </c>
      <c r="E2702" s="15" t="s">
        <v>10598</v>
      </c>
    </row>
    <row r="2703" spans="1:5" ht="25.5" x14ac:dyDescent="0.2">
      <c r="A2703" s="14" t="s">
        <v>10599</v>
      </c>
      <c r="B2703" s="15" t="s">
        <v>10600</v>
      </c>
      <c r="C2703" s="15" t="s">
        <v>4262</v>
      </c>
      <c r="D2703" s="15" t="s">
        <v>4263</v>
      </c>
      <c r="E2703" s="15" t="s">
        <v>10601</v>
      </c>
    </row>
    <row r="2704" spans="1:5" ht="25.5" x14ac:dyDescent="0.2">
      <c r="A2704" s="14" t="s">
        <v>10602</v>
      </c>
      <c r="B2704" s="15" t="s">
        <v>10603</v>
      </c>
      <c r="C2704" s="15" t="s">
        <v>4262</v>
      </c>
      <c r="D2704" s="15" t="s">
        <v>4263</v>
      </c>
      <c r="E2704" s="15" t="s">
        <v>10604</v>
      </c>
    </row>
    <row r="2705" spans="1:5" ht="25.5" x14ac:dyDescent="0.2">
      <c r="A2705" s="14" t="s">
        <v>10605</v>
      </c>
      <c r="B2705" s="15" t="s">
        <v>10606</v>
      </c>
      <c r="C2705" s="15" t="s">
        <v>4262</v>
      </c>
      <c r="D2705" s="15" t="s">
        <v>4263</v>
      </c>
      <c r="E2705" s="15" t="s">
        <v>10607</v>
      </c>
    </row>
    <row r="2706" spans="1:5" ht="25.5" x14ac:dyDescent="0.2">
      <c r="A2706" s="14" t="s">
        <v>10608</v>
      </c>
      <c r="B2706" s="15" t="s">
        <v>10609</v>
      </c>
      <c r="C2706" s="15" t="s">
        <v>4262</v>
      </c>
      <c r="D2706" s="15" t="s">
        <v>4263</v>
      </c>
      <c r="E2706" s="15" t="s">
        <v>10610</v>
      </c>
    </row>
    <row r="2707" spans="1:5" ht="25.5" x14ac:dyDescent="0.2">
      <c r="A2707" s="14" t="s">
        <v>10611</v>
      </c>
      <c r="B2707" s="15" t="s">
        <v>958</v>
      </c>
      <c r="C2707" s="15" t="s">
        <v>3303</v>
      </c>
      <c r="D2707" s="15" t="s">
        <v>3304</v>
      </c>
      <c r="E2707" s="15" t="s">
        <v>10612</v>
      </c>
    </row>
    <row r="2708" spans="1:5" ht="25.5" x14ac:dyDescent="0.2">
      <c r="A2708" s="14" t="s">
        <v>10613</v>
      </c>
      <c r="B2708" s="15" t="s">
        <v>1354</v>
      </c>
      <c r="C2708" s="15" t="s">
        <v>3303</v>
      </c>
      <c r="D2708" s="15" t="s">
        <v>3304</v>
      </c>
      <c r="E2708" s="15" t="s">
        <v>10614</v>
      </c>
    </row>
    <row r="2709" spans="1:5" ht="25.5" x14ac:dyDescent="0.2">
      <c r="A2709" s="14" t="s">
        <v>10615</v>
      </c>
      <c r="B2709" s="15" t="s">
        <v>1353</v>
      </c>
      <c r="C2709" s="15" t="s">
        <v>3303</v>
      </c>
      <c r="D2709" s="15" t="s">
        <v>3304</v>
      </c>
      <c r="E2709" s="15" t="s">
        <v>10616</v>
      </c>
    </row>
    <row r="2710" spans="1:5" ht="25.5" x14ac:dyDescent="0.2">
      <c r="A2710" s="14" t="s">
        <v>10617</v>
      </c>
      <c r="B2710" s="15" t="s">
        <v>1352</v>
      </c>
      <c r="C2710" s="15" t="s">
        <v>3303</v>
      </c>
      <c r="D2710" s="15" t="s">
        <v>3304</v>
      </c>
      <c r="E2710" s="15" t="s">
        <v>10618</v>
      </c>
    </row>
    <row r="2711" spans="1:5" ht="25.5" x14ac:dyDescent="0.2">
      <c r="A2711" s="14" t="s">
        <v>10619</v>
      </c>
      <c r="B2711" s="15" t="s">
        <v>1351</v>
      </c>
      <c r="C2711" s="15" t="s">
        <v>3303</v>
      </c>
      <c r="D2711" s="15" t="s">
        <v>3304</v>
      </c>
      <c r="E2711" s="15" t="s">
        <v>10620</v>
      </c>
    </row>
    <row r="2712" spans="1:5" ht="25.5" x14ac:dyDescent="0.2">
      <c r="A2712" s="14" t="s">
        <v>10621</v>
      </c>
      <c r="B2712" s="15" t="s">
        <v>10622</v>
      </c>
      <c r="C2712" s="15" t="s">
        <v>3303</v>
      </c>
      <c r="D2712" s="15" t="s">
        <v>3304</v>
      </c>
      <c r="E2712" s="15" t="s">
        <v>10623</v>
      </c>
    </row>
    <row r="2713" spans="1:5" ht="25.5" x14ac:dyDescent="0.2">
      <c r="A2713" s="14" t="s">
        <v>10624</v>
      </c>
      <c r="B2713" s="15" t="s">
        <v>218</v>
      </c>
      <c r="C2713" s="15" t="s">
        <v>6613</v>
      </c>
      <c r="D2713" s="15" t="s">
        <v>6614</v>
      </c>
      <c r="E2713" s="15" t="s">
        <v>10625</v>
      </c>
    </row>
    <row r="2714" spans="1:5" ht="25.5" x14ac:dyDescent="0.2">
      <c r="A2714" s="14" t="s">
        <v>10626</v>
      </c>
      <c r="B2714" s="15" t="s">
        <v>287</v>
      </c>
      <c r="C2714" s="15" t="s">
        <v>6613</v>
      </c>
      <c r="D2714" s="15" t="s">
        <v>6614</v>
      </c>
      <c r="E2714" s="15" t="s">
        <v>10627</v>
      </c>
    </row>
    <row r="2715" spans="1:5" ht="25.5" x14ac:dyDescent="0.2">
      <c r="A2715" s="14" t="s">
        <v>10628</v>
      </c>
      <c r="B2715" s="15" t="s">
        <v>1606</v>
      </c>
      <c r="C2715" s="15" t="s">
        <v>4132</v>
      </c>
      <c r="D2715" s="15" t="s">
        <v>4133</v>
      </c>
      <c r="E2715" s="15" t="s">
        <v>10629</v>
      </c>
    </row>
    <row r="2716" spans="1:5" ht="25.5" x14ac:dyDescent="0.2">
      <c r="A2716" s="14" t="s">
        <v>10630</v>
      </c>
      <c r="B2716" s="15" t="s">
        <v>1119</v>
      </c>
      <c r="C2716" s="15" t="s">
        <v>4132</v>
      </c>
      <c r="D2716" s="15" t="s">
        <v>4133</v>
      </c>
      <c r="E2716" s="15" t="s">
        <v>10631</v>
      </c>
    </row>
    <row r="2717" spans="1:5" ht="25.5" x14ac:dyDescent="0.2">
      <c r="A2717" s="14" t="s">
        <v>10632</v>
      </c>
      <c r="B2717" s="15" t="s">
        <v>10633</v>
      </c>
      <c r="C2717" s="15" t="s">
        <v>4132</v>
      </c>
      <c r="D2717" s="15" t="s">
        <v>4133</v>
      </c>
      <c r="E2717" s="15" t="s">
        <v>10634</v>
      </c>
    </row>
    <row r="2718" spans="1:5" ht="25.5" x14ac:dyDescent="0.2">
      <c r="A2718" s="14" t="s">
        <v>10635</v>
      </c>
      <c r="B2718" s="15" t="s">
        <v>10636</v>
      </c>
      <c r="C2718" s="15" t="s">
        <v>4132</v>
      </c>
      <c r="D2718" s="15" t="s">
        <v>4133</v>
      </c>
      <c r="E2718" s="15" t="s">
        <v>10637</v>
      </c>
    </row>
    <row r="2719" spans="1:5" ht="25.5" x14ac:dyDescent="0.2">
      <c r="A2719" s="14" t="s">
        <v>10638</v>
      </c>
      <c r="B2719" s="15" t="s">
        <v>377</v>
      </c>
      <c r="C2719" s="15" t="s">
        <v>4132</v>
      </c>
      <c r="D2719" s="15" t="s">
        <v>4133</v>
      </c>
      <c r="E2719" s="15" t="s">
        <v>10639</v>
      </c>
    </row>
    <row r="2720" spans="1:5" ht="25.5" x14ac:dyDescent="0.2">
      <c r="A2720" s="14" t="s">
        <v>10640</v>
      </c>
      <c r="B2720" s="15" t="s">
        <v>872</v>
      </c>
      <c r="C2720" s="15" t="s">
        <v>4132</v>
      </c>
      <c r="D2720" s="15" t="s">
        <v>4133</v>
      </c>
      <c r="E2720" s="15" t="s">
        <v>10641</v>
      </c>
    </row>
    <row r="2721" spans="1:5" ht="25.5" x14ac:dyDescent="0.2">
      <c r="A2721" s="14" t="s">
        <v>10642</v>
      </c>
      <c r="B2721" s="15" t="s">
        <v>10643</v>
      </c>
      <c r="C2721" s="15" t="s">
        <v>4132</v>
      </c>
      <c r="D2721" s="15" t="s">
        <v>4133</v>
      </c>
      <c r="E2721" s="15" t="s">
        <v>10644</v>
      </c>
    </row>
    <row r="2722" spans="1:5" ht="25.5" x14ac:dyDescent="0.2">
      <c r="A2722" s="14" t="s">
        <v>10645</v>
      </c>
      <c r="B2722" s="15" t="s">
        <v>718</v>
      </c>
      <c r="C2722" s="15" t="s">
        <v>4132</v>
      </c>
      <c r="D2722" s="15" t="s">
        <v>4133</v>
      </c>
      <c r="E2722" s="15" t="s">
        <v>10646</v>
      </c>
    </row>
    <row r="2723" spans="1:5" ht="25.5" x14ac:dyDescent="0.2">
      <c r="A2723" s="14" t="s">
        <v>10647</v>
      </c>
      <c r="B2723" s="15" t="s">
        <v>1118</v>
      </c>
      <c r="C2723" s="15" t="s">
        <v>4132</v>
      </c>
      <c r="D2723" s="15" t="s">
        <v>4133</v>
      </c>
      <c r="E2723" s="15" t="s">
        <v>10648</v>
      </c>
    </row>
    <row r="2724" spans="1:5" ht="25.5" x14ac:dyDescent="0.2">
      <c r="A2724" s="14" t="s">
        <v>10649</v>
      </c>
      <c r="B2724" s="15" t="s">
        <v>1121</v>
      </c>
      <c r="C2724" s="15" t="s">
        <v>4132</v>
      </c>
      <c r="D2724" s="15" t="s">
        <v>4133</v>
      </c>
      <c r="E2724" s="15" t="s">
        <v>10650</v>
      </c>
    </row>
    <row r="2725" spans="1:5" ht="25.5" x14ac:dyDescent="0.2">
      <c r="A2725" s="14" t="s">
        <v>10651</v>
      </c>
      <c r="B2725" s="15" t="s">
        <v>1179</v>
      </c>
      <c r="C2725" s="15" t="s">
        <v>4132</v>
      </c>
      <c r="D2725" s="15" t="s">
        <v>4133</v>
      </c>
      <c r="E2725" s="15" t="s">
        <v>10652</v>
      </c>
    </row>
    <row r="2726" spans="1:5" ht="25.5" x14ac:dyDescent="0.2">
      <c r="A2726" s="14" t="s">
        <v>10653</v>
      </c>
      <c r="B2726" s="15" t="s">
        <v>1348</v>
      </c>
      <c r="C2726" s="15" t="s">
        <v>4132</v>
      </c>
      <c r="D2726" s="15" t="s">
        <v>4133</v>
      </c>
      <c r="E2726" s="15" t="s">
        <v>10654</v>
      </c>
    </row>
    <row r="2727" spans="1:5" ht="25.5" x14ac:dyDescent="0.2">
      <c r="A2727" s="14" t="s">
        <v>10655</v>
      </c>
      <c r="B2727" s="15" t="s">
        <v>665</v>
      </c>
      <c r="C2727" s="15" t="s">
        <v>4132</v>
      </c>
      <c r="D2727" s="15" t="s">
        <v>4133</v>
      </c>
      <c r="E2727" s="15" t="s">
        <v>10656</v>
      </c>
    </row>
    <row r="2728" spans="1:5" ht="25.5" x14ac:dyDescent="0.2">
      <c r="A2728" s="14" t="s">
        <v>10657</v>
      </c>
      <c r="B2728" s="15" t="s">
        <v>860</v>
      </c>
      <c r="C2728" s="15" t="s">
        <v>4132</v>
      </c>
      <c r="D2728" s="15" t="s">
        <v>4133</v>
      </c>
      <c r="E2728" s="15" t="s">
        <v>10658</v>
      </c>
    </row>
    <row r="2729" spans="1:5" ht="25.5" x14ac:dyDescent="0.2">
      <c r="A2729" s="14" t="s">
        <v>10659</v>
      </c>
      <c r="B2729" s="15" t="s">
        <v>551</v>
      </c>
      <c r="C2729" s="15" t="s">
        <v>4132</v>
      </c>
      <c r="D2729" s="15" t="s">
        <v>4133</v>
      </c>
      <c r="E2729" s="15" t="s">
        <v>10660</v>
      </c>
    </row>
    <row r="2730" spans="1:5" ht="25.5" x14ac:dyDescent="0.2">
      <c r="A2730" s="14" t="s">
        <v>10661</v>
      </c>
      <c r="B2730" s="15" t="s">
        <v>293</v>
      </c>
      <c r="C2730" s="15" t="s">
        <v>4132</v>
      </c>
      <c r="D2730" s="15" t="s">
        <v>4133</v>
      </c>
      <c r="E2730" s="15" t="s">
        <v>10662</v>
      </c>
    </row>
    <row r="2731" spans="1:5" ht="25.5" x14ac:dyDescent="0.2">
      <c r="A2731" s="14" t="s">
        <v>10663</v>
      </c>
      <c r="B2731" s="15" t="s">
        <v>1120</v>
      </c>
      <c r="C2731" s="15" t="s">
        <v>4132</v>
      </c>
      <c r="D2731" s="15" t="s">
        <v>4133</v>
      </c>
      <c r="E2731" s="15" t="s">
        <v>10664</v>
      </c>
    </row>
    <row r="2732" spans="1:5" ht="25.5" x14ac:dyDescent="0.2">
      <c r="A2732" s="14" t="s">
        <v>10665</v>
      </c>
      <c r="B2732" s="15" t="s">
        <v>529</v>
      </c>
      <c r="C2732" s="15" t="s">
        <v>4132</v>
      </c>
      <c r="D2732" s="15" t="s">
        <v>4133</v>
      </c>
      <c r="E2732" s="15" t="s">
        <v>10666</v>
      </c>
    </row>
    <row r="2733" spans="1:5" ht="25.5" x14ac:dyDescent="0.2">
      <c r="A2733" s="14" t="s">
        <v>10667</v>
      </c>
      <c r="B2733" s="15" t="s">
        <v>10668</v>
      </c>
      <c r="C2733" s="15" t="s">
        <v>4132</v>
      </c>
      <c r="D2733" s="15" t="s">
        <v>4133</v>
      </c>
      <c r="E2733" s="15" t="s">
        <v>10669</v>
      </c>
    </row>
    <row r="2734" spans="1:5" ht="25.5" x14ac:dyDescent="0.2">
      <c r="A2734" s="14" t="s">
        <v>10670</v>
      </c>
      <c r="B2734" s="15" t="s">
        <v>1122</v>
      </c>
      <c r="C2734" s="15" t="s">
        <v>4132</v>
      </c>
      <c r="D2734" s="15" t="s">
        <v>4133</v>
      </c>
      <c r="E2734" s="15" t="s">
        <v>10671</v>
      </c>
    </row>
    <row r="2735" spans="1:5" ht="25.5" x14ac:dyDescent="0.2">
      <c r="A2735" s="14" t="s">
        <v>10672</v>
      </c>
      <c r="B2735" s="15" t="s">
        <v>620</v>
      </c>
      <c r="C2735" s="15" t="s">
        <v>4132</v>
      </c>
      <c r="D2735" s="15" t="s">
        <v>4133</v>
      </c>
      <c r="E2735" s="15" t="s">
        <v>10673</v>
      </c>
    </row>
    <row r="2736" spans="1:5" ht="25.5" x14ac:dyDescent="0.2">
      <c r="A2736" s="14" t="s">
        <v>10674</v>
      </c>
      <c r="B2736" s="15" t="s">
        <v>809</v>
      </c>
      <c r="C2736" s="15" t="s">
        <v>6609</v>
      </c>
      <c r="D2736" s="15" t="s">
        <v>6610</v>
      </c>
      <c r="E2736" s="15" t="s">
        <v>10675</v>
      </c>
    </row>
    <row r="2737" spans="1:5" ht="25.5" x14ac:dyDescent="0.2">
      <c r="A2737" s="14" t="s">
        <v>10676</v>
      </c>
      <c r="B2737" s="15" t="s">
        <v>493</v>
      </c>
      <c r="C2737" s="15" t="s">
        <v>4132</v>
      </c>
      <c r="D2737" s="15" t="s">
        <v>4133</v>
      </c>
      <c r="E2737" s="15" t="s">
        <v>10677</v>
      </c>
    </row>
    <row r="2738" spans="1:5" ht="25.5" x14ac:dyDescent="0.2">
      <c r="A2738" s="14" t="s">
        <v>10678</v>
      </c>
      <c r="B2738" s="15" t="s">
        <v>1015</v>
      </c>
      <c r="C2738" s="15" t="s">
        <v>4132</v>
      </c>
      <c r="D2738" s="15" t="s">
        <v>4133</v>
      </c>
      <c r="E2738" s="15" t="s">
        <v>10679</v>
      </c>
    </row>
    <row r="2739" spans="1:5" ht="25.5" x14ac:dyDescent="0.2">
      <c r="A2739" s="14" t="s">
        <v>10680</v>
      </c>
      <c r="B2739" s="15" t="s">
        <v>1180</v>
      </c>
      <c r="C2739" s="15" t="s">
        <v>4132</v>
      </c>
      <c r="D2739" s="15" t="s">
        <v>4133</v>
      </c>
      <c r="E2739" s="15" t="s">
        <v>10681</v>
      </c>
    </row>
    <row r="2740" spans="1:5" ht="25.5" x14ac:dyDescent="0.2">
      <c r="A2740" s="14" t="s">
        <v>10682</v>
      </c>
      <c r="B2740" s="15" t="s">
        <v>1117</v>
      </c>
      <c r="C2740" s="15" t="s">
        <v>4132</v>
      </c>
      <c r="D2740" s="15" t="s">
        <v>4133</v>
      </c>
      <c r="E2740" s="15" t="s">
        <v>10683</v>
      </c>
    </row>
    <row r="2741" spans="1:5" ht="25.5" x14ac:dyDescent="0.2">
      <c r="A2741" s="14" t="s">
        <v>10684</v>
      </c>
      <c r="B2741" s="15" t="s">
        <v>10685</v>
      </c>
      <c r="C2741" s="15" t="s">
        <v>4132</v>
      </c>
      <c r="D2741" s="15" t="s">
        <v>4133</v>
      </c>
      <c r="E2741" s="15" t="s">
        <v>10686</v>
      </c>
    </row>
    <row r="2742" spans="1:5" ht="25.5" x14ac:dyDescent="0.2">
      <c r="A2742" s="14" t="s">
        <v>10687</v>
      </c>
      <c r="B2742" s="15" t="s">
        <v>1511</v>
      </c>
      <c r="C2742" s="15" t="s">
        <v>4132</v>
      </c>
      <c r="D2742" s="15" t="s">
        <v>4133</v>
      </c>
      <c r="E2742" s="15" t="s">
        <v>10688</v>
      </c>
    </row>
    <row r="2743" spans="1:5" ht="25.5" x14ac:dyDescent="0.2">
      <c r="A2743" s="14" t="s">
        <v>10689</v>
      </c>
      <c r="B2743" s="15" t="s">
        <v>864</v>
      </c>
      <c r="C2743" s="15" t="s">
        <v>4132</v>
      </c>
      <c r="D2743" s="15" t="s">
        <v>4133</v>
      </c>
      <c r="E2743" s="15" t="s">
        <v>10690</v>
      </c>
    </row>
    <row r="2744" spans="1:5" ht="25.5" x14ac:dyDescent="0.2">
      <c r="A2744" s="14" t="s">
        <v>10691</v>
      </c>
      <c r="B2744" s="15" t="s">
        <v>861</v>
      </c>
      <c r="C2744" s="15" t="s">
        <v>4132</v>
      </c>
      <c r="D2744" s="15" t="s">
        <v>4133</v>
      </c>
      <c r="E2744" s="15" t="s">
        <v>10692</v>
      </c>
    </row>
    <row r="2745" spans="1:5" ht="25.5" x14ac:dyDescent="0.2">
      <c r="A2745" s="14" t="s">
        <v>10693</v>
      </c>
      <c r="B2745" s="15" t="s">
        <v>375</v>
      </c>
      <c r="C2745" s="15" t="s">
        <v>4132</v>
      </c>
      <c r="D2745" s="15" t="s">
        <v>4133</v>
      </c>
      <c r="E2745" s="15" t="s">
        <v>10694</v>
      </c>
    </row>
    <row r="2746" spans="1:5" ht="25.5" x14ac:dyDescent="0.2">
      <c r="A2746" s="14" t="s">
        <v>10695</v>
      </c>
      <c r="B2746" s="15" t="s">
        <v>869</v>
      </c>
      <c r="C2746" s="15" t="s">
        <v>4132</v>
      </c>
      <c r="D2746" s="15" t="s">
        <v>4133</v>
      </c>
      <c r="E2746" s="15" t="s">
        <v>10696</v>
      </c>
    </row>
    <row r="2747" spans="1:5" ht="25.5" x14ac:dyDescent="0.2">
      <c r="A2747" s="14" t="s">
        <v>10697</v>
      </c>
      <c r="B2747" s="15" t="s">
        <v>870</v>
      </c>
      <c r="C2747" s="15" t="s">
        <v>4132</v>
      </c>
      <c r="D2747" s="15" t="s">
        <v>4133</v>
      </c>
      <c r="E2747" s="15" t="s">
        <v>10698</v>
      </c>
    </row>
    <row r="2748" spans="1:5" ht="25.5" x14ac:dyDescent="0.2">
      <c r="A2748" s="14" t="s">
        <v>10699</v>
      </c>
      <c r="B2748" s="15" t="s">
        <v>775</v>
      </c>
      <c r="C2748" s="15" t="s">
        <v>4132</v>
      </c>
      <c r="D2748" s="15" t="s">
        <v>4133</v>
      </c>
      <c r="E2748" s="15" t="s">
        <v>10700</v>
      </c>
    </row>
    <row r="2749" spans="1:5" ht="25.5" x14ac:dyDescent="0.2">
      <c r="A2749" s="14" t="s">
        <v>10701</v>
      </c>
      <c r="B2749" s="15" t="s">
        <v>871</v>
      </c>
      <c r="C2749" s="15" t="s">
        <v>4132</v>
      </c>
      <c r="D2749" s="15" t="s">
        <v>4133</v>
      </c>
      <c r="E2749" s="15" t="s">
        <v>10702</v>
      </c>
    </row>
    <row r="2750" spans="1:5" ht="25.5" x14ac:dyDescent="0.2">
      <c r="A2750" s="14" t="s">
        <v>10703</v>
      </c>
      <c r="B2750" s="15" t="s">
        <v>1349</v>
      </c>
      <c r="C2750" s="15" t="s">
        <v>4132</v>
      </c>
      <c r="D2750" s="15" t="s">
        <v>4133</v>
      </c>
      <c r="E2750" s="15" t="s">
        <v>10704</v>
      </c>
    </row>
    <row r="2751" spans="1:5" ht="38.25" x14ac:dyDescent="0.2">
      <c r="A2751" s="14" t="s">
        <v>10705</v>
      </c>
      <c r="B2751" s="15" t="s">
        <v>10706</v>
      </c>
      <c r="C2751" s="15" t="s">
        <v>4132</v>
      </c>
      <c r="D2751" s="15" t="s">
        <v>4133</v>
      </c>
      <c r="E2751" s="15" t="s">
        <v>10707</v>
      </c>
    </row>
    <row r="2752" spans="1:5" ht="25.5" x14ac:dyDescent="0.2">
      <c r="A2752" s="14" t="s">
        <v>10708</v>
      </c>
      <c r="B2752" s="15" t="s">
        <v>10709</v>
      </c>
      <c r="C2752" s="15" t="s">
        <v>4104</v>
      </c>
      <c r="D2752" s="15" t="s">
        <v>4105</v>
      </c>
      <c r="E2752" s="15" t="s">
        <v>10710</v>
      </c>
    </row>
    <row r="2753" spans="1:5" ht="25.5" x14ac:dyDescent="0.2">
      <c r="A2753" s="14" t="s">
        <v>10711</v>
      </c>
      <c r="B2753" s="15" t="s">
        <v>10712</v>
      </c>
      <c r="C2753" s="15" t="s">
        <v>4104</v>
      </c>
      <c r="D2753" s="15" t="s">
        <v>4105</v>
      </c>
      <c r="E2753" s="15" t="s">
        <v>10713</v>
      </c>
    </row>
    <row r="2754" spans="1:5" ht="38.25" x14ac:dyDescent="0.2">
      <c r="A2754" s="14" t="s">
        <v>10714</v>
      </c>
      <c r="B2754" s="15" t="s">
        <v>10715</v>
      </c>
      <c r="C2754" s="15" t="s">
        <v>4132</v>
      </c>
      <c r="D2754" s="15" t="s">
        <v>4133</v>
      </c>
      <c r="E2754" s="15" t="s">
        <v>10716</v>
      </c>
    </row>
    <row r="2755" spans="1:5" ht="25.5" x14ac:dyDescent="0.2">
      <c r="A2755" s="14" t="s">
        <v>10717</v>
      </c>
      <c r="B2755" s="15" t="s">
        <v>279</v>
      </c>
      <c r="C2755" s="15" t="s">
        <v>4203</v>
      </c>
      <c r="D2755" s="15" t="s">
        <v>4204</v>
      </c>
      <c r="E2755" s="15" t="s">
        <v>10718</v>
      </c>
    </row>
    <row r="2756" spans="1:5" ht="25.5" x14ac:dyDescent="0.2">
      <c r="A2756" s="14" t="s">
        <v>10719</v>
      </c>
      <c r="B2756" s="15" t="s">
        <v>207</v>
      </c>
      <c r="C2756" s="15" t="s">
        <v>5207</v>
      </c>
      <c r="D2756" s="15" t="s">
        <v>5208</v>
      </c>
      <c r="E2756" s="15" t="s">
        <v>10720</v>
      </c>
    </row>
    <row r="2757" spans="1:5" ht="25.5" x14ac:dyDescent="0.2">
      <c r="A2757" s="14" t="s">
        <v>10721</v>
      </c>
      <c r="B2757" s="15" t="s">
        <v>10722</v>
      </c>
      <c r="C2757" s="15" t="s">
        <v>9446</v>
      </c>
      <c r="D2757" s="15" t="s">
        <v>9447</v>
      </c>
      <c r="E2757" s="15" t="s">
        <v>10723</v>
      </c>
    </row>
    <row r="2758" spans="1:5" ht="25.5" x14ac:dyDescent="0.2">
      <c r="A2758" s="14" t="s">
        <v>10724</v>
      </c>
      <c r="B2758" s="15" t="s">
        <v>623</v>
      </c>
      <c r="C2758" s="15" t="s">
        <v>9446</v>
      </c>
      <c r="D2758" s="15" t="s">
        <v>9447</v>
      </c>
      <c r="E2758" s="15" t="s">
        <v>10725</v>
      </c>
    </row>
    <row r="2759" spans="1:5" ht="25.5" x14ac:dyDescent="0.2">
      <c r="A2759" s="14" t="s">
        <v>10726</v>
      </c>
      <c r="B2759" s="15" t="s">
        <v>1096</v>
      </c>
      <c r="C2759" s="15" t="s">
        <v>9446</v>
      </c>
      <c r="D2759" s="15" t="s">
        <v>9447</v>
      </c>
      <c r="E2759" s="15" t="s">
        <v>10727</v>
      </c>
    </row>
    <row r="2760" spans="1:5" ht="25.5" x14ac:dyDescent="0.2">
      <c r="A2760" s="14" t="s">
        <v>10728</v>
      </c>
      <c r="B2760" s="15" t="s">
        <v>560</v>
      </c>
      <c r="C2760" s="15" t="s">
        <v>9446</v>
      </c>
      <c r="D2760" s="15" t="s">
        <v>9447</v>
      </c>
      <c r="E2760" s="15" t="s">
        <v>10729</v>
      </c>
    </row>
    <row r="2761" spans="1:5" ht="25.5" x14ac:dyDescent="0.2">
      <c r="A2761" s="14" t="s">
        <v>10730</v>
      </c>
      <c r="B2761" s="15" t="s">
        <v>755</v>
      </c>
      <c r="C2761" s="15" t="s">
        <v>9446</v>
      </c>
      <c r="D2761" s="15" t="s">
        <v>9447</v>
      </c>
      <c r="E2761" s="15" t="s">
        <v>10731</v>
      </c>
    </row>
    <row r="2762" spans="1:5" ht="25.5" x14ac:dyDescent="0.2">
      <c r="A2762" s="14" t="s">
        <v>10732</v>
      </c>
      <c r="B2762" s="15" t="s">
        <v>947</v>
      </c>
      <c r="C2762" s="15" t="s">
        <v>9446</v>
      </c>
      <c r="D2762" s="15" t="s">
        <v>9447</v>
      </c>
      <c r="E2762" s="15" t="s">
        <v>10733</v>
      </c>
    </row>
    <row r="2763" spans="1:5" ht="25.5" x14ac:dyDescent="0.2">
      <c r="A2763" s="14" t="s">
        <v>10734</v>
      </c>
      <c r="B2763" s="15" t="s">
        <v>616</v>
      </c>
      <c r="C2763" s="15" t="s">
        <v>9446</v>
      </c>
      <c r="D2763" s="15" t="s">
        <v>9447</v>
      </c>
      <c r="E2763" s="15" t="s">
        <v>10735</v>
      </c>
    </row>
    <row r="2764" spans="1:5" ht="25.5" x14ac:dyDescent="0.2">
      <c r="A2764" s="14" t="s">
        <v>10736</v>
      </c>
      <c r="B2764" s="15" t="s">
        <v>1060</v>
      </c>
      <c r="C2764" s="15" t="s">
        <v>9446</v>
      </c>
      <c r="D2764" s="15" t="s">
        <v>9447</v>
      </c>
      <c r="E2764" s="15" t="s">
        <v>10737</v>
      </c>
    </row>
    <row r="2765" spans="1:5" ht="25.5" x14ac:dyDescent="0.2">
      <c r="A2765" s="14" t="s">
        <v>10738</v>
      </c>
      <c r="B2765" s="15" t="s">
        <v>613</v>
      </c>
      <c r="C2765" s="15" t="s">
        <v>9446</v>
      </c>
      <c r="D2765" s="15" t="s">
        <v>9447</v>
      </c>
      <c r="E2765" s="15" t="s">
        <v>10739</v>
      </c>
    </row>
    <row r="2766" spans="1:5" ht="25.5" x14ac:dyDescent="0.2">
      <c r="A2766" s="14" t="s">
        <v>10740</v>
      </c>
      <c r="B2766" s="15" t="s">
        <v>954</v>
      </c>
      <c r="C2766" s="15" t="s">
        <v>9446</v>
      </c>
      <c r="D2766" s="15" t="s">
        <v>9447</v>
      </c>
      <c r="E2766" s="15" t="s">
        <v>10741</v>
      </c>
    </row>
    <row r="2767" spans="1:5" ht="25.5" x14ac:dyDescent="0.2">
      <c r="A2767" s="14" t="s">
        <v>10742</v>
      </c>
      <c r="B2767" s="15" t="s">
        <v>656</v>
      </c>
      <c r="C2767" s="15" t="s">
        <v>9446</v>
      </c>
      <c r="D2767" s="15" t="s">
        <v>9447</v>
      </c>
      <c r="E2767" s="15" t="s">
        <v>10743</v>
      </c>
    </row>
    <row r="2768" spans="1:5" ht="25.5" x14ac:dyDescent="0.2">
      <c r="A2768" s="14" t="s">
        <v>10744</v>
      </c>
      <c r="B2768" s="15" t="s">
        <v>950</v>
      </c>
      <c r="C2768" s="15" t="s">
        <v>9446</v>
      </c>
      <c r="D2768" s="15" t="s">
        <v>9447</v>
      </c>
      <c r="E2768" s="15" t="s">
        <v>10745</v>
      </c>
    </row>
    <row r="2769" spans="1:5" ht="25.5" x14ac:dyDescent="0.2">
      <c r="A2769" s="14" t="s">
        <v>10746</v>
      </c>
      <c r="B2769" s="15" t="s">
        <v>610</v>
      </c>
      <c r="C2769" s="15" t="s">
        <v>9446</v>
      </c>
      <c r="D2769" s="15" t="s">
        <v>9447</v>
      </c>
      <c r="E2769" s="15" t="s">
        <v>10747</v>
      </c>
    </row>
    <row r="2770" spans="1:5" ht="25.5" x14ac:dyDescent="0.2">
      <c r="A2770" s="14" t="s">
        <v>10748</v>
      </c>
      <c r="B2770" s="15" t="s">
        <v>1324</v>
      </c>
      <c r="C2770" s="15" t="s">
        <v>9446</v>
      </c>
      <c r="D2770" s="15" t="s">
        <v>9447</v>
      </c>
      <c r="E2770" s="15" t="s">
        <v>10749</v>
      </c>
    </row>
    <row r="2771" spans="1:5" ht="25.5" x14ac:dyDescent="0.2">
      <c r="A2771" s="14" t="s">
        <v>10750</v>
      </c>
      <c r="B2771" s="15" t="s">
        <v>567</v>
      </c>
      <c r="C2771" s="15" t="s">
        <v>9446</v>
      </c>
      <c r="D2771" s="15" t="s">
        <v>9447</v>
      </c>
      <c r="E2771" s="15" t="s">
        <v>10751</v>
      </c>
    </row>
    <row r="2772" spans="1:5" ht="25.5" x14ac:dyDescent="0.2">
      <c r="A2772" s="14" t="s">
        <v>10752</v>
      </c>
      <c r="B2772" s="15" t="s">
        <v>1558</v>
      </c>
      <c r="C2772" s="15" t="s">
        <v>9446</v>
      </c>
      <c r="D2772" s="15" t="s">
        <v>9447</v>
      </c>
      <c r="E2772" s="15" t="s">
        <v>10753</v>
      </c>
    </row>
    <row r="2773" spans="1:5" ht="25.5" x14ac:dyDescent="0.2">
      <c r="A2773" s="14" t="s">
        <v>10754</v>
      </c>
      <c r="B2773" s="15" t="s">
        <v>651</v>
      </c>
      <c r="C2773" s="15" t="s">
        <v>9446</v>
      </c>
      <c r="D2773" s="15" t="s">
        <v>9447</v>
      </c>
      <c r="E2773" s="15" t="s">
        <v>10755</v>
      </c>
    </row>
    <row r="2774" spans="1:5" ht="25.5" x14ac:dyDescent="0.2">
      <c r="A2774" s="14" t="s">
        <v>10756</v>
      </c>
      <c r="B2774" s="15" t="s">
        <v>1160</v>
      </c>
      <c r="C2774" s="15" t="s">
        <v>9446</v>
      </c>
      <c r="D2774" s="15" t="s">
        <v>9447</v>
      </c>
      <c r="E2774" s="15" t="s">
        <v>10757</v>
      </c>
    </row>
    <row r="2775" spans="1:5" ht="25.5" x14ac:dyDescent="0.2">
      <c r="A2775" s="14" t="s">
        <v>10758</v>
      </c>
      <c r="B2775" s="15" t="s">
        <v>1006</v>
      </c>
      <c r="C2775" s="15" t="s">
        <v>9446</v>
      </c>
      <c r="D2775" s="15" t="s">
        <v>9447</v>
      </c>
      <c r="E2775" s="15" t="s">
        <v>10759</v>
      </c>
    </row>
    <row r="2776" spans="1:5" ht="25.5" x14ac:dyDescent="0.2">
      <c r="A2776" s="14" t="s">
        <v>10760</v>
      </c>
      <c r="B2776" s="15" t="s">
        <v>10761</v>
      </c>
      <c r="C2776" s="15" t="s">
        <v>9446</v>
      </c>
      <c r="D2776" s="15" t="s">
        <v>9447</v>
      </c>
      <c r="E2776" s="15" t="s">
        <v>10762</v>
      </c>
    </row>
    <row r="2777" spans="1:5" ht="25.5" x14ac:dyDescent="0.2">
      <c r="A2777" s="14" t="s">
        <v>10763</v>
      </c>
      <c r="B2777" s="15" t="s">
        <v>10764</v>
      </c>
      <c r="C2777" s="15" t="s">
        <v>9446</v>
      </c>
      <c r="D2777" s="15" t="s">
        <v>9447</v>
      </c>
      <c r="E2777" s="15" t="s">
        <v>10765</v>
      </c>
    </row>
    <row r="2778" spans="1:5" ht="25.5" x14ac:dyDescent="0.2">
      <c r="A2778" s="14" t="s">
        <v>10766</v>
      </c>
      <c r="B2778" s="15" t="s">
        <v>1173</v>
      </c>
      <c r="C2778" s="15" t="s">
        <v>9446</v>
      </c>
      <c r="D2778" s="15" t="s">
        <v>9447</v>
      </c>
      <c r="E2778" s="15" t="s">
        <v>10767</v>
      </c>
    </row>
    <row r="2779" spans="1:5" ht="25.5" x14ac:dyDescent="0.2">
      <c r="A2779" s="14" t="s">
        <v>10768</v>
      </c>
      <c r="B2779" s="15" t="s">
        <v>889</v>
      </c>
      <c r="C2779" s="15" t="s">
        <v>9446</v>
      </c>
      <c r="D2779" s="15" t="s">
        <v>9447</v>
      </c>
      <c r="E2779" s="15" t="s">
        <v>10769</v>
      </c>
    </row>
    <row r="2780" spans="1:5" ht="25.5" x14ac:dyDescent="0.2">
      <c r="A2780" s="14" t="s">
        <v>10770</v>
      </c>
      <c r="B2780" s="15" t="s">
        <v>1161</v>
      </c>
      <c r="C2780" s="15" t="s">
        <v>9446</v>
      </c>
      <c r="D2780" s="15" t="s">
        <v>9447</v>
      </c>
      <c r="E2780" s="15" t="s">
        <v>10771</v>
      </c>
    </row>
    <row r="2781" spans="1:5" ht="25.5" x14ac:dyDescent="0.2">
      <c r="A2781" s="14" t="s">
        <v>10772</v>
      </c>
      <c r="B2781" s="15" t="s">
        <v>112</v>
      </c>
      <c r="C2781" s="15" t="s">
        <v>9446</v>
      </c>
      <c r="D2781" s="15" t="s">
        <v>9447</v>
      </c>
      <c r="E2781" s="15" t="s">
        <v>10773</v>
      </c>
    </row>
    <row r="2782" spans="1:5" ht="25.5" x14ac:dyDescent="0.2">
      <c r="A2782" s="14" t="s">
        <v>10774</v>
      </c>
      <c r="B2782" s="15" t="s">
        <v>10775</v>
      </c>
      <c r="C2782" s="15" t="s">
        <v>9446</v>
      </c>
      <c r="D2782" s="15" t="s">
        <v>9447</v>
      </c>
      <c r="E2782" s="15" t="s">
        <v>10776</v>
      </c>
    </row>
    <row r="2783" spans="1:5" ht="25.5" x14ac:dyDescent="0.2">
      <c r="A2783" s="14" t="s">
        <v>10777</v>
      </c>
      <c r="B2783" s="15" t="s">
        <v>151</v>
      </c>
      <c r="C2783" s="15" t="s">
        <v>9446</v>
      </c>
      <c r="D2783" s="15" t="s">
        <v>9447</v>
      </c>
      <c r="E2783" s="15" t="s">
        <v>10778</v>
      </c>
    </row>
    <row r="2784" spans="1:5" ht="25.5" x14ac:dyDescent="0.2">
      <c r="A2784" s="14" t="s">
        <v>10779</v>
      </c>
      <c r="B2784" s="15" t="s">
        <v>10780</v>
      </c>
      <c r="C2784" s="15" t="s">
        <v>9446</v>
      </c>
      <c r="D2784" s="15" t="s">
        <v>9447</v>
      </c>
      <c r="E2784" s="15" t="s">
        <v>10781</v>
      </c>
    </row>
    <row r="2785" spans="1:5" ht="25.5" x14ac:dyDescent="0.2">
      <c r="A2785" s="14" t="s">
        <v>10782</v>
      </c>
      <c r="B2785" s="15" t="s">
        <v>10783</v>
      </c>
      <c r="C2785" s="15" t="s">
        <v>9446</v>
      </c>
      <c r="D2785" s="15" t="s">
        <v>9447</v>
      </c>
      <c r="E2785" s="15" t="s">
        <v>10784</v>
      </c>
    </row>
    <row r="2786" spans="1:5" ht="25.5" x14ac:dyDescent="0.2">
      <c r="A2786" s="14" t="s">
        <v>10785</v>
      </c>
      <c r="B2786" s="15" t="s">
        <v>1172</v>
      </c>
      <c r="C2786" s="15" t="s">
        <v>9446</v>
      </c>
      <c r="D2786" s="15" t="s">
        <v>9447</v>
      </c>
      <c r="E2786" s="15" t="s">
        <v>10786</v>
      </c>
    </row>
    <row r="2787" spans="1:5" ht="25.5" x14ac:dyDescent="0.2">
      <c r="A2787" s="14" t="s">
        <v>10787</v>
      </c>
      <c r="B2787" s="15" t="s">
        <v>10788</v>
      </c>
      <c r="C2787" s="15" t="s">
        <v>9446</v>
      </c>
      <c r="D2787" s="15" t="s">
        <v>9447</v>
      </c>
      <c r="E2787" s="15" t="s">
        <v>10789</v>
      </c>
    </row>
    <row r="2788" spans="1:5" ht="25.5" x14ac:dyDescent="0.2">
      <c r="A2788" s="14" t="s">
        <v>10790</v>
      </c>
      <c r="B2788" s="15" t="s">
        <v>1059</v>
      </c>
      <c r="C2788" s="15" t="s">
        <v>9446</v>
      </c>
      <c r="D2788" s="15" t="s">
        <v>9447</v>
      </c>
      <c r="E2788" s="15" t="s">
        <v>10791</v>
      </c>
    </row>
    <row r="2789" spans="1:5" ht="25.5" x14ac:dyDescent="0.2">
      <c r="A2789" s="14" t="s">
        <v>10792</v>
      </c>
      <c r="B2789" s="15" t="s">
        <v>735</v>
      </c>
      <c r="C2789" s="15" t="s">
        <v>9446</v>
      </c>
      <c r="D2789" s="15" t="s">
        <v>9447</v>
      </c>
      <c r="E2789" s="15" t="s">
        <v>10793</v>
      </c>
    </row>
    <row r="2790" spans="1:5" ht="25.5" x14ac:dyDescent="0.2">
      <c r="A2790" s="14" t="s">
        <v>10794</v>
      </c>
      <c r="B2790" s="15" t="s">
        <v>359</v>
      </c>
      <c r="C2790" s="15" t="s">
        <v>9446</v>
      </c>
      <c r="D2790" s="15" t="s">
        <v>9447</v>
      </c>
      <c r="E2790" s="15" t="s">
        <v>10795</v>
      </c>
    </row>
    <row r="2791" spans="1:5" ht="25.5" x14ac:dyDescent="0.2">
      <c r="A2791" s="14" t="s">
        <v>10796</v>
      </c>
      <c r="B2791" s="15" t="s">
        <v>10797</v>
      </c>
      <c r="C2791" s="15" t="s">
        <v>6061</v>
      </c>
      <c r="D2791" s="15" t="s">
        <v>6062</v>
      </c>
      <c r="E2791" s="15" t="s">
        <v>10798</v>
      </c>
    </row>
    <row r="2792" spans="1:5" ht="25.5" x14ac:dyDescent="0.2">
      <c r="A2792" s="14" t="s">
        <v>10799</v>
      </c>
      <c r="B2792" s="15" t="s">
        <v>10800</v>
      </c>
      <c r="C2792" s="15" t="s">
        <v>6061</v>
      </c>
      <c r="D2792" s="15" t="s">
        <v>6062</v>
      </c>
      <c r="E2792" s="15" t="s">
        <v>10801</v>
      </c>
    </row>
    <row r="2793" spans="1:5" ht="25.5" x14ac:dyDescent="0.2">
      <c r="A2793" s="14" t="s">
        <v>10802</v>
      </c>
      <c r="B2793" s="15" t="s">
        <v>1342</v>
      </c>
      <c r="C2793" s="15" t="s">
        <v>4226</v>
      </c>
      <c r="D2793" s="15" t="s">
        <v>4227</v>
      </c>
      <c r="E2793" s="15" t="s">
        <v>10803</v>
      </c>
    </row>
    <row r="2794" spans="1:5" ht="25.5" x14ac:dyDescent="0.2">
      <c r="A2794" s="14" t="s">
        <v>10804</v>
      </c>
      <c r="B2794" s="15" t="s">
        <v>10805</v>
      </c>
      <c r="C2794" s="15" t="s">
        <v>4226</v>
      </c>
      <c r="D2794" s="15" t="s">
        <v>4227</v>
      </c>
      <c r="E2794" s="15" t="s">
        <v>10806</v>
      </c>
    </row>
    <row r="2795" spans="1:5" ht="25.5" x14ac:dyDescent="0.2">
      <c r="A2795" s="14" t="s">
        <v>10807</v>
      </c>
      <c r="B2795" s="15" t="s">
        <v>904</v>
      </c>
      <c r="C2795" s="15" t="s">
        <v>4226</v>
      </c>
      <c r="D2795" s="15" t="s">
        <v>4227</v>
      </c>
      <c r="E2795" s="15" t="s">
        <v>10808</v>
      </c>
    </row>
    <row r="2796" spans="1:5" ht="25.5" x14ac:dyDescent="0.2">
      <c r="A2796" s="14" t="s">
        <v>10809</v>
      </c>
      <c r="B2796" s="15" t="s">
        <v>1532</v>
      </c>
      <c r="C2796" s="15" t="s">
        <v>4226</v>
      </c>
      <c r="D2796" s="15" t="s">
        <v>4227</v>
      </c>
      <c r="E2796" s="15" t="s">
        <v>10810</v>
      </c>
    </row>
    <row r="2797" spans="1:5" ht="25.5" x14ac:dyDescent="0.2">
      <c r="A2797" s="14" t="s">
        <v>10811</v>
      </c>
      <c r="B2797" s="15" t="s">
        <v>1531</v>
      </c>
      <c r="C2797" s="15" t="s">
        <v>4226</v>
      </c>
      <c r="D2797" s="15" t="s">
        <v>4227</v>
      </c>
      <c r="E2797" s="15" t="s">
        <v>10812</v>
      </c>
    </row>
    <row r="2798" spans="1:5" ht="25.5" x14ac:dyDescent="0.2">
      <c r="A2798" s="14" t="s">
        <v>10813</v>
      </c>
      <c r="B2798" s="15" t="s">
        <v>1495</v>
      </c>
      <c r="C2798" s="15" t="s">
        <v>4226</v>
      </c>
      <c r="D2798" s="15" t="s">
        <v>4227</v>
      </c>
      <c r="E2798" s="15" t="s">
        <v>10814</v>
      </c>
    </row>
    <row r="2799" spans="1:5" ht="25.5" x14ac:dyDescent="0.2">
      <c r="A2799" s="14" t="s">
        <v>10815</v>
      </c>
      <c r="B2799" s="15" t="s">
        <v>10816</v>
      </c>
      <c r="C2799" s="15" t="s">
        <v>4226</v>
      </c>
      <c r="D2799" s="15" t="s">
        <v>4227</v>
      </c>
      <c r="E2799" s="15" t="s">
        <v>10817</v>
      </c>
    </row>
    <row r="2800" spans="1:5" ht="25.5" x14ac:dyDescent="0.2">
      <c r="A2800" s="14" t="s">
        <v>10818</v>
      </c>
      <c r="B2800" s="15" t="s">
        <v>418</v>
      </c>
      <c r="C2800" s="15" t="s">
        <v>4226</v>
      </c>
      <c r="D2800" s="15" t="s">
        <v>4227</v>
      </c>
      <c r="E2800" s="15" t="s">
        <v>10819</v>
      </c>
    </row>
    <row r="2801" spans="1:5" ht="25.5" x14ac:dyDescent="0.2">
      <c r="A2801" s="14" t="s">
        <v>10820</v>
      </c>
      <c r="B2801" s="15" t="s">
        <v>390</v>
      </c>
      <c r="C2801" s="15" t="s">
        <v>4226</v>
      </c>
      <c r="D2801" s="15" t="s">
        <v>4227</v>
      </c>
      <c r="E2801" s="15" t="s">
        <v>10821</v>
      </c>
    </row>
    <row r="2802" spans="1:5" ht="25.5" x14ac:dyDescent="0.2">
      <c r="A2802" s="14" t="s">
        <v>10822</v>
      </c>
      <c r="B2802" s="15" t="s">
        <v>164</v>
      </c>
      <c r="C2802" s="15" t="s">
        <v>4203</v>
      </c>
      <c r="D2802" s="15" t="s">
        <v>4204</v>
      </c>
      <c r="E2802" s="15" t="s">
        <v>10823</v>
      </c>
    </row>
    <row r="2803" spans="1:5" ht="25.5" x14ac:dyDescent="0.2">
      <c r="A2803" s="14" t="s">
        <v>10824</v>
      </c>
      <c r="B2803" s="15" t="s">
        <v>10825</v>
      </c>
      <c r="C2803" s="15" t="s">
        <v>4226</v>
      </c>
      <c r="D2803" s="15" t="s">
        <v>4227</v>
      </c>
      <c r="E2803" s="15" t="s">
        <v>10826</v>
      </c>
    </row>
    <row r="2804" spans="1:5" ht="25.5" x14ac:dyDescent="0.2">
      <c r="A2804" s="14" t="s">
        <v>10827</v>
      </c>
      <c r="B2804" s="15" t="s">
        <v>772</v>
      </c>
      <c r="C2804" s="15" t="s">
        <v>4226</v>
      </c>
      <c r="D2804" s="15" t="s">
        <v>4227</v>
      </c>
      <c r="E2804" s="15" t="s">
        <v>10828</v>
      </c>
    </row>
    <row r="2805" spans="1:5" ht="25.5" x14ac:dyDescent="0.2">
      <c r="A2805" s="14" t="s">
        <v>10829</v>
      </c>
      <c r="B2805" s="15" t="s">
        <v>1155</v>
      </c>
      <c r="C2805" s="15" t="s">
        <v>4226</v>
      </c>
      <c r="D2805" s="15" t="s">
        <v>4227</v>
      </c>
      <c r="E2805" s="15" t="s">
        <v>10830</v>
      </c>
    </row>
    <row r="2806" spans="1:5" ht="25.5" x14ac:dyDescent="0.2">
      <c r="A2806" s="14" t="s">
        <v>10831</v>
      </c>
      <c r="B2806" s="15" t="s">
        <v>1229</v>
      </c>
      <c r="C2806" s="15" t="s">
        <v>4226</v>
      </c>
      <c r="D2806" s="15" t="s">
        <v>4227</v>
      </c>
      <c r="E2806" s="15" t="s">
        <v>10832</v>
      </c>
    </row>
    <row r="2807" spans="1:5" ht="25.5" x14ac:dyDescent="0.2">
      <c r="A2807" s="14" t="s">
        <v>10833</v>
      </c>
      <c r="B2807" s="15" t="s">
        <v>118</v>
      </c>
      <c r="C2807" s="15" t="s">
        <v>4226</v>
      </c>
      <c r="D2807" s="15" t="s">
        <v>4227</v>
      </c>
      <c r="E2807" s="15" t="s">
        <v>10834</v>
      </c>
    </row>
    <row r="2808" spans="1:5" ht="25.5" x14ac:dyDescent="0.2">
      <c r="A2808" s="14" t="s">
        <v>10835</v>
      </c>
      <c r="B2808" s="15" t="s">
        <v>10836</v>
      </c>
      <c r="C2808" s="15" t="s">
        <v>4226</v>
      </c>
      <c r="D2808" s="15" t="s">
        <v>4227</v>
      </c>
      <c r="E2808" s="15" t="s">
        <v>10837</v>
      </c>
    </row>
    <row r="2809" spans="1:5" ht="25.5" x14ac:dyDescent="0.2">
      <c r="A2809" s="14" t="s">
        <v>10838</v>
      </c>
      <c r="B2809" s="15" t="s">
        <v>10839</v>
      </c>
      <c r="C2809" s="15" t="s">
        <v>4226</v>
      </c>
      <c r="D2809" s="15" t="s">
        <v>4227</v>
      </c>
      <c r="E2809" s="15" t="s">
        <v>10840</v>
      </c>
    </row>
    <row r="2810" spans="1:5" ht="25.5" x14ac:dyDescent="0.2">
      <c r="A2810" s="14" t="s">
        <v>10841</v>
      </c>
      <c r="B2810" s="15" t="s">
        <v>10842</v>
      </c>
      <c r="C2810" s="15" t="s">
        <v>4226</v>
      </c>
      <c r="D2810" s="15" t="s">
        <v>4227</v>
      </c>
      <c r="E2810" s="15" t="s">
        <v>10843</v>
      </c>
    </row>
    <row r="2811" spans="1:5" ht="25.5" x14ac:dyDescent="0.2">
      <c r="A2811" s="14" t="s">
        <v>10844</v>
      </c>
      <c r="B2811" s="15" t="s">
        <v>10845</v>
      </c>
      <c r="C2811" s="15" t="s">
        <v>4226</v>
      </c>
      <c r="D2811" s="15" t="s">
        <v>4227</v>
      </c>
      <c r="E2811" s="15" t="s">
        <v>10846</v>
      </c>
    </row>
    <row r="2812" spans="1:5" ht="25.5" x14ac:dyDescent="0.2">
      <c r="A2812" s="14" t="s">
        <v>10847</v>
      </c>
      <c r="B2812" s="15" t="s">
        <v>453</v>
      </c>
      <c r="C2812" s="15" t="s">
        <v>4226</v>
      </c>
      <c r="D2812" s="15" t="s">
        <v>4227</v>
      </c>
      <c r="E2812" s="15" t="s">
        <v>10848</v>
      </c>
    </row>
    <row r="2813" spans="1:5" ht="25.5" x14ac:dyDescent="0.2">
      <c r="A2813" s="14" t="s">
        <v>10849</v>
      </c>
      <c r="B2813" s="15" t="s">
        <v>10850</v>
      </c>
      <c r="C2813" s="15" t="s">
        <v>4226</v>
      </c>
      <c r="D2813" s="15" t="s">
        <v>4227</v>
      </c>
      <c r="E2813" s="15" t="s">
        <v>10851</v>
      </c>
    </row>
    <row r="2814" spans="1:5" ht="25.5" x14ac:dyDescent="0.2">
      <c r="A2814" s="14" t="s">
        <v>10852</v>
      </c>
      <c r="B2814" s="15" t="s">
        <v>1331</v>
      </c>
      <c r="C2814" s="15" t="s">
        <v>4226</v>
      </c>
      <c r="D2814" s="15" t="s">
        <v>4227</v>
      </c>
      <c r="E2814" s="15" t="s">
        <v>10853</v>
      </c>
    </row>
    <row r="2815" spans="1:5" ht="25.5" x14ac:dyDescent="0.2">
      <c r="A2815" s="14" t="s">
        <v>10854</v>
      </c>
      <c r="B2815" s="15" t="s">
        <v>10855</v>
      </c>
      <c r="C2815" s="15" t="s">
        <v>4226</v>
      </c>
      <c r="D2815" s="15" t="s">
        <v>4227</v>
      </c>
      <c r="E2815" s="15" t="s">
        <v>10856</v>
      </c>
    </row>
    <row r="2816" spans="1:5" ht="25.5" x14ac:dyDescent="0.2">
      <c r="A2816" s="14" t="s">
        <v>10857</v>
      </c>
      <c r="B2816" s="15" t="s">
        <v>391</v>
      </c>
      <c r="C2816" s="15" t="s">
        <v>4226</v>
      </c>
      <c r="D2816" s="15" t="s">
        <v>4227</v>
      </c>
      <c r="E2816" s="15" t="s">
        <v>10858</v>
      </c>
    </row>
    <row r="2817" spans="1:5" ht="25.5" x14ac:dyDescent="0.2">
      <c r="A2817" s="14" t="s">
        <v>10859</v>
      </c>
      <c r="B2817" s="15" t="s">
        <v>10860</v>
      </c>
      <c r="C2817" s="15" t="s">
        <v>4226</v>
      </c>
      <c r="D2817" s="15" t="s">
        <v>4227</v>
      </c>
      <c r="E2817" s="15" t="s">
        <v>10861</v>
      </c>
    </row>
    <row r="2818" spans="1:5" ht="25.5" x14ac:dyDescent="0.2">
      <c r="A2818" s="14" t="s">
        <v>10862</v>
      </c>
      <c r="B2818" s="15" t="s">
        <v>10863</v>
      </c>
      <c r="C2818" s="15" t="s">
        <v>4273</v>
      </c>
      <c r="D2818" s="15" t="s">
        <v>4274</v>
      </c>
      <c r="E2818" s="15" t="s">
        <v>10864</v>
      </c>
    </row>
    <row r="2819" spans="1:5" ht="25.5" x14ac:dyDescent="0.2">
      <c r="A2819" s="14" t="s">
        <v>10865</v>
      </c>
      <c r="B2819" s="15" t="s">
        <v>349</v>
      </c>
      <c r="C2819" s="15" t="s">
        <v>4273</v>
      </c>
      <c r="D2819" s="15" t="s">
        <v>4274</v>
      </c>
      <c r="E2819" s="15" t="s">
        <v>10866</v>
      </c>
    </row>
    <row r="2820" spans="1:5" ht="25.5" x14ac:dyDescent="0.2">
      <c r="A2820" s="14" t="s">
        <v>10867</v>
      </c>
      <c r="B2820" s="15" t="s">
        <v>348</v>
      </c>
      <c r="C2820" s="15" t="s">
        <v>4226</v>
      </c>
      <c r="D2820" s="15" t="s">
        <v>4227</v>
      </c>
      <c r="E2820" s="15" t="s">
        <v>10868</v>
      </c>
    </row>
    <row r="2821" spans="1:5" ht="25.5" x14ac:dyDescent="0.2">
      <c r="A2821" s="14" t="s">
        <v>10869</v>
      </c>
      <c r="B2821" s="15" t="s">
        <v>10870</v>
      </c>
      <c r="C2821" s="15" t="s">
        <v>3339</v>
      </c>
      <c r="D2821" s="15" t="s">
        <v>3340</v>
      </c>
      <c r="E2821" s="15" t="s">
        <v>10871</v>
      </c>
    </row>
    <row r="2822" spans="1:5" ht="25.5" x14ac:dyDescent="0.2">
      <c r="A2822" s="14" t="s">
        <v>10872</v>
      </c>
      <c r="B2822" s="15" t="s">
        <v>10873</v>
      </c>
      <c r="C2822" s="15" t="s">
        <v>4171</v>
      </c>
      <c r="D2822" s="15" t="s">
        <v>4172</v>
      </c>
      <c r="E2822" s="15" t="s">
        <v>10874</v>
      </c>
    </row>
    <row r="2823" spans="1:5" ht="25.5" x14ac:dyDescent="0.2">
      <c r="A2823" s="14" t="s">
        <v>10875</v>
      </c>
      <c r="B2823" s="15" t="s">
        <v>10876</v>
      </c>
      <c r="C2823" s="15" t="s">
        <v>6475</v>
      </c>
      <c r="D2823" s="15" t="s">
        <v>6476</v>
      </c>
      <c r="E2823" s="15" t="s">
        <v>10877</v>
      </c>
    </row>
    <row r="2824" spans="1:5" ht="25.5" x14ac:dyDescent="0.2">
      <c r="A2824" s="14" t="s">
        <v>10878</v>
      </c>
      <c r="B2824" s="15" t="s">
        <v>1486</v>
      </c>
      <c r="C2824" s="15" t="s">
        <v>10879</v>
      </c>
      <c r="D2824" s="15" t="s">
        <v>10880</v>
      </c>
      <c r="E2824" s="15" t="s">
        <v>10881</v>
      </c>
    </row>
    <row r="2825" spans="1:5" ht="25.5" x14ac:dyDescent="0.2">
      <c r="A2825" s="14" t="s">
        <v>10882</v>
      </c>
      <c r="B2825" s="15" t="s">
        <v>685</v>
      </c>
      <c r="C2825" s="15" t="s">
        <v>6475</v>
      </c>
      <c r="D2825" s="15" t="s">
        <v>6476</v>
      </c>
      <c r="E2825" s="15" t="s">
        <v>10883</v>
      </c>
    </row>
    <row r="2826" spans="1:5" ht="25.5" x14ac:dyDescent="0.2">
      <c r="A2826" s="14" t="s">
        <v>10884</v>
      </c>
      <c r="B2826" s="15" t="s">
        <v>10885</v>
      </c>
      <c r="C2826" s="15" t="s">
        <v>6475</v>
      </c>
      <c r="D2826" s="15" t="s">
        <v>6476</v>
      </c>
      <c r="E2826" s="15" t="s">
        <v>10886</v>
      </c>
    </row>
    <row r="2827" spans="1:5" ht="25.5" x14ac:dyDescent="0.2">
      <c r="A2827" s="14" t="s">
        <v>10887</v>
      </c>
      <c r="B2827" s="15" t="s">
        <v>431</v>
      </c>
      <c r="C2827" s="15" t="s">
        <v>6475</v>
      </c>
      <c r="D2827" s="15" t="s">
        <v>6476</v>
      </c>
      <c r="E2827" s="15" t="s">
        <v>10888</v>
      </c>
    </row>
    <row r="2828" spans="1:5" ht="25.5" x14ac:dyDescent="0.2">
      <c r="A2828" s="14" t="s">
        <v>10889</v>
      </c>
      <c r="B2828" s="15" t="s">
        <v>10890</v>
      </c>
      <c r="C2828" s="15" t="s">
        <v>6475</v>
      </c>
      <c r="D2828" s="15" t="s">
        <v>6476</v>
      </c>
      <c r="E2828" s="15" t="s">
        <v>10891</v>
      </c>
    </row>
    <row r="2829" spans="1:5" ht="25.5" x14ac:dyDescent="0.2">
      <c r="A2829" s="14" t="s">
        <v>10892</v>
      </c>
      <c r="B2829" s="15" t="s">
        <v>10893</v>
      </c>
      <c r="C2829" s="15" t="s">
        <v>6475</v>
      </c>
      <c r="D2829" s="15" t="s">
        <v>6476</v>
      </c>
      <c r="E2829" s="15" t="s">
        <v>10894</v>
      </c>
    </row>
    <row r="2830" spans="1:5" ht="25.5" x14ac:dyDescent="0.2">
      <c r="A2830" s="14" t="s">
        <v>10895</v>
      </c>
      <c r="B2830" s="15" t="s">
        <v>10896</v>
      </c>
      <c r="C2830" s="15" t="s">
        <v>6475</v>
      </c>
      <c r="D2830" s="15" t="s">
        <v>6476</v>
      </c>
      <c r="E2830" s="15" t="s">
        <v>10897</v>
      </c>
    </row>
    <row r="2831" spans="1:5" ht="25.5" x14ac:dyDescent="0.2">
      <c r="A2831" s="14" t="s">
        <v>10898</v>
      </c>
      <c r="B2831" s="15" t="s">
        <v>10899</v>
      </c>
      <c r="C2831" s="15" t="s">
        <v>6475</v>
      </c>
      <c r="D2831" s="15" t="s">
        <v>6476</v>
      </c>
      <c r="E2831" s="15" t="s">
        <v>10900</v>
      </c>
    </row>
    <row r="2832" spans="1:5" ht="25.5" x14ac:dyDescent="0.2">
      <c r="A2832" s="14" t="s">
        <v>10901</v>
      </c>
      <c r="B2832" s="15" t="s">
        <v>10902</v>
      </c>
      <c r="C2832" s="15" t="s">
        <v>6475</v>
      </c>
      <c r="D2832" s="15" t="s">
        <v>6476</v>
      </c>
      <c r="E2832" s="15" t="s">
        <v>10903</v>
      </c>
    </row>
    <row r="2833" spans="1:5" ht="25.5" x14ac:dyDescent="0.2">
      <c r="A2833" s="14" t="s">
        <v>10904</v>
      </c>
      <c r="B2833" s="15" t="s">
        <v>191</v>
      </c>
      <c r="C2833" s="15" t="s">
        <v>10905</v>
      </c>
      <c r="D2833" s="15" t="s">
        <v>10906</v>
      </c>
      <c r="E2833" s="15" t="s">
        <v>10907</v>
      </c>
    </row>
    <row r="2834" spans="1:5" ht="25.5" x14ac:dyDescent="0.2">
      <c r="A2834" s="14" t="s">
        <v>10908</v>
      </c>
      <c r="B2834" s="15" t="s">
        <v>379</v>
      </c>
      <c r="C2834" s="15" t="s">
        <v>4226</v>
      </c>
      <c r="D2834" s="15" t="s">
        <v>4227</v>
      </c>
      <c r="E2834" s="15" t="s">
        <v>10909</v>
      </c>
    </row>
    <row r="2835" spans="1:5" ht="25.5" x14ac:dyDescent="0.2">
      <c r="A2835" s="14" t="s">
        <v>10910</v>
      </c>
      <c r="B2835" s="15" t="s">
        <v>395</v>
      </c>
      <c r="C2835" s="15" t="s">
        <v>4175</v>
      </c>
      <c r="D2835" s="15" t="s">
        <v>4176</v>
      </c>
      <c r="E2835" s="15" t="s">
        <v>10911</v>
      </c>
    </row>
    <row r="2836" spans="1:5" ht="25.5" x14ac:dyDescent="0.2">
      <c r="A2836" s="14" t="s">
        <v>10912</v>
      </c>
      <c r="B2836" s="15" t="s">
        <v>10913</v>
      </c>
      <c r="C2836" s="15" t="s">
        <v>6302</v>
      </c>
      <c r="D2836" s="15" t="s">
        <v>6303</v>
      </c>
      <c r="E2836" s="15" t="s">
        <v>10914</v>
      </c>
    </row>
    <row r="2837" spans="1:5" ht="25.5" x14ac:dyDescent="0.2">
      <c r="A2837" s="14" t="s">
        <v>10915</v>
      </c>
      <c r="B2837" s="15" t="s">
        <v>10916</v>
      </c>
      <c r="C2837" s="15" t="s">
        <v>3821</v>
      </c>
      <c r="D2837" s="15" t="s">
        <v>3822</v>
      </c>
      <c r="E2837" s="15" t="s">
        <v>10917</v>
      </c>
    </row>
    <row r="2838" spans="1:5" ht="25.5" x14ac:dyDescent="0.2">
      <c r="A2838" s="14" t="s">
        <v>10918</v>
      </c>
      <c r="B2838" s="15" t="s">
        <v>10919</v>
      </c>
      <c r="C2838" s="15" t="s">
        <v>3821</v>
      </c>
      <c r="D2838" s="15" t="s">
        <v>3822</v>
      </c>
      <c r="E2838" s="15" t="s">
        <v>10920</v>
      </c>
    </row>
    <row r="2839" spans="1:5" ht="25.5" x14ac:dyDescent="0.2">
      <c r="A2839" s="14" t="s">
        <v>10921</v>
      </c>
      <c r="B2839" s="15" t="s">
        <v>10922</v>
      </c>
      <c r="C2839" s="15" t="s">
        <v>3821</v>
      </c>
      <c r="D2839" s="15" t="s">
        <v>3822</v>
      </c>
      <c r="E2839" s="15" t="s">
        <v>10923</v>
      </c>
    </row>
    <row r="2840" spans="1:5" ht="25.5" x14ac:dyDescent="0.2">
      <c r="A2840" s="14" t="s">
        <v>10924</v>
      </c>
      <c r="B2840" s="15" t="s">
        <v>894</v>
      </c>
      <c r="C2840" s="15" t="s">
        <v>4175</v>
      </c>
      <c r="D2840" s="15" t="s">
        <v>4176</v>
      </c>
      <c r="E2840" s="15" t="s">
        <v>10925</v>
      </c>
    </row>
    <row r="2841" spans="1:5" ht="38.25" x14ac:dyDescent="0.2">
      <c r="A2841" s="14" t="s">
        <v>10926</v>
      </c>
      <c r="B2841" s="15" t="s">
        <v>1406</v>
      </c>
      <c r="C2841" s="15" t="s">
        <v>4203</v>
      </c>
      <c r="D2841" s="15" t="s">
        <v>4204</v>
      </c>
      <c r="E2841" s="15" t="s">
        <v>10927</v>
      </c>
    </row>
    <row r="2842" spans="1:5" ht="25.5" x14ac:dyDescent="0.2">
      <c r="A2842" s="14" t="s">
        <v>10928</v>
      </c>
      <c r="B2842" s="15" t="s">
        <v>1618</v>
      </c>
      <c r="C2842" s="15" t="s">
        <v>3410</v>
      </c>
      <c r="D2842" s="15" t="s">
        <v>3411</v>
      </c>
      <c r="E2842" s="15" t="s">
        <v>10929</v>
      </c>
    </row>
    <row r="2843" spans="1:5" ht="25.5" x14ac:dyDescent="0.2">
      <c r="A2843" s="14" t="s">
        <v>10930</v>
      </c>
      <c r="B2843" s="15" t="s">
        <v>10931</v>
      </c>
      <c r="C2843" s="15" t="s">
        <v>5207</v>
      </c>
      <c r="D2843" s="15" t="s">
        <v>5208</v>
      </c>
      <c r="E2843" s="15" t="s">
        <v>10932</v>
      </c>
    </row>
    <row r="2844" spans="1:5" ht="25.5" x14ac:dyDescent="0.2">
      <c r="A2844" s="14" t="s">
        <v>10933</v>
      </c>
      <c r="B2844" s="15" t="s">
        <v>10934</v>
      </c>
      <c r="C2844" s="15" t="s">
        <v>5207</v>
      </c>
      <c r="D2844" s="15" t="s">
        <v>5208</v>
      </c>
      <c r="E2844" s="15" t="s">
        <v>10935</v>
      </c>
    </row>
    <row r="2845" spans="1:5" ht="25.5" x14ac:dyDescent="0.2">
      <c r="A2845" s="14" t="s">
        <v>10936</v>
      </c>
      <c r="B2845" s="15" t="s">
        <v>10937</v>
      </c>
      <c r="C2845" s="15" t="s">
        <v>5207</v>
      </c>
      <c r="D2845" s="15" t="s">
        <v>5208</v>
      </c>
      <c r="E2845" s="15" t="s">
        <v>10938</v>
      </c>
    </row>
    <row r="2846" spans="1:5" ht="25.5" x14ac:dyDescent="0.2">
      <c r="A2846" s="14" t="s">
        <v>10939</v>
      </c>
      <c r="B2846" s="15" t="s">
        <v>206</v>
      </c>
      <c r="C2846" s="15" t="s">
        <v>5207</v>
      </c>
      <c r="D2846" s="15" t="s">
        <v>5208</v>
      </c>
      <c r="E2846" s="15" t="s">
        <v>10940</v>
      </c>
    </row>
    <row r="2847" spans="1:5" ht="25.5" x14ac:dyDescent="0.2">
      <c r="A2847" s="14" t="s">
        <v>10941</v>
      </c>
      <c r="B2847" s="15" t="s">
        <v>737</v>
      </c>
      <c r="C2847" s="15" t="s">
        <v>4800</v>
      </c>
      <c r="D2847" s="15" t="s">
        <v>4801</v>
      </c>
      <c r="E2847" s="15" t="s">
        <v>10942</v>
      </c>
    </row>
    <row r="2848" spans="1:5" ht="25.5" x14ac:dyDescent="0.2">
      <c r="A2848" s="14" t="s">
        <v>10943</v>
      </c>
      <c r="B2848" s="15" t="s">
        <v>500</v>
      </c>
      <c r="C2848" s="15" t="s">
        <v>4800</v>
      </c>
      <c r="D2848" s="15" t="s">
        <v>4801</v>
      </c>
      <c r="E2848" s="15" t="s">
        <v>10944</v>
      </c>
    </row>
    <row r="2849" spans="1:5" ht="25.5" x14ac:dyDescent="0.2">
      <c r="A2849" s="14" t="s">
        <v>10945</v>
      </c>
      <c r="B2849" s="15" t="s">
        <v>770</v>
      </c>
      <c r="C2849" s="15" t="s">
        <v>4800</v>
      </c>
      <c r="D2849" s="15" t="s">
        <v>4801</v>
      </c>
      <c r="E2849" s="15" t="s">
        <v>10946</v>
      </c>
    </row>
    <row r="2850" spans="1:5" ht="25.5" x14ac:dyDescent="0.2">
      <c r="A2850" s="14" t="s">
        <v>10947</v>
      </c>
      <c r="B2850" s="15" t="s">
        <v>1422</v>
      </c>
      <c r="C2850" s="15" t="s">
        <v>5207</v>
      </c>
      <c r="D2850" s="15" t="s">
        <v>5208</v>
      </c>
      <c r="E2850" s="15" t="s">
        <v>10948</v>
      </c>
    </row>
    <row r="2851" spans="1:5" ht="25.5" x14ac:dyDescent="0.2">
      <c r="A2851" s="14" t="s">
        <v>10949</v>
      </c>
      <c r="B2851" s="15" t="s">
        <v>10950</v>
      </c>
      <c r="C2851" s="15" t="s">
        <v>4764</v>
      </c>
      <c r="D2851" s="15" t="s">
        <v>4765</v>
      </c>
      <c r="E2851" s="15" t="s">
        <v>10951</v>
      </c>
    </row>
    <row r="2852" spans="1:5" ht="25.5" x14ac:dyDescent="0.2">
      <c r="A2852" s="14" t="s">
        <v>10952</v>
      </c>
      <c r="B2852" s="15" t="s">
        <v>10953</v>
      </c>
      <c r="C2852" s="15" t="s">
        <v>4764</v>
      </c>
      <c r="D2852" s="15" t="s">
        <v>4765</v>
      </c>
      <c r="E2852" s="15" t="s">
        <v>10954</v>
      </c>
    </row>
    <row r="2853" spans="1:5" ht="25.5" x14ac:dyDescent="0.2">
      <c r="A2853" s="14" t="s">
        <v>10955</v>
      </c>
      <c r="B2853" s="15" t="s">
        <v>10956</v>
      </c>
      <c r="C2853" s="15" t="s">
        <v>4764</v>
      </c>
      <c r="D2853" s="15" t="s">
        <v>4765</v>
      </c>
      <c r="E2853" s="15" t="s">
        <v>10957</v>
      </c>
    </row>
    <row r="2854" spans="1:5" ht="25.5" x14ac:dyDescent="0.2">
      <c r="A2854" s="14" t="s">
        <v>10958</v>
      </c>
      <c r="B2854" s="15" t="s">
        <v>10959</v>
      </c>
      <c r="C2854" s="15" t="s">
        <v>7780</v>
      </c>
      <c r="D2854" s="15" t="s">
        <v>7781</v>
      </c>
      <c r="E2854" s="15" t="s">
        <v>10960</v>
      </c>
    </row>
    <row r="2855" spans="1:5" ht="25.5" x14ac:dyDescent="0.2">
      <c r="A2855" s="14" t="s">
        <v>10961</v>
      </c>
      <c r="B2855" s="15" t="s">
        <v>10962</v>
      </c>
      <c r="C2855" s="15" t="s">
        <v>7780</v>
      </c>
      <c r="D2855" s="15" t="s">
        <v>7781</v>
      </c>
      <c r="E2855" s="15" t="s">
        <v>10963</v>
      </c>
    </row>
    <row r="2856" spans="1:5" ht="25.5" x14ac:dyDescent="0.2">
      <c r="A2856" s="14" t="s">
        <v>10964</v>
      </c>
      <c r="B2856" s="15" t="s">
        <v>10965</v>
      </c>
      <c r="C2856" s="15" t="s">
        <v>7780</v>
      </c>
      <c r="D2856" s="15" t="s">
        <v>7781</v>
      </c>
      <c r="E2856" s="15" t="s">
        <v>10966</v>
      </c>
    </row>
    <row r="2857" spans="1:5" ht="25.5" x14ac:dyDescent="0.2">
      <c r="A2857" s="14" t="s">
        <v>10967</v>
      </c>
      <c r="B2857" s="15" t="s">
        <v>10968</v>
      </c>
      <c r="C2857" s="15" t="s">
        <v>6475</v>
      </c>
      <c r="D2857" s="15" t="s">
        <v>6476</v>
      </c>
      <c r="E2857" s="15" t="s">
        <v>10969</v>
      </c>
    </row>
    <row r="2858" spans="1:5" ht="25.5" x14ac:dyDescent="0.2">
      <c r="A2858" s="14" t="s">
        <v>10970</v>
      </c>
      <c r="B2858" s="15" t="s">
        <v>10971</v>
      </c>
      <c r="C2858" s="15" t="s">
        <v>6475</v>
      </c>
      <c r="D2858" s="15" t="s">
        <v>6476</v>
      </c>
      <c r="E2858" s="15" t="s">
        <v>10972</v>
      </c>
    </row>
    <row r="2859" spans="1:5" ht="25.5" x14ac:dyDescent="0.2">
      <c r="A2859" s="14" t="s">
        <v>10973</v>
      </c>
      <c r="B2859" s="15" t="s">
        <v>109</v>
      </c>
      <c r="C2859" s="15" t="s">
        <v>6475</v>
      </c>
      <c r="D2859" s="15" t="s">
        <v>6476</v>
      </c>
      <c r="E2859" s="15" t="s">
        <v>10974</v>
      </c>
    </row>
    <row r="2860" spans="1:5" ht="25.5" x14ac:dyDescent="0.2">
      <c r="A2860" s="14" t="s">
        <v>10975</v>
      </c>
      <c r="B2860" s="15" t="s">
        <v>156</v>
      </c>
      <c r="C2860" s="15" t="s">
        <v>6475</v>
      </c>
      <c r="D2860" s="15" t="s">
        <v>6476</v>
      </c>
      <c r="E2860" s="15" t="s">
        <v>10976</v>
      </c>
    </row>
    <row r="2861" spans="1:5" ht="25.5" x14ac:dyDescent="0.2">
      <c r="A2861" s="14" t="s">
        <v>10977</v>
      </c>
      <c r="B2861" s="15" t="s">
        <v>299</v>
      </c>
      <c r="C2861" s="15" t="s">
        <v>6475</v>
      </c>
      <c r="D2861" s="15" t="s">
        <v>6476</v>
      </c>
      <c r="E2861" s="15" t="s">
        <v>10978</v>
      </c>
    </row>
    <row r="2862" spans="1:5" ht="25.5" x14ac:dyDescent="0.2">
      <c r="A2862" s="14" t="s">
        <v>10979</v>
      </c>
      <c r="B2862" s="15" t="s">
        <v>240</v>
      </c>
      <c r="C2862" s="15" t="s">
        <v>4226</v>
      </c>
      <c r="D2862" s="15" t="s">
        <v>4227</v>
      </c>
      <c r="E2862" s="15" t="s">
        <v>10980</v>
      </c>
    </row>
    <row r="2863" spans="1:5" ht="25.5" x14ac:dyDescent="0.2">
      <c r="A2863" s="14" t="s">
        <v>10981</v>
      </c>
      <c r="B2863" s="15" t="s">
        <v>126</v>
      </c>
      <c r="C2863" s="15" t="s">
        <v>4226</v>
      </c>
      <c r="D2863" s="15" t="s">
        <v>4227</v>
      </c>
      <c r="E2863" s="15" t="s">
        <v>10982</v>
      </c>
    </row>
    <row r="2864" spans="1:5" ht="25.5" x14ac:dyDescent="0.2">
      <c r="A2864" s="14" t="s">
        <v>10983</v>
      </c>
      <c r="B2864" s="15" t="s">
        <v>10984</v>
      </c>
      <c r="C2864" s="15" t="s">
        <v>7780</v>
      </c>
      <c r="D2864" s="15" t="s">
        <v>7781</v>
      </c>
      <c r="E2864" s="15" t="s">
        <v>10985</v>
      </c>
    </row>
    <row r="2865" spans="1:5" ht="25.5" x14ac:dyDescent="0.2">
      <c r="A2865" s="14" t="s">
        <v>10986</v>
      </c>
      <c r="B2865" s="15" t="s">
        <v>10987</v>
      </c>
      <c r="C2865" s="15" t="s">
        <v>7780</v>
      </c>
      <c r="D2865" s="15" t="s">
        <v>7781</v>
      </c>
      <c r="E2865" s="15" t="s">
        <v>10988</v>
      </c>
    </row>
    <row r="2866" spans="1:5" ht="25.5" x14ac:dyDescent="0.2">
      <c r="A2866" s="14" t="s">
        <v>10989</v>
      </c>
      <c r="B2866" s="15" t="s">
        <v>10990</v>
      </c>
      <c r="C2866" s="15" t="s">
        <v>7780</v>
      </c>
      <c r="D2866" s="15" t="s">
        <v>7781</v>
      </c>
      <c r="E2866" s="15" t="s">
        <v>10991</v>
      </c>
    </row>
    <row r="2867" spans="1:5" ht="25.5" x14ac:dyDescent="0.2">
      <c r="A2867" s="14" t="s">
        <v>10992</v>
      </c>
      <c r="B2867" s="15" t="s">
        <v>10993</v>
      </c>
      <c r="C2867" s="15" t="s">
        <v>7780</v>
      </c>
      <c r="D2867" s="15" t="s">
        <v>7781</v>
      </c>
      <c r="E2867" s="15" t="s">
        <v>10994</v>
      </c>
    </row>
    <row r="2868" spans="1:5" ht="25.5" x14ac:dyDescent="0.2">
      <c r="A2868" s="14" t="s">
        <v>10995</v>
      </c>
      <c r="B2868" s="15" t="s">
        <v>10996</v>
      </c>
      <c r="C2868" s="15" t="s">
        <v>4857</v>
      </c>
      <c r="D2868" s="15" t="s">
        <v>4858</v>
      </c>
      <c r="E2868" s="15" t="s">
        <v>10997</v>
      </c>
    </row>
    <row r="2869" spans="1:5" ht="25.5" x14ac:dyDescent="0.2">
      <c r="A2869" s="14" t="s">
        <v>10998</v>
      </c>
      <c r="B2869" s="15" t="s">
        <v>10999</v>
      </c>
      <c r="C2869" s="15" t="s">
        <v>3318</v>
      </c>
      <c r="D2869" s="15" t="s">
        <v>3319</v>
      </c>
      <c r="E2869" s="15" t="s">
        <v>11000</v>
      </c>
    </row>
    <row r="2870" spans="1:5" ht="25.5" x14ac:dyDescent="0.2">
      <c r="A2870" s="14" t="s">
        <v>11001</v>
      </c>
      <c r="B2870" s="15" t="s">
        <v>831</v>
      </c>
      <c r="C2870" s="15" t="s">
        <v>5618</v>
      </c>
      <c r="D2870" s="15" t="s">
        <v>5619</v>
      </c>
      <c r="E2870" s="15" t="s">
        <v>11002</v>
      </c>
    </row>
    <row r="2871" spans="1:5" ht="25.5" x14ac:dyDescent="0.2">
      <c r="A2871" s="14" t="s">
        <v>11003</v>
      </c>
      <c r="B2871" s="15" t="s">
        <v>11004</v>
      </c>
      <c r="C2871" s="15" t="s">
        <v>11005</v>
      </c>
      <c r="D2871" s="15" t="s">
        <v>11006</v>
      </c>
      <c r="E2871" s="15" t="s">
        <v>11007</v>
      </c>
    </row>
    <row r="2872" spans="1:5" ht="25.5" x14ac:dyDescent="0.2">
      <c r="A2872" s="14" t="s">
        <v>11008</v>
      </c>
      <c r="B2872" s="15" t="s">
        <v>11009</v>
      </c>
      <c r="C2872" s="15" t="s">
        <v>11005</v>
      </c>
      <c r="D2872" s="15" t="s">
        <v>11006</v>
      </c>
      <c r="E2872" s="15" t="s">
        <v>11010</v>
      </c>
    </row>
    <row r="2873" spans="1:5" ht="25.5" x14ac:dyDescent="0.2">
      <c r="A2873" s="14" t="s">
        <v>11011</v>
      </c>
      <c r="B2873" s="15" t="s">
        <v>11012</v>
      </c>
      <c r="C2873" s="15" t="s">
        <v>3318</v>
      </c>
      <c r="D2873" s="15" t="s">
        <v>3319</v>
      </c>
      <c r="E2873" s="15" t="s">
        <v>11013</v>
      </c>
    </row>
    <row r="2874" spans="1:5" ht="25.5" x14ac:dyDescent="0.2">
      <c r="A2874" s="14" t="s">
        <v>11014</v>
      </c>
      <c r="B2874" s="15" t="s">
        <v>1414</v>
      </c>
      <c r="C2874" s="15" t="s">
        <v>5207</v>
      </c>
      <c r="D2874" s="15" t="s">
        <v>5208</v>
      </c>
      <c r="E2874" s="15" t="s">
        <v>11015</v>
      </c>
    </row>
    <row r="2875" spans="1:5" ht="51" x14ac:dyDescent="0.2">
      <c r="A2875" s="14" t="s">
        <v>11016</v>
      </c>
      <c r="B2875" s="15" t="s">
        <v>11017</v>
      </c>
      <c r="C2875" s="15" t="s">
        <v>4345</v>
      </c>
      <c r="D2875" s="15" t="s">
        <v>4346</v>
      </c>
      <c r="E2875" s="15" t="s">
        <v>11018</v>
      </c>
    </row>
    <row r="2876" spans="1:5" ht="38.25" x14ac:dyDescent="0.2">
      <c r="A2876" s="14" t="s">
        <v>11019</v>
      </c>
      <c r="B2876" s="15" t="s">
        <v>11020</v>
      </c>
      <c r="C2876" s="15" t="s">
        <v>4345</v>
      </c>
      <c r="D2876" s="15" t="s">
        <v>4346</v>
      </c>
      <c r="E2876" s="15" t="s">
        <v>11021</v>
      </c>
    </row>
    <row r="2877" spans="1:5" ht="51" x14ac:dyDescent="0.2">
      <c r="A2877" s="14" t="s">
        <v>11022</v>
      </c>
      <c r="B2877" s="15" t="s">
        <v>11023</v>
      </c>
      <c r="C2877" s="15" t="s">
        <v>4345</v>
      </c>
      <c r="D2877" s="15" t="s">
        <v>4346</v>
      </c>
      <c r="E2877" s="15" t="s">
        <v>11024</v>
      </c>
    </row>
    <row r="2878" spans="1:5" ht="25.5" x14ac:dyDescent="0.2">
      <c r="A2878" s="14" t="s">
        <v>11025</v>
      </c>
      <c r="B2878" s="15" t="s">
        <v>11026</v>
      </c>
      <c r="C2878" s="15" t="s">
        <v>4345</v>
      </c>
      <c r="D2878" s="15" t="s">
        <v>4346</v>
      </c>
      <c r="E2878" s="15" t="s">
        <v>11027</v>
      </c>
    </row>
    <row r="2879" spans="1:5" ht="25.5" x14ac:dyDescent="0.2">
      <c r="A2879" s="14" t="s">
        <v>11028</v>
      </c>
      <c r="B2879" s="15" t="s">
        <v>11029</v>
      </c>
      <c r="C2879" s="15" t="s">
        <v>4078</v>
      </c>
      <c r="D2879" s="15" t="s">
        <v>4079</v>
      </c>
      <c r="E2879" s="15" t="s">
        <v>11030</v>
      </c>
    </row>
    <row r="2880" spans="1:5" ht="25.5" x14ac:dyDescent="0.2">
      <c r="A2880" s="14" t="s">
        <v>11031</v>
      </c>
      <c r="B2880" s="15" t="s">
        <v>1526</v>
      </c>
      <c r="C2880" s="15" t="s">
        <v>4273</v>
      </c>
      <c r="D2880" s="15" t="s">
        <v>4274</v>
      </c>
      <c r="E2880" s="15" t="s">
        <v>11032</v>
      </c>
    </row>
    <row r="2881" spans="1:5" ht="25.5" x14ac:dyDescent="0.2">
      <c r="A2881" s="14" t="s">
        <v>11033</v>
      </c>
      <c r="B2881" s="15" t="s">
        <v>11034</v>
      </c>
      <c r="C2881" s="15" t="s">
        <v>7780</v>
      </c>
      <c r="D2881" s="15" t="s">
        <v>7781</v>
      </c>
      <c r="E2881" s="15" t="s">
        <v>11035</v>
      </c>
    </row>
    <row r="2882" spans="1:5" ht="25.5" x14ac:dyDescent="0.2">
      <c r="A2882" s="14" t="s">
        <v>11036</v>
      </c>
      <c r="B2882" s="15" t="s">
        <v>11037</v>
      </c>
      <c r="C2882" s="15" t="s">
        <v>11038</v>
      </c>
      <c r="D2882" s="15" t="s">
        <v>11039</v>
      </c>
      <c r="E2882" s="15" t="s">
        <v>11040</v>
      </c>
    </row>
    <row r="2883" spans="1:5" ht="38.25" x14ac:dyDescent="0.2">
      <c r="A2883" s="14" t="s">
        <v>11041</v>
      </c>
      <c r="B2883" s="15" t="s">
        <v>11042</v>
      </c>
      <c r="C2883" s="15" t="s">
        <v>11038</v>
      </c>
      <c r="D2883" s="15" t="s">
        <v>11039</v>
      </c>
      <c r="E2883" s="15" t="s">
        <v>11043</v>
      </c>
    </row>
    <row r="2884" spans="1:5" ht="25.5" x14ac:dyDescent="0.2">
      <c r="A2884" s="14" t="s">
        <v>11044</v>
      </c>
      <c r="B2884" s="15" t="s">
        <v>713</v>
      </c>
      <c r="C2884" s="15" t="s">
        <v>4764</v>
      </c>
      <c r="D2884" s="15" t="s">
        <v>4765</v>
      </c>
      <c r="E2884" s="15" t="s">
        <v>11045</v>
      </c>
    </row>
    <row r="2885" spans="1:5" ht="25.5" x14ac:dyDescent="0.2">
      <c r="A2885" s="14" t="s">
        <v>11046</v>
      </c>
      <c r="B2885" s="15" t="s">
        <v>245</v>
      </c>
      <c r="C2885" s="15" t="s">
        <v>11047</v>
      </c>
      <c r="D2885" s="15" t="s">
        <v>11048</v>
      </c>
      <c r="E2885" s="15" t="s">
        <v>11049</v>
      </c>
    </row>
    <row r="2886" spans="1:5" ht="25.5" x14ac:dyDescent="0.2">
      <c r="A2886" s="14" t="s">
        <v>11050</v>
      </c>
      <c r="B2886" s="15" t="s">
        <v>1055</v>
      </c>
      <c r="C2886" s="15" t="s">
        <v>5207</v>
      </c>
      <c r="D2886" s="15" t="s">
        <v>5208</v>
      </c>
      <c r="E2886" s="15" t="s">
        <v>11051</v>
      </c>
    </row>
    <row r="2887" spans="1:5" ht="25.5" x14ac:dyDescent="0.2">
      <c r="A2887" s="14" t="s">
        <v>11052</v>
      </c>
      <c r="B2887" s="15" t="s">
        <v>1289</v>
      </c>
      <c r="C2887" s="15" t="s">
        <v>5207</v>
      </c>
      <c r="D2887" s="15" t="s">
        <v>5208</v>
      </c>
      <c r="E2887" s="15" t="s">
        <v>11053</v>
      </c>
    </row>
    <row r="2888" spans="1:5" ht="25.5" x14ac:dyDescent="0.2">
      <c r="A2888" s="14" t="s">
        <v>11054</v>
      </c>
      <c r="B2888" s="15" t="s">
        <v>11055</v>
      </c>
      <c r="C2888" s="15" t="s">
        <v>11056</v>
      </c>
      <c r="D2888" s="15" t="s">
        <v>11057</v>
      </c>
      <c r="E2888" s="15" t="s">
        <v>11058</v>
      </c>
    </row>
    <row r="2889" spans="1:5" ht="25.5" x14ac:dyDescent="0.2">
      <c r="A2889" s="14" t="s">
        <v>11059</v>
      </c>
      <c r="B2889" s="15" t="s">
        <v>462</v>
      </c>
      <c r="C2889" s="15" t="s">
        <v>5207</v>
      </c>
      <c r="D2889" s="15" t="s">
        <v>5208</v>
      </c>
      <c r="E2889" s="15" t="s">
        <v>11060</v>
      </c>
    </row>
    <row r="2890" spans="1:5" ht="25.5" x14ac:dyDescent="0.2">
      <c r="A2890" s="14" t="s">
        <v>11061</v>
      </c>
      <c r="B2890" s="15" t="s">
        <v>1287</v>
      </c>
      <c r="C2890" s="15" t="s">
        <v>5207</v>
      </c>
      <c r="D2890" s="15" t="s">
        <v>5208</v>
      </c>
      <c r="E2890" s="15" t="s">
        <v>11062</v>
      </c>
    </row>
    <row r="2891" spans="1:5" ht="25.5" x14ac:dyDescent="0.2">
      <c r="A2891" s="14" t="s">
        <v>11063</v>
      </c>
      <c r="B2891" s="15" t="s">
        <v>338</v>
      </c>
      <c r="C2891" s="15" t="s">
        <v>5207</v>
      </c>
      <c r="D2891" s="15" t="s">
        <v>5208</v>
      </c>
      <c r="E2891" s="15" t="s">
        <v>11064</v>
      </c>
    </row>
    <row r="2892" spans="1:5" ht="25.5" x14ac:dyDescent="0.2">
      <c r="A2892" s="14" t="s">
        <v>11065</v>
      </c>
      <c r="B2892" s="15" t="s">
        <v>11066</v>
      </c>
      <c r="C2892" s="15" t="s">
        <v>5207</v>
      </c>
      <c r="D2892" s="15" t="s">
        <v>5208</v>
      </c>
      <c r="E2892" s="15" t="s">
        <v>11067</v>
      </c>
    </row>
    <row r="2893" spans="1:5" ht="25.5" x14ac:dyDescent="0.2">
      <c r="A2893" s="14" t="s">
        <v>11068</v>
      </c>
      <c r="B2893" s="15" t="s">
        <v>11069</v>
      </c>
      <c r="C2893" s="15" t="s">
        <v>4800</v>
      </c>
      <c r="D2893" s="15" t="s">
        <v>4801</v>
      </c>
      <c r="E2893" s="15" t="s">
        <v>11070</v>
      </c>
    </row>
    <row r="2894" spans="1:5" ht="25.5" x14ac:dyDescent="0.2">
      <c r="A2894" s="14" t="s">
        <v>11071</v>
      </c>
      <c r="B2894" s="15" t="s">
        <v>11072</v>
      </c>
      <c r="C2894" s="15" t="s">
        <v>4800</v>
      </c>
      <c r="D2894" s="15" t="s">
        <v>4801</v>
      </c>
      <c r="E2894" s="15" t="s">
        <v>11073</v>
      </c>
    </row>
    <row r="2895" spans="1:5" ht="25.5" x14ac:dyDescent="0.2">
      <c r="A2895" s="14" t="s">
        <v>11074</v>
      </c>
      <c r="B2895" s="15" t="s">
        <v>58</v>
      </c>
      <c r="C2895" s="15" t="s">
        <v>4800</v>
      </c>
      <c r="D2895" s="15" t="s">
        <v>4801</v>
      </c>
      <c r="E2895" s="15" t="s">
        <v>11075</v>
      </c>
    </row>
    <row r="2896" spans="1:5" ht="25.5" x14ac:dyDescent="0.2">
      <c r="A2896" s="14" t="s">
        <v>11076</v>
      </c>
      <c r="B2896" s="15" t="s">
        <v>321</v>
      </c>
      <c r="C2896" s="15" t="s">
        <v>4800</v>
      </c>
      <c r="D2896" s="15" t="s">
        <v>4801</v>
      </c>
      <c r="E2896" s="15" t="s">
        <v>11077</v>
      </c>
    </row>
    <row r="2897" spans="1:5" ht="25.5" x14ac:dyDescent="0.2">
      <c r="A2897" s="14" t="s">
        <v>11078</v>
      </c>
      <c r="B2897" s="15" t="s">
        <v>1389</v>
      </c>
      <c r="C2897" s="15" t="s">
        <v>4800</v>
      </c>
      <c r="D2897" s="15" t="s">
        <v>4801</v>
      </c>
      <c r="E2897" s="15" t="s">
        <v>11079</v>
      </c>
    </row>
    <row r="2898" spans="1:5" ht="25.5" x14ac:dyDescent="0.2">
      <c r="A2898" s="14" t="s">
        <v>11080</v>
      </c>
      <c r="B2898" s="15" t="s">
        <v>11081</v>
      </c>
      <c r="C2898" s="15" t="s">
        <v>4203</v>
      </c>
      <c r="D2898" s="15" t="s">
        <v>4204</v>
      </c>
      <c r="E2898" s="15" t="s">
        <v>11082</v>
      </c>
    </row>
    <row r="2899" spans="1:5" ht="25.5" x14ac:dyDescent="0.2">
      <c r="A2899" s="14" t="s">
        <v>11083</v>
      </c>
      <c r="B2899" s="15" t="s">
        <v>11084</v>
      </c>
      <c r="C2899" s="15" t="s">
        <v>11085</v>
      </c>
      <c r="D2899" s="15" t="s">
        <v>11086</v>
      </c>
      <c r="E2899" s="15" t="s">
        <v>11087</v>
      </c>
    </row>
    <row r="2900" spans="1:5" ht="25.5" x14ac:dyDescent="0.2">
      <c r="A2900" s="14" t="s">
        <v>11088</v>
      </c>
      <c r="B2900" s="15" t="s">
        <v>11089</v>
      </c>
      <c r="C2900" s="15" t="s">
        <v>4078</v>
      </c>
      <c r="D2900" s="15" t="s">
        <v>4079</v>
      </c>
      <c r="E2900" s="15" t="s">
        <v>11090</v>
      </c>
    </row>
    <row r="2901" spans="1:5" ht="25.5" x14ac:dyDescent="0.2">
      <c r="A2901" s="14" t="s">
        <v>11091</v>
      </c>
      <c r="B2901" s="15" t="s">
        <v>11092</v>
      </c>
      <c r="C2901" s="15" t="s">
        <v>4792</v>
      </c>
      <c r="D2901" s="15" t="s">
        <v>4793</v>
      </c>
      <c r="E2901" s="15" t="s">
        <v>11093</v>
      </c>
    </row>
    <row r="2902" spans="1:5" ht="51" x14ac:dyDescent="0.2">
      <c r="A2902" s="14" t="s">
        <v>11094</v>
      </c>
      <c r="B2902" s="15" t="s">
        <v>11095</v>
      </c>
      <c r="C2902" s="15" t="s">
        <v>4792</v>
      </c>
      <c r="D2902" s="15" t="s">
        <v>4793</v>
      </c>
      <c r="E2902" s="15" t="s">
        <v>11096</v>
      </c>
    </row>
    <row r="2903" spans="1:5" ht="25.5" x14ac:dyDescent="0.2">
      <c r="A2903" s="14" t="s">
        <v>11097</v>
      </c>
      <c r="B2903" s="15" t="s">
        <v>644</v>
      </c>
      <c r="C2903" s="15" t="s">
        <v>4203</v>
      </c>
      <c r="D2903" s="15" t="s">
        <v>4204</v>
      </c>
      <c r="E2903" s="15" t="s">
        <v>11098</v>
      </c>
    </row>
    <row r="2904" spans="1:5" ht="25.5" x14ac:dyDescent="0.2">
      <c r="A2904" s="14" t="s">
        <v>11099</v>
      </c>
      <c r="B2904" s="15" t="s">
        <v>561</v>
      </c>
      <c r="C2904" s="15" t="s">
        <v>4132</v>
      </c>
      <c r="D2904" s="15" t="s">
        <v>4133</v>
      </c>
      <c r="E2904" s="15" t="s">
        <v>11100</v>
      </c>
    </row>
    <row r="2905" spans="1:5" ht="25.5" x14ac:dyDescent="0.2">
      <c r="A2905" s="14" t="s">
        <v>11101</v>
      </c>
      <c r="B2905" s="15" t="s">
        <v>1306</v>
      </c>
      <c r="C2905" s="15" t="s">
        <v>4132</v>
      </c>
      <c r="D2905" s="15" t="s">
        <v>4133</v>
      </c>
      <c r="E2905" s="15" t="s">
        <v>11102</v>
      </c>
    </row>
    <row r="2906" spans="1:5" ht="25.5" x14ac:dyDescent="0.2">
      <c r="A2906" s="14" t="s">
        <v>11103</v>
      </c>
      <c r="B2906" s="15" t="s">
        <v>1276</v>
      </c>
      <c r="C2906" s="15" t="s">
        <v>4132</v>
      </c>
      <c r="D2906" s="15" t="s">
        <v>4133</v>
      </c>
      <c r="E2906" s="15" t="s">
        <v>11104</v>
      </c>
    </row>
    <row r="2907" spans="1:5" ht="25.5" x14ac:dyDescent="0.2">
      <c r="A2907" s="14" t="s">
        <v>11105</v>
      </c>
      <c r="B2907" s="15" t="s">
        <v>900</v>
      </c>
      <c r="C2907" s="15" t="s">
        <v>4132</v>
      </c>
      <c r="D2907" s="15" t="s">
        <v>4133</v>
      </c>
      <c r="E2907" s="15" t="s">
        <v>11106</v>
      </c>
    </row>
    <row r="2908" spans="1:5" ht="25.5" x14ac:dyDescent="0.2">
      <c r="A2908" s="14" t="s">
        <v>11107</v>
      </c>
      <c r="B2908" s="15" t="s">
        <v>803</v>
      </c>
      <c r="C2908" s="15" t="s">
        <v>4132</v>
      </c>
      <c r="D2908" s="15" t="s">
        <v>4133</v>
      </c>
      <c r="E2908" s="15" t="s">
        <v>11108</v>
      </c>
    </row>
    <row r="2909" spans="1:5" ht="25.5" x14ac:dyDescent="0.2">
      <c r="A2909" s="14" t="s">
        <v>11109</v>
      </c>
      <c r="B2909" s="15" t="s">
        <v>534</v>
      </c>
      <c r="C2909" s="15" t="s">
        <v>4132</v>
      </c>
      <c r="D2909" s="15" t="s">
        <v>4133</v>
      </c>
      <c r="E2909" s="15" t="s">
        <v>11110</v>
      </c>
    </row>
    <row r="2910" spans="1:5" ht="25.5" x14ac:dyDescent="0.2">
      <c r="A2910" s="14" t="s">
        <v>11111</v>
      </c>
      <c r="B2910" s="15" t="s">
        <v>11112</v>
      </c>
      <c r="C2910" s="15" t="s">
        <v>4850</v>
      </c>
      <c r="D2910" s="15" t="s">
        <v>4851</v>
      </c>
      <c r="E2910" s="15" t="s">
        <v>11113</v>
      </c>
    </row>
    <row r="2911" spans="1:5" ht="25.5" x14ac:dyDescent="0.2">
      <c r="A2911" s="14" t="s">
        <v>11114</v>
      </c>
      <c r="B2911" s="15" t="s">
        <v>11115</v>
      </c>
      <c r="C2911" s="15" t="s">
        <v>4800</v>
      </c>
      <c r="D2911" s="15" t="s">
        <v>4801</v>
      </c>
      <c r="E2911" s="15" t="s">
        <v>11116</v>
      </c>
    </row>
    <row r="2912" spans="1:5" ht="25.5" x14ac:dyDescent="0.2">
      <c r="A2912" s="14" t="s">
        <v>11117</v>
      </c>
      <c r="B2912" s="15" t="s">
        <v>11118</v>
      </c>
      <c r="C2912" s="15" t="s">
        <v>4082</v>
      </c>
      <c r="D2912" s="15" t="s">
        <v>4083</v>
      </c>
      <c r="E2912" s="15" t="s">
        <v>11119</v>
      </c>
    </row>
    <row r="2913" spans="1:5" ht="25.5" x14ac:dyDescent="0.2">
      <c r="A2913" s="14" t="s">
        <v>11120</v>
      </c>
      <c r="B2913" s="15" t="s">
        <v>11121</v>
      </c>
      <c r="C2913" s="15" t="s">
        <v>3303</v>
      </c>
      <c r="D2913" s="15" t="s">
        <v>3304</v>
      </c>
      <c r="E2913" s="15" t="s">
        <v>11122</v>
      </c>
    </row>
    <row r="2914" spans="1:5" ht="25.5" x14ac:dyDescent="0.2">
      <c r="A2914" s="14" t="s">
        <v>11123</v>
      </c>
      <c r="B2914" s="15" t="s">
        <v>215</v>
      </c>
      <c r="C2914" s="15" t="s">
        <v>4082</v>
      </c>
      <c r="D2914" s="15" t="s">
        <v>4083</v>
      </c>
      <c r="E2914" s="15" t="s">
        <v>11124</v>
      </c>
    </row>
    <row r="2915" spans="1:5" ht="25.5" x14ac:dyDescent="0.2">
      <c r="A2915" s="14" t="s">
        <v>11125</v>
      </c>
      <c r="B2915" s="15" t="s">
        <v>747</v>
      </c>
      <c r="C2915" s="15" t="s">
        <v>4082</v>
      </c>
      <c r="D2915" s="15" t="s">
        <v>4083</v>
      </c>
      <c r="E2915" s="15" t="s">
        <v>11126</v>
      </c>
    </row>
    <row r="2916" spans="1:5" ht="25.5" x14ac:dyDescent="0.2">
      <c r="A2916" s="14" t="s">
        <v>11127</v>
      </c>
      <c r="B2916" s="15" t="s">
        <v>12</v>
      </c>
      <c r="C2916" s="15" t="s">
        <v>4764</v>
      </c>
      <c r="D2916" s="15" t="s">
        <v>4765</v>
      </c>
      <c r="E2916" s="15" t="s">
        <v>11128</v>
      </c>
    </row>
    <row r="2917" spans="1:5" ht="25.5" x14ac:dyDescent="0.2">
      <c r="A2917" s="14" t="s">
        <v>11129</v>
      </c>
      <c r="B2917" s="15" t="s">
        <v>11130</v>
      </c>
      <c r="C2917" s="15" t="s">
        <v>3303</v>
      </c>
      <c r="D2917" s="15" t="s">
        <v>3304</v>
      </c>
      <c r="E2917" s="15" t="s">
        <v>11131</v>
      </c>
    </row>
    <row r="2918" spans="1:5" ht="25.5" x14ac:dyDescent="0.2">
      <c r="A2918" s="14" t="s">
        <v>11132</v>
      </c>
      <c r="B2918" s="15" t="s">
        <v>604</v>
      </c>
      <c r="C2918" s="15" t="s">
        <v>3303</v>
      </c>
      <c r="D2918" s="15" t="s">
        <v>3304</v>
      </c>
      <c r="E2918" s="15" t="s">
        <v>11133</v>
      </c>
    </row>
    <row r="2919" spans="1:5" ht="25.5" x14ac:dyDescent="0.2">
      <c r="A2919" s="14" t="s">
        <v>11134</v>
      </c>
      <c r="B2919" s="15" t="s">
        <v>1273</v>
      </c>
      <c r="C2919" s="15" t="s">
        <v>3303</v>
      </c>
      <c r="D2919" s="15" t="s">
        <v>3304</v>
      </c>
      <c r="E2919" s="15" t="s">
        <v>11135</v>
      </c>
    </row>
    <row r="2920" spans="1:5" ht="25.5" x14ac:dyDescent="0.2">
      <c r="A2920" s="14" t="s">
        <v>11136</v>
      </c>
      <c r="B2920" s="15" t="s">
        <v>11137</v>
      </c>
      <c r="C2920" s="15" t="s">
        <v>3303</v>
      </c>
      <c r="D2920" s="15" t="s">
        <v>3304</v>
      </c>
      <c r="E2920" s="15" t="s">
        <v>11138</v>
      </c>
    </row>
    <row r="2921" spans="1:5" ht="25.5" x14ac:dyDescent="0.2">
      <c r="A2921" s="14" t="s">
        <v>11139</v>
      </c>
      <c r="B2921" s="15" t="s">
        <v>11140</v>
      </c>
      <c r="C2921" s="15" t="s">
        <v>3303</v>
      </c>
      <c r="D2921" s="15" t="s">
        <v>3304</v>
      </c>
      <c r="E2921" s="15" t="s">
        <v>11141</v>
      </c>
    </row>
    <row r="2922" spans="1:5" ht="25.5" x14ac:dyDescent="0.2">
      <c r="A2922" s="14" t="s">
        <v>11142</v>
      </c>
      <c r="B2922" s="15" t="s">
        <v>307</v>
      </c>
      <c r="C2922" s="15" t="s">
        <v>3303</v>
      </c>
      <c r="D2922" s="15" t="s">
        <v>3304</v>
      </c>
      <c r="E2922" s="15" t="s">
        <v>11143</v>
      </c>
    </row>
    <row r="2923" spans="1:5" ht="25.5" x14ac:dyDescent="0.2">
      <c r="A2923" s="14" t="s">
        <v>11144</v>
      </c>
      <c r="B2923" s="15" t="s">
        <v>11145</v>
      </c>
      <c r="C2923" s="15" t="s">
        <v>3318</v>
      </c>
      <c r="D2923" s="15" t="s">
        <v>3319</v>
      </c>
      <c r="E2923" s="15" t="s">
        <v>11146</v>
      </c>
    </row>
    <row r="2924" spans="1:5" ht="25.5" x14ac:dyDescent="0.2">
      <c r="A2924" s="14" t="s">
        <v>11147</v>
      </c>
      <c r="B2924" s="15" t="s">
        <v>11148</v>
      </c>
      <c r="C2924" s="15" t="s">
        <v>4764</v>
      </c>
      <c r="D2924" s="15" t="s">
        <v>4765</v>
      </c>
      <c r="E2924" s="15" t="s">
        <v>11149</v>
      </c>
    </row>
    <row r="2925" spans="1:5" ht="25.5" x14ac:dyDescent="0.2">
      <c r="A2925" s="14" t="s">
        <v>11150</v>
      </c>
      <c r="B2925" s="15" t="s">
        <v>254</v>
      </c>
      <c r="C2925" s="15" t="s">
        <v>4082</v>
      </c>
      <c r="D2925" s="15" t="s">
        <v>4083</v>
      </c>
      <c r="E2925" s="15" t="s">
        <v>11151</v>
      </c>
    </row>
    <row r="2926" spans="1:5" ht="25.5" x14ac:dyDescent="0.2">
      <c r="A2926" s="14" t="s">
        <v>11152</v>
      </c>
      <c r="B2926" s="15" t="s">
        <v>119</v>
      </c>
      <c r="C2926" s="15" t="s">
        <v>3303</v>
      </c>
      <c r="D2926" s="15" t="s">
        <v>3304</v>
      </c>
      <c r="E2926" s="15" t="s">
        <v>11153</v>
      </c>
    </row>
    <row r="2927" spans="1:5" ht="25.5" x14ac:dyDescent="0.2">
      <c r="A2927" s="14" t="s">
        <v>11154</v>
      </c>
      <c r="B2927" s="15" t="s">
        <v>11155</v>
      </c>
      <c r="C2927" s="15" t="s">
        <v>11156</v>
      </c>
      <c r="D2927" s="15" t="s">
        <v>11157</v>
      </c>
      <c r="E2927" s="15" t="s">
        <v>11158</v>
      </c>
    </row>
    <row r="2928" spans="1:5" ht="25.5" x14ac:dyDescent="0.2">
      <c r="A2928" s="14" t="s">
        <v>11159</v>
      </c>
      <c r="B2928" s="15" t="s">
        <v>11160</v>
      </c>
      <c r="C2928" s="15" t="s">
        <v>11156</v>
      </c>
      <c r="D2928" s="15" t="s">
        <v>11157</v>
      </c>
      <c r="E2928" s="15" t="s">
        <v>11161</v>
      </c>
    </row>
    <row r="2929" spans="1:5" ht="25.5" x14ac:dyDescent="0.2">
      <c r="A2929" s="14" t="s">
        <v>11162</v>
      </c>
      <c r="B2929" s="15" t="s">
        <v>11163</v>
      </c>
      <c r="C2929" s="15" t="s">
        <v>11156</v>
      </c>
      <c r="D2929" s="15" t="s">
        <v>11157</v>
      </c>
      <c r="E2929" s="15" t="s">
        <v>11164</v>
      </c>
    </row>
    <row r="2930" spans="1:5" ht="25.5" x14ac:dyDescent="0.2">
      <c r="A2930" s="14" t="s">
        <v>11165</v>
      </c>
      <c r="B2930" s="15" t="s">
        <v>11166</v>
      </c>
      <c r="C2930" s="15" t="s">
        <v>11167</v>
      </c>
      <c r="D2930" s="15" t="s">
        <v>11168</v>
      </c>
      <c r="E2930" s="15" t="s">
        <v>11169</v>
      </c>
    </row>
    <row r="2931" spans="1:5" ht="25.5" x14ac:dyDescent="0.2">
      <c r="A2931" s="14" t="s">
        <v>11170</v>
      </c>
      <c r="B2931" s="15" t="s">
        <v>11171</v>
      </c>
      <c r="C2931" s="15" t="s">
        <v>4281</v>
      </c>
      <c r="D2931" s="15" t="s">
        <v>4282</v>
      </c>
      <c r="E2931" s="15" t="s">
        <v>11172</v>
      </c>
    </row>
    <row r="2932" spans="1:5" ht="25.5" x14ac:dyDescent="0.2">
      <c r="A2932" s="14" t="s">
        <v>11173</v>
      </c>
      <c r="B2932" s="15" t="s">
        <v>11174</v>
      </c>
      <c r="C2932" s="15" t="s">
        <v>4281</v>
      </c>
      <c r="D2932" s="15" t="s">
        <v>4282</v>
      </c>
      <c r="E2932" s="15" t="s">
        <v>11175</v>
      </c>
    </row>
    <row r="2933" spans="1:5" ht="25.5" x14ac:dyDescent="0.2">
      <c r="A2933" s="14" t="s">
        <v>11176</v>
      </c>
      <c r="B2933" s="15" t="s">
        <v>11177</v>
      </c>
      <c r="C2933" s="15" t="s">
        <v>4226</v>
      </c>
      <c r="D2933" s="15" t="s">
        <v>4227</v>
      </c>
      <c r="E2933" s="15" t="s">
        <v>11178</v>
      </c>
    </row>
    <row r="2934" spans="1:5" ht="25.5" x14ac:dyDescent="0.2">
      <c r="A2934" s="14" t="s">
        <v>11179</v>
      </c>
      <c r="B2934" s="15" t="s">
        <v>891</v>
      </c>
      <c r="C2934" s="15" t="s">
        <v>4226</v>
      </c>
      <c r="D2934" s="15" t="s">
        <v>4227</v>
      </c>
      <c r="E2934" s="15" t="s">
        <v>11180</v>
      </c>
    </row>
    <row r="2935" spans="1:5" ht="25.5" x14ac:dyDescent="0.2">
      <c r="A2935" s="14" t="s">
        <v>11181</v>
      </c>
      <c r="B2935" s="15" t="s">
        <v>11182</v>
      </c>
      <c r="C2935" s="15" t="s">
        <v>4226</v>
      </c>
      <c r="D2935" s="15" t="s">
        <v>4227</v>
      </c>
      <c r="E2935" s="15" t="s">
        <v>11183</v>
      </c>
    </row>
    <row r="2936" spans="1:5" ht="25.5" x14ac:dyDescent="0.2">
      <c r="A2936" s="14" t="s">
        <v>11184</v>
      </c>
      <c r="B2936" s="15" t="s">
        <v>11185</v>
      </c>
      <c r="C2936" s="15" t="s">
        <v>4226</v>
      </c>
      <c r="D2936" s="15" t="s">
        <v>4227</v>
      </c>
      <c r="E2936" s="15" t="s">
        <v>11186</v>
      </c>
    </row>
    <row r="2937" spans="1:5" ht="25.5" x14ac:dyDescent="0.2">
      <c r="A2937" s="14" t="s">
        <v>11187</v>
      </c>
      <c r="B2937" s="15" t="s">
        <v>11188</v>
      </c>
      <c r="C2937" s="15" t="s">
        <v>4226</v>
      </c>
      <c r="D2937" s="15" t="s">
        <v>4227</v>
      </c>
      <c r="E2937" s="15" t="s">
        <v>11189</v>
      </c>
    </row>
    <row r="2938" spans="1:5" ht="25.5" x14ac:dyDescent="0.2">
      <c r="A2938" s="14" t="s">
        <v>11190</v>
      </c>
      <c r="B2938" s="15" t="s">
        <v>11191</v>
      </c>
      <c r="C2938" s="15" t="s">
        <v>4226</v>
      </c>
      <c r="D2938" s="15" t="s">
        <v>4227</v>
      </c>
      <c r="E2938" s="15" t="s">
        <v>11192</v>
      </c>
    </row>
    <row r="2939" spans="1:5" ht="25.5" x14ac:dyDescent="0.2">
      <c r="A2939" s="14" t="s">
        <v>11193</v>
      </c>
      <c r="B2939" s="15" t="s">
        <v>11194</v>
      </c>
      <c r="C2939" s="15" t="s">
        <v>4226</v>
      </c>
      <c r="D2939" s="15" t="s">
        <v>4227</v>
      </c>
      <c r="E2939" s="15" t="s">
        <v>11195</v>
      </c>
    </row>
    <row r="2940" spans="1:5" ht="25.5" x14ac:dyDescent="0.2">
      <c r="A2940" s="14" t="s">
        <v>11196</v>
      </c>
      <c r="B2940" s="15" t="s">
        <v>11197</v>
      </c>
      <c r="C2940" s="15" t="s">
        <v>4226</v>
      </c>
      <c r="D2940" s="15" t="s">
        <v>4227</v>
      </c>
      <c r="E2940" s="15" t="s">
        <v>11198</v>
      </c>
    </row>
    <row r="2941" spans="1:5" ht="25.5" x14ac:dyDescent="0.2">
      <c r="A2941" s="14" t="s">
        <v>11199</v>
      </c>
      <c r="B2941" s="15" t="s">
        <v>11200</v>
      </c>
      <c r="C2941" s="15" t="s">
        <v>4226</v>
      </c>
      <c r="D2941" s="15" t="s">
        <v>4227</v>
      </c>
      <c r="E2941" s="15" t="s">
        <v>11201</v>
      </c>
    </row>
    <row r="2942" spans="1:5" ht="25.5" x14ac:dyDescent="0.2">
      <c r="A2942" s="14" t="s">
        <v>11202</v>
      </c>
      <c r="B2942" s="15" t="s">
        <v>305</v>
      </c>
      <c r="C2942" s="15" t="s">
        <v>4764</v>
      </c>
      <c r="D2942" s="15" t="s">
        <v>4765</v>
      </c>
      <c r="E2942" s="15" t="s">
        <v>11203</v>
      </c>
    </row>
    <row r="2943" spans="1:5" ht="25.5" x14ac:dyDescent="0.2">
      <c r="A2943" s="14" t="s">
        <v>11204</v>
      </c>
      <c r="B2943" s="15" t="s">
        <v>783</v>
      </c>
      <c r="C2943" s="15" t="s">
        <v>4764</v>
      </c>
      <c r="D2943" s="15" t="s">
        <v>4765</v>
      </c>
      <c r="E2943" s="15" t="s">
        <v>11205</v>
      </c>
    </row>
    <row r="2944" spans="1:5" ht="25.5" x14ac:dyDescent="0.2">
      <c r="A2944" s="14" t="s">
        <v>11206</v>
      </c>
      <c r="B2944" s="15" t="s">
        <v>304</v>
      </c>
      <c r="C2944" s="15" t="s">
        <v>4800</v>
      </c>
      <c r="D2944" s="15" t="s">
        <v>4801</v>
      </c>
      <c r="E2944" s="15" t="s">
        <v>11207</v>
      </c>
    </row>
    <row r="2945" spans="1:5" ht="25.5" x14ac:dyDescent="0.2">
      <c r="A2945" s="14" t="s">
        <v>11208</v>
      </c>
      <c r="B2945" s="15" t="s">
        <v>11209</v>
      </c>
      <c r="C2945" s="15" t="s">
        <v>3370</v>
      </c>
      <c r="D2945" s="15" t="s">
        <v>3371</v>
      </c>
      <c r="E2945" s="15" t="s">
        <v>11210</v>
      </c>
    </row>
    <row r="2946" spans="1:5" ht="25.5" x14ac:dyDescent="0.2">
      <c r="A2946" s="14" t="s">
        <v>11211</v>
      </c>
      <c r="B2946" s="15" t="s">
        <v>188</v>
      </c>
      <c r="C2946" s="15" t="s">
        <v>5459</v>
      </c>
      <c r="D2946" s="15" t="s">
        <v>5460</v>
      </c>
      <c r="E2946" s="15" t="s">
        <v>11212</v>
      </c>
    </row>
    <row r="2947" spans="1:5" ht="25.5" x14ac:dyDescent="0.2">
      <c r="A2947" s="14" t="s">
        <v>11213</v>
      </c>
      <c r="B2947" s="15" t="s">
        <v>188</v>
      </c>
      <c r="C2947" s="15" t="s">
        <v>5459</v>
      </c>
      <c r="D2947" s="15" t="s">
        <v>5460</v>
      </c>
      <c r="E2947" s="15" t="s">
        <v>11214</v>
      </c>
    </row>
    <row r="2948" spans="1:5" ht="25.5" x14ac:dyDescent="0.2">
      <c r="A2948" s="14" t="s">
        <v>11215</v>
      </c>
      <c r="B2948" s="15" t="s">
        <v>356</v>
      </c>
      <c r="C2948" s="15" t="s">
        <v>5459</v>
      </c>
      <c r="D2948" s="15" t="s">
        <v>5460</v>
      </c>
      <c r="E2948" s="15" t="s">
        <v>11216</v>
      </c>
    </row>
    <row r="2949" spans="1:5" ht="25.5" x14ac:dyDescent="0.2">
      <c r="A2949" s="14" t="s">
        <v>11217</v>
      </c>
      <c r="B2949" s="15" t="s">
        <v>387</v>
      </c>
      <c r="C2949" s="15" t="s">
        <v>5459</v>
      </c>
      <c r="D2949" s="15" t="s">
        <v>5460</v>
      </c>
      <c r="E2949" s="15" t="s">
        <v>11218</v>
      </c>
    </row>
    <row r="2950" spans="1:5" ht="25.5" x14ac:dyDescent="0.2">
      <c r="A2950" s="14" t="s">
        <v>11219</v>
      </c>
      <c r="B2950" s="15" t="s">
        <v>996</v>
      </c>
      <c r="C2950" s="15" t="s">
        <v>5459</v>
      </c>
      <c r="D2950" s="15" t="s">
        <v>5460</v>
      </c>
      <c r="E2950" s="15" t="s">
        <v>11220</v>
      </c>
    </row>
    <row r="2951" spans="1:5" ht="25.5" x14ac:dyDescent="0.2">
      <c r="A2951" s="14" t="s">
        <v>11221</v>
      </c>
      <c r="B2951" s="15" t="s">
        <v>11222</v>
      </c>
      <c r="C2951" s="15" t="s">
        <v>5459</v>
      </c>
      <c r="D2951" s="15" t="s">
        <v>5460</v>
      </c>
      <c r="E2951" s="15" t="s">
        <v>11223</v>
      </c>
    </row>
    <row r="2952" spans="1:5" ht="25.5" x14ac:dyDescent="0.2">
      <c r="A2952" s="14" t="s">
        <v>11224</v>
      </c>
      <c r="B2952" s="15" t="s">
        <v>11225</v>
      </c>
      <c r="C2952" s="15" t="s">
        <v>5459</v>
      </c>
      <c r="D2952" s="15" t="s">
        <v>5460</v>
      </c>
      <c r="E2952" s="15" t="s">
        <v>11226</v>
      </c>
    </row>
    <row r="2953" spans="1:5" ht="25.5" x14ac:dyDescent="0.2">
      <c r="A2953" s="14" t="s">
        <v>11227</v>
      </c>
      <c r="B2953" s="15" t="s">
        <v>11228</v>
      </c>
      <c r="C2953" s="15" t="s">
        <v>5459</v>
      </c>
      <c r="D2953" s="15" t="s">
        <v>5460</v>
      </c>
      <c r="E2953" s="15" t="s">
        <v>11229</v>
      </c>
    </row>
    <row r="2954" spans="1:5" ht="25.5" x14ac:dyDescent="0.2">
      <c r="A2954" s="14" t="s">
        <v>11230</v>
      </c>
      <c r="B2954" s="15" t="s">
        <v>11231</v>
      </c>
      <c r="C2954" s="15" t="s">
        <v>5459</v>
      </c>
      <c r="D2954" s="15" t="s">
        <v>5460</v>
      </c>
      <c r="E2954" s="15" t="s">
        <v>11232</v>
      </c>
    </row>
    <row r="2955" spans="1:5" ht="38.25" x14ac:dyDescent="0.2">
      <c r="A2955" s="14" t="s">
        <v>11233</v>
      </c>
      <c r="B2955" s="15" t="s">
        <v>1500</v>
      </c>
      <c r="C2955" s="15" t="s">
        <v>4764</v>
      </c>
      <c r="D2955" s="15" t="s">
        <v>4765</v>
      </c>
      <c r="E2955" s="15" t="s">
        <v>11234</v>
      </c>
    </row>
    <row r="2956" spans="1:5" ht="25.5" x14ac:dyDescent="0.2">
      <c r="A2956" s="14" t="s">
        <v>11235</v>
      </c>
      <c r="B2956" s="15" t="s">
        <v>771</v>
      </c>
      <c r="C2956" s="15" t="s">
        <v>5557</v>
      </c>
      <c r="D2956" s="15" t="s">
        <v>5558</v>
      </c>
      <c r="E2956" s="15" t="s">
        <v>11236</v>
      </c>
    </row>
    <row r="2957" spans="1:5" ht="25.5" x14ac:dyDescent="0.2">
      <c r="A2957" s="14" t="s">
        <v>11237</v>
      </c>
      <c r="B2957" s="15" t="s">
        <v>11238</v>
      </c>
      <c r="C2957" s="15" t="s">
        <v>5557</v>
      </c>
      <c r="D2957" s="15" t="s">
        <v>5558</v>
      </c>
      <c r="E2957" s="15" t="s">
        <v>11239</v>
      </c>
    </row>
    <row r="2958" spans="1:5" ht="25.5" x14ac:dyDescent="0.2">
      <c r="A2958" s="14" t="s">
        <v>11240</v>
      </c>
      <c r="B2958" s="15" t="s">
        <v>11241</v>
      </c>
      <c r="C2958" s="15" t="s">
        <v>5557</v>
      </c>
      <c r="D2958" s="15" t="s">
        <v>5558</v>
      </c>
      <c r="E2958" s="15" t="s">
        <v>11242</v>
      </c>
    </row>
    <row r="2959" spans="1:5" ht="25.5" x14ac:dyDescent="0.2">
      <c r="A2959" s="14" t="s">
        <v>11243</v>
      </c>
      <c r="B2959" s="15" t="s">
        <v>1589</v>
      </c>
      <c r="C2959" s="15" t="s">
        <v>9446</v>
      </c>
      <c r="D2959" s="15" t="s">
        <v>9447</v>
      </c>
      <c r="E2959" s="15" t="s">
        <v>11244</v>
      </c>
    </row>
    <row r="2960" spans="1:5" ht="25.5" x14ac:dyDescent="0.2">
      <c r="A2960" s="14" t="s">
        <v>11245</v>
      </c>
      <c r="B2960" s="15" t="s">
        <v>1617</v>
      </c>
      <c r="C2960" s="15" t="s">
        <v>9446</v>
      </c>
      <c r="D2960" s="15" t="s">
        <v>9447</v>
      </c>
      <c r="E2960" s="15" t="s">
        <v>11246</v>
      </c>
    </row>
    <row r="2961" spans="1:5" ht="25.5" x14ac:dyDescent="0.2">
      <c r="A2961" s="14" t="s">
        <v>11247</v>
      </c>
      <c r="B2961" s="15" t="s">
        <v>11248</v>
      </c>
      <c r="C2961" s="15" t="s">
        <v>9446</v>
      </c>
      <c r="D2961" s="15" t="s">
        <v>9447</v>
      </c>
      <c r="E2961" s="15" t="s">
        <v>11249</v>
      </c>
    </row>
    <row r="2962" spans="1:5" ht="25.5" x14ac:dyDescent="0.2">
      <c r="A2962" s="14" t="s">
        <v>11250</v>
      </c>
      <c r="B2962" s="15" t="s">
        <v>11251</v>
      </c>
      <c r="C2962" s="15" t="s">
        <v>9446</v>
      </c>
      <c r="D2962" s="15" t="s">
        <v>9447</v>
      </c>
      <c r="E2962" s="15" t="s">
        <v>11252</v>
      </c>
    </row>
    <row r="2963" spans="1:5" ht="25.5" x14ac:dyDescent="0.2">
      <c r="A2963" s="14" t="s">
        <v>11253</v>
      </c>
      <c r="B2963" s="15" t="s">
        <v>503</v>
      </c>
      <c r="C2963" s="15" t="s">
        <v>4175</v>
      </c>
      <c r="D2963" s="15" t="s">
        <v>4176</v>
      </c>
      <c r="E2963" s="15" t="s">
        <v>11254</v>
      </c>
    </row>
    <row r="2964" spans="1:5" ht="25.5" x14ac:dyDescent="0.2">
      <c r="A2964" s="14" t="s">
        <v>11255</v>
      </c>
      <c r="B2964" s="15" t="s">
        <v>11256</v>
      </c>
      <c r="C2964" s="15" t="s">
        <v>4175</v>
      </c>
      <c r="D2964" s="15" t="s">
        <v>4176</v>
      </c>
      <c r="E2964" s="15" t="s">
        <v>11257</v>
      </c>
    </row>
    <row r="2965" spans="1:5" ht="25.5" x14ac:dyDescent="0.2">
      <c r="A2965" s="14" t="s">
        <v>11258</v>
      </c>
      <c r="B2965" s="15" t="s">
        <v>11259</v>
      </c>
      <c r="C2965" s="15" t="s">
        <v>7780</v>
      </c>
      <c r="D2965" s="15" t="s">
        <v>7781</v>
      </c>
      <c r="E2965" s="15" t="s">
        <v>11260</v>
      </c>
    </row>
    <row r="2966" spans="1:5" ht="25.5" x14ac:dyDescent="0.2">
      <c r="A2966" s="14" t="s">
        <v>11261</v>
      </c>
      <c r="B2966" s="15" t="s">
        <v>11262</v>
      </c>
      <c r="C2966" s="15" t="s">
        <v>4800</v>
      </c>
      <c r="D2966" s="15" t="s">
        <v>4801</v>
      </c>
      <c r="E2966" s="15" t="s">
        <v>11263</v>
      </c>
    </row>
    <row r="2967" spans="1:5" ht="25.5" x14ac:dyDescent="0.2">
      <c r="A2967" s="14" t="s">
        <v>11264</v>
      </c>
      <c r="B2967" s="15" t="s">
        <v>11265</v>
      </c>
      <c r="C2967" s="15" t="s">
        <v>5546</v>
      </c>
      <c r="D2967" s="15" t="s">
        <v>5547</v>
      </c>
      <c r="E2967" s="15" t="s">
        <v>11266</v>
      </c>
    </row>
    <row r="2968" spans="1:5" ht="25.5" x14ac:dyDescent="0.2">
      <c r="A2968" s="14" t="s">
        <v>11267</v>
      </c>
      <c r="B2968" s="15" t="s">
        <v>336</v>
      </c>
      <c r="C2968" s="15" t="s">
        <v>5207</v>
      </c>
      <c r="D2968" s="15" t="s">
        <v>5208</v>
      </c>
      <c r="E2968" s="15" t="s">
        <v>11268</v>
      </c>
    </row>
    <row r="2969" spans="1:5" ht="25.5" x14ac:dyDescent="0.2">
      <c r="A2969" s="14" t="s">
        <v>11269</v>
      </c>
      <c r="B2969" s="15" t="s">
        <v>11270</v>
      </c>
      <c r="C2969" s="15" t="s">
        <v>5207</v>
      </c>
      <c r="D2969" s="15" t="s">
        <v>5208</v>
      </c>
      <c r="E2969" s="15" t="s">
        <v>11271</v>
      </c>
    </row>
    <row r="2970" spans="1:5" ht="25.5" x14ac:dyDescent="0.2">
      <c r="A2970" s="14" t="s">
        <v>11272</v>
      </c>
      <c r="B2970" s="15" t="s">
        <v>11273</v>
      </c>
      <c r="C2970" s="15" t="s">
        <v>5207</v>
      </c>
      <c r="D2970" s="15" t="s">
        <v>5208</v>
      </c>
      <c r="E2970" s="15" t="s">
        <v>11274</v>
      </c>
    </row>
    <row r="2971" spans="1:5" ht="25.5" x14ac:dyDescent="0.2">
      <c r="A2971" s="14" t="s">
        <v>11275</v>
      </c>
      <c r="B2971" s="15" t="s">
        <v>11276</v>
      </c>
      <c r="C2971" s="15" t="s">
        <v>5207</v>
      </c>
      <c r="D2971" s="15" t="s">
        <v>5208</v>
      </c>
      <c r="E2971" s="15" t="s">
        <v>11277</v>
      </c>
    </row>
    <row r="2972" spans="1:5" ht="25.5" x14ac:dyDescent="0.2">
      <c r="A2972" s="14" t="s">
        <v>11278</v>
      </c>
      <c r="B2972" s="15" t="s">
        <v>85</v>
      </c>
      <c r="C2972" s="15" t="s">
        <v>5207</v>
      </c>
      <c r="D2972" s="15" t="s">
        <v>5208</v>
      </c>
      <c r="E2972" s="15" t="s">
        <v>11279</v>
      </c>
    </row>
    <row r="2973" spans="1:5" ht="25.5" x14ac:dyDescent="0.2">
      <c r="A2973" s="14" t="s">
        <v>11280</v>
      </c>
      <c r="B2973" s="15" t="s">
        <v>1153</v>
      </c>
      <c r="C2973" s="15" t="s">
        <v>5207</v>
      </c>
      <c r="D2973" s="15" t="s">
        <v>5208</v>
      </c>
      <c r="E2973" s="15" t="s">
        <v>11281</v>
      </c>
    </row>
    <row r="2974" spans="1:5" ht="25.5" x14ac:dyDescent="0.2">
      <c r="A2974" s="14" t="s">
        <v>11282</v>
      </c>
      <c r="B2974" s="15" t="s">
        <v>11283</v>
      </c>
      <c r="C2974" s="15" t="s">
        <v>5207</v>
      </c>
      <c r="D2974" s="15" t="s">
        <v>5208</v>
      </c>
      <c r="E2974" s="15" t="s">
        <v>11284</v>
      </c>
    </row>
    <row r="2975" spans="1:5" ht="25.5" x14ac:dyDescent="0.2">
      <c r="A2975" s="14" t="s">
        <v>11285</v>
      </c>
      <c r="B2975" s="15" t="s">
        <v>11286</v>
      </c>
      <c r="C2975" s="15" t="s">
        <v>4226</v>
      </c>
      <c r="D2975" s="15" t="s">
        <v>4227</v>
      </c>
      <c r="E2975" s="15" t="s">
        <v>11287</v>
      </c>
    </row>
    <row r="2976" spans="1:5" ht="25.5" x14ac:dyDescent="0.2">
      <c r="A2976" s="14" t="s">
        <v>11288</v>
      </c>
      <c r="B2976" s="15" t="s">
        <v>125</v>
      </c>
      <c r="C2976" s="15" t="s">
        <v>4226</v>
      </c>
      <c r="D2976" s="15" t="s">
        <v>4227</v>
      </c>
      <c r="E2976" s="15" t="s">
        <v>11289</v>
      </c>
    </row>
    <row r="2977" spans="1:5" ht="25.5" x14ac:dyDescent="0.2">
      <c r="A2977" s="14" t="s">
        <v>11290</v>
      </c>
      <c r="B2977" s="15" t="s">
        <v>1622</v>
      </c>
      <c r="C2977" s="15" t="s">
        <v>4226</v>
      </c>
      <c r="D2977" s="15" t="s">
        <v>4227</v>
      </c>
      <c r="E2977" s="15" t="s">
        <v>11291</v>
      </c>
    </row>
    <row r="2978" spans="1:5" ht="25.5" x14ac:dyDescent="0.2">
      <c r="A2978" s="14" t="s">
        <v>11292</v>
      </c>
      <c r="B2978" s="15" t="s">
        <v>11293</v>
      </c>
      <c r="C2978" s="15" t="s">
        <v>4226</v>
      </c>
      <c r="D2978" s="15" t="s">
        <v>4227</v>
      </c>
      <c r="E2978" s="15" t="s">
        <v>11294</v>
      </c>
    </row>
    <row r="2979" spans="1:5" ht="25.5" x14ac:dyDescent="0.2">
      <c r="A2979" s="14" t="s">
        <v>11295</v>
      </c>
      <c r="B2979" s="15" t="s">
        <v>482</v>
      </c>
      <c r="C2979" s="15" t="s">
        <v>5207</v>
      </c>
      <c r="D2979" s="15" t="s">
        <v>5208</v>
      </c>
      <c r="E2979" s="15" t="s">
        <v>11296</v>
      </c>
    </row>
    <row r="2980" spans="1:5" ht="25.5" x14ac:dyDescent="0.2">
      <c r="A2980" s="14" t="s">
        <v>11297</v>
      </c>
      <c r="B2980" s="15" t="s">
        <v>278</v>
      </c>
      <c r="C2980" s="15" t="s">
        <v>5207</v>
      </c>
      <c r="D2980" s="15" t="s">
        <v>5208</v>
      </c>
      <c r="E2980" s="15" t="s">
        <v>11298</v>
      </c>
    </row>
    <row r="2981" spans="1:5" ht="25.5" x14ac:dyDescent="0.2">
      <c r="A2981" s="14" t="s">
        <v>11299</v>
      </c>
      <c r="B2981" s="15" t="s">
        <v>11300</v>
      </c>
      <c r="C2981" s="15" t="s">
        <v>5207</v>
      </c>
      <c r="D2981" s="15" t="s">
        <v>5208</v>
      </c>
      <c r="E2981" s="15" t="s">
        <v>11301</v>
      </c>
    </row>
    <row r="2982" spans="1:5" ht="25.5" x14ac:dyDescent="0.2">
      <c r="A2982" s="14" t="s">
        <v>11302</v>
      </c>
      <c r="B2982" s="15" t="s">
        <v>107</v>
      </c>
      <c r="C2982" s="15" t="s">
        <v>5207</v>
      </c>
      <c r="D2982" s="15" t="s">
        <v>5208</v>
      </c>
      <c r="E2982" s="15" t="s">
        <v>11303</v>
      </c>
    </row>
    <row r="2983" spans="1:5" ht="25.5" x14ac:dyDescent="0.2">
      <c r="A2983" s="14" t="s">
        <v>11304</v>
      </c>
      <c r="B2983" s="15" t="s">
        <v>205</v>
      </c>
      <c r="C2983" s="15" t="s">
        <v>5207</v>
      </c>
      <c r="D2983" s="15" t="s">
        <v>5208</v>
      </c>
      <c r="E2983" s="15" t="s">
        <v>11305</v>
      </c>
    </row>
    <row r="2984" spans="1:5" ht="25.5" x14ac:dyDescent="0.2">
      <c r="A2984" s="14" t="s">
        <v>11306</v>
      </c>
      <c r="B2984" s="15" t="s">
        <v>11307</v>
      </c>
      <c r="C2984" s="15" t="s">
        <v>3303</v>
      </c>
      <c r="D2984" s="15" t="s">
        <v>3304</v>
      </c>
      <c r="E2984" s="15" t="s">
        <v>11308</v>
      </c>
    </row>
    <row r="2985" spans="1:5" ht="25.5" x14ac:dyDescent="0.2">
      <c r="A2985" s="14" t="s">
        <v>11309</v>
      </c>
      <c r="B2985" s="15" t="s">
        <v>438</v>
      </c>
      <c r="C2985" s="15" t="s">
        <v>4226</v>
      </c>
      <c r="D2985" s="15" t="s">
        <v>4227</v>
      </c>
      <c r="E2985" s="15" t="s">
        <v>11310</v>
      </c>
    </row>
    <row r="2986" spans="1:5" ht="25.5" x14ac:dyDescent="0.2">
      <c r="A2986" s="14" t="s">
        <v>11311</v>
      </c>
      <c r="B2986" s="15" t="s">
        <v>643</v>
      </c>
      <c r="C2986" s="15" t="s">
        <v>4273</v>
      </c>
      <c r="D2986" s="15" t="s">
        <v>4274</v>
      </c>
      <c r="E2986" s="15" t="s">
        <v>11312</v>
      </c>
    </row>
    <row r="2987" spans="1:5" ht="25.5" x14ac:dyDescent="0.2">
      <c r="A2987" s="14" t="s">
        <v>11313</v>
      </c>
      <c r="B2987" s="15" t="s">
        <v>11314</v>
      </c>
      <c r="C2987" s="15" t="s">
        <v>4273</v>
      </c>
      <c r="D2987" s="15" t="s">
        <v>4274</v>
      </c>
      <c r="E2987" s="15" t="s">
        <v>11315</v>
      </c>
    </row>
    <row r="2988" spans="1:5" ht="25.5" x14ac:dyDescent="0.2">
      <c r="A2988" s="14" t="s">
        <v>11316</v>
      </c>
      <c r="B2988" s="15" t="s">
        <v>11317</v>
      </c>
      <c r="C2988" s="15" t="s">
        <v>5498</v>
      </c>
      <c r="D2988" s="15" t="s">
        <v>5499</v>
      </c>
      <c r="E2988" s="15" t="s">
        <v>11318</v>
      </c>
    </row>
    <row r="2989" spans="1:5" ht="25.5" x14ac:dyDescent="0.2">
      <c r="A2989" s="14" t="s">
        <v>11319</v>
      </c>
      <c r="B2989" s="15" t="s">
        <v>11320</v>
      </c>
      <c r="C2989" s="15" t="s">
        <v>4029</v>
      </c>
      <c r="D2989" s="15" t="s">
        <v>4030</v>
      </c>
      <c r="E2989" s="15" t="s">
        <v>11321</v>
      </c>
    </row>
    <row r="2990" spans="1:5" ht="25.5" x14ac:dyDescent="0.2">
      <c r="A2990" s="14" t="s">
        <v>11322</v>
      </c>
      <c r="B2990" s="15" t="s">
        <v>11323</v>
      </c>
      <c r="C2990" s="15" t="s">
        <v>4029</v>
      </c>
      <c r="D2990" s="15" t="s">
        <v>4030</v>
      </c>
      <c r="E2990" s="15" t="s">
        <v>11324</v>
      </c>
    </row>
    <row r="2991" spans="1:5" ht="25.5" x14ac:dyDescent="0.2">
      <c r="A2991" s="14" t="s">
        <v>11325</v>
      </c>
      <c r="B2991" s="15" t="s">
        <v>11326</v>
      </c>
      <c r="C2991" s="15" t="s">
        <v>4029</v>
      </c>
      <c r="D2991" s="15" t="s">
        <v>4030</v>
      </c>
      <c r="E2991" s="15" t="s">
        <v>11327</v>
      </c>
    </row>
    <row r="2992" spans="1:5" ht="25.5" x14ac:dyDescent="0.2">
      <c r="A2992" s="14" t="s">
        <v>11328</v>
      </c>
      <c r="B2992" s="15" t="s">
        <v>11329</v>
      </c>
      <c r="C2992" s="15" t="s">
        <v>4029</v>
      </c>
      <c r="D2992" s="15" t="s">
        <v>4030</v>
      </c>
      <c r="E2992" s="15" t="s">
        <v>11330</v>
      </c>
    </row>
    <row r="2993" spans="1:5" ht="25.5" x14ac:dyDescent="0.2">
      <c r="A2993" s="14" t="s">
        <v>11331</v>
      </c>
      <c r="B2993" s="15" t="s">
        <v>11332</v>
      </c>
      <c r="C2993" s="15" t="s">
        <v>4029</v>
      </c>
      <c r="D2993" s="15" t="s">
        <v>4030</v>
      </c>
      <c r="E2993" s="15" t="s">
        <v>11333</v>
      </c>
    </row>
    <row r="2994" spans="1:5" ht="25.5" x14ac:dyDescent="0.2">
      <c r="A2994" s="14" t="s">
        <v>11334</v>
      </c>
      <c r="B2994" s="15" t="s">
        <v>795</v>
      </c>
      <c r="C2994" s="15" t="s">
        <v>9744</v>
      </c>
      <c r="D2994" s="15" t="s">
        <v>9745</v>
      </c>
      <c r="E2994" s="15" t="s">
        <v>11335</v>
      </c>
    </row>
    <row r="2995" spans="1:5" ht="25.5" x14ac:dyDescent="0.2">
      <c r="A2995" s="14" t="s">
        <v>11336</v>
      </c>
      <c r="B2995" s="15" t="s">
        <v>11337</v>
      </c>
      <c r="C2995" s="15" t="s">
        <v>9744</v>
      </c>
      <c r="D2995" s="15" t="s">
        <v>9745</v>
      </c>
      <c r="E2995" s="15" t="s">
        <v>11338</v>
      </c>
    </row>
    <row r="2996" spans="1:5" ht="25.5" x14ac:dyDescent="0.2">
      <c r="A2996" s="14" t="s">
        <v>11339</v>
      </c>
      <c r="B2996" s="15" t="s">
        <v>11340</v>
      </c>
      <c r="C2996" s="15" t="s">
        <v>11005</v>
      </c>
      <c r="D2996" s="15" t="s">
        <v>11006</v>
      </c>
      <c r="E2996" s="15" t="s">
        <v>11341</v>
      </c>
    </row>
    <row r="2997" spans="1:5" ht="25.5" x14ac:dyDescent="0.2">
      <c r="A2997" s="14" t="s">
        <v>11342</v>
      </c>
      <c r="B2997" s="15" t="s">
        <v>11343</v>
      </c>
      <c r="C2997" s="15" t="s">
        <v>11005</v>
      </c>
      <c r="D2997" s="15" t="s">
        <v>11006</v>
      </c>
      <c r="E2997" s="15" t="s">
        <v>11344</v>
      </c>
    </row>
    <row r="2998" spans="1:5" ht="25.5" x14ac:dyDescent="0.2">
      <c r="A2998" s="14" t="s">
        <v>11345</v>
      </c>
      <c r="B2998" s="15" t="s">
        <v>1177</v>
      </c>
      <c r="C2998" s="15" t="s">
        <v>9744</v>
      </c>
      <c r="D2998" s="15" t="s">
        <v>9745</v>
      </c>
      <c r="E2998" s="15" t="s">
        <v>11346</v>
      </c>
    </row>
    <row r="2999" spans="1:5" ht="25.5" x14ac:dyDescent="0.2">
      <c r="A2999" s="14" t="s">
        <v>11347</v>
      </c>
      <c r="B2999" s="15" t="s">
        <v>277</v>
      </c>
      <c r="C2999" s="15" t="s">
        <v>9744</v>
      </c>
      <c r="D2999" s="15" t="s">
        <v>9745</v>
      </c>
      <c r="E2999" s="15" t="s">
        <v>11348</v>
      </c>
    </row>
    <row r="3000" spans="1:5" ht="25.5" x14ac:dyDescent="0.2">
      <c r="A3000" s="14" t="s">
        <v>11349</v>
      </c>
      <c r="B3000" s="15" t="s">
        <v>11350</v>
      </c>
      <c r="C3000" s="15" t="s">
        <v>11005</v>
      </c>
      <c r="D3000" s="15" t="s">
        <v>11006</v>
      </c>
      <c r="E3000" s="15" t="s">
        <v>11351</v>
      </c>
    </row>
    <row r="3001" spans="1:5" ht="25.5" x14ac:dyDescent="0.2">
      <c r="A3001" s="14" t="s">
        <v>11352</v>
      </c>
      <c r="B3001" s="15" t="s">
        <v>328</v>
      </c>
      <c r="C3001" s="15" t="s">
        <v>9744</v>
      </c>
      <c r="D3001" s="15" t="s">
        <v>9745</v>
      </c>
      <c r="E3001" s="15" t="s">
        <v>11353</v>
      </c>
    </row>
    <row r="3002" spans="1:5" ht="25.5" x14ac:dyDescent="0.2">
      <c r="A3002" s="14" t="s">
        <v>11354</v>
      </c>
      <c r="B3002" s="15" t="s">
        <v>11355</v>
      </c>
      <c r="C3002" s="15" t="s">
        <v>11005</v>
      </c>
      <c r="D3002" s="15" t="s">
        <v>11006</v>
      </c>
      <c r="E3002" s="15" t="s">
        <v>11356</v>
      </c>
    </row>
    <row r="3003" spans="1:5" ht="25.5" x14ac:dyDescent="0.2">
      <c r="A3003" s="14" t="s">
        <v>11357</v>
      </c>
      <c r="B3003" s="15" t="s">
        <v>1338</v>
      </c>
      <c r="C3003" s="15" t="s">
        <v>9744</v>
      </c>
      <c r="D3003" s="15" t="s">
        <v>9745</v>
      </c>
      <c r="E3003" s="15" t="s">
        <v>11358</v>
      </c>
    </row>
    <row r="3004" spans="1:5" ht="25.5" x14ac:dyDescent="0.2">
      <c r="A3004" s="14" t="s">
        <v>11359</v>
      </c>
      <c r="B3004" s="15" t="s">
        <v>11360</v>
      </c>
      <c r="C3004" s="15" t="s">
        <v>11005</v>
      </c>
      <c r="D3004" s="15" t="s">
        <v>11006</v>
      </c>
      <c r="E3004" s="15" t="s">
        <v>11361</v>
      </c>
    </row>
    <row r="3005" spans="1:5" ht="25.5" x14ac:dyDescent="0.2">
      <c r="A3005" s="14" t="s">
        <v>11362</v>
      </c>
      <c r="B3005" s="15" t="s">
        <v>386</v>
      </c>
      <c r="C3005" s="15" t="s">
        <v>9744</v>
      </c>
      <c r="D3005" s="15" t="s">
        <v>9745</v>
      </c>
      <c r="E3005" s="15" t="s">
        <v>11363</v>
      </c>
    </row>
    <row r="3006" spans="1:5" ht="25.5" x14ac:dyDescent="0.2">
      <c r="A3006" s="14" t="s">
        <v>11364</v>
      </c>
      <c r="B3006" s="15" t="s">
        <v>11365</v>
      </c>
      <c r="C3006" s="15" t="s">
        <v>11005</v>
      </c>
      <c r="D3006" s="15" t="s">
        <v>11006</v>
      </c>
      <c r="E3006" s="15" t="s">
        <v>11366</v>
      </c>
    </row>
    <row r="3007" spans="1:5" ht="25.5" x14ac:dyDescent="0.2">
      <c r="A3007" s="14" t="s">
        <v>11367</v>
      </c>
      <c r="B3007" s="15" t="s">
        <v>11368</v>
      </c>
      <c r="C3007" s="15" t="s">
        <v>3395</v>
      </c>
      <c r="D3007" s="15" t="s">
        <v>3396</v>
      </c>
      <c r="E3007" s="15" t="s">
        <v>11369</v>
      </c>
    </row>
    <row r="3008" spans="1:5" ht="25.5" x14ac:dyDescent="0.2">
      <c r="A3008" s="14" t="s">
        <v>11370</v>
      </c>
      <c r="B3008" s="15" t="s">
        <v>11371</v>
      </c>
      <c r="C3008" s="15" t="s">
        <v>5231</v>
      </c>
      <c r="D3008" s="15" t="s">
        <v>5232</v>
      </c>
      <c r="E3008" s="15" t="s">
        <v>11372</v>
      </c>
    </row>
    <row r="3009" spans="1:5" ht="25.5" x14ac:dyDescent="0.2">
      <c r="A3009" s="14" t="s">
        <v>11373</v>
      </c>
      <c r="B3009" s="15" t="s">
        <v>11374</v>
      </c>
      <c r="C3009" s="15" t="s">
        <v>4171</v>
      </c>
      <c r="D3009" s="15" t="s">
        <v>4172</v>
      </c>
      <c r="E3009" s="15" t="s">
        <v>11375</v>
      </c>
    </row>
    <row r="3010" spans="1:5" ht="25.5" x14ac:dyDescent="0.2">
      <c r="A3010" s="14" t="s">
        <v>11376</v>
      </c>
      <c r="B3010" s="15" t="s">
        <v>11377</v>
      </c>
      <c r="C3010" s="15" t="s">
        <v>4171</v>
      </c>
      <c r="D3010" s="15" t="s">
        <v>4172</v>
      </c>
      <c r="E3010" s="15" t="s">
        <v>11378</v>
      </c>
    </row>
    <row r="3011" spans="1:5" ht="25.5" x14ac:dyDescent="0.2">
      <c r="A3011" s="14" t="s">
        <v>11379</v>
      </c>
      <c r="B3011" s="15" t="s">
        <v>1484</v>
      </c>
      <c r="C3011" s="15" t="s">
        <v>4899</v>
      </c>
      <c r="D3011" s="15" t="s">
        <v>4900</v>
      </c>
      <c r="E3011" s="15" t="s">
        <v>11380</v>
      </c>
    </row>
    <row r="3012" spans="1:5" ht="25.5" x14ac:dyDescent="0.2">
      <c r="A3012" s="14" t="s">
        <v>11381</v>
      </c>
      <c r="B3012" s="15" t="s">
        <v>11382</v>
      </c>
      <c r="C3012" s="15" t="s">
        <v>11156</v>
      </c>
      <c r="D3012" s="15" t="s">
        <v>11157</v>
      </c>
      <c r="E3012" s="15" t="s">
        <v>11383</v>
      </c>
    </row>
    <row r="3013" spans="1:5" ht="25.5" x14ac:dyDescent="0.2">
      <c r="A3013" s="14" t="s">
        <v>11384</v>
      </c>
      <c r="B3013" s="15" t="s">
        <v>234</v>
      </c>
      <c r="C3013" s="15" t="s">
        <v>4226</v>
      </c>
      <c r="D3013" s="15" t="s">
        <v>4227</v>
      </c>
      <c r="E3013" s="15" t="s">
        <v>11385</v>
      </c>
    </row>
    <row r="3014" spans="1:5" ht="25.5" x14ac:dyDescent="0.2">
      <c r="A3014" s="14" t="s">
        <v>11386</v>
      </c>
      <c r="B3014" s="15" t="s">
        <v>234</v>
      </c>
      <c r="C3014" s="15" t="s">
        <v>4226</v>
      </c>
      <c r="D3014" s="15" t="s">
        <v>4227</v>
      </c>
      <c r="E3014" s="15" t="s">
        <v>11387</v>
      </c>
    </row>
    <row r="3015" spans="1:5" ht="25.5" x14ac:dyDescent="0.2">
      <c r="A3015" s="14" t="s">
        <v>11388</v>
      </c>
      <c r="B3015" s="15" t="s">
        <v>1140</v>
      </c>
      <c r="C3015" s="15" t="s">
        <v>6061</v>
      </c>
      <c r="D3015" s="15" t="s">
        <v>6062</v>
      </c>
      <c r="E3015" s="15" t="s">
        <v>11389</v>
      </c>
    </row>
    <row r="3016" spans="1:5" ht="25.5" x14ac:dyDescent="0.2">
      <c r="A3016" s="14" t="s">
        <v>11390</v>
      </c>
      <c r="B3016" s="15" t="s">
        <v>975</v>
      </c>
      <c r="C3016" s="15" t="s">
        <v>4082</v>
      </c>
      <c r="D3016" s="15" t="s">
        <v>4083</v>
      </c>
      <c r="E3016" s="15" t="s">
        <v>11391</v>
      </c>
    </row>
    <row r="3017" spans="1:5" ht="25.5" x14ac:dyDescent="0.2">
      <c r="A3017" s="14" t="s">
        <v>11392</v>
      </c>
      <c r="B3017" s="15" t="s">
        <v>11393</v>
      </c>
      <c r="C3017" s="15" t="s">
        <v>4203</v>
      </c>
      <c r="D3017" s="15" t="s">
        <v>4204</v>
      </c>
      <c r="E3017" s="15" t="s">
        <v>11394</v>
      </c>
    </row>
    <row r="3018" spans="1:5" ht="25.5" x14ac:dyDescent="0.2">
      <c r="A3018" s="14" t="s">
        <v>11395</v>
      </c>
      <c r="B3018" s="15" t="s">
        <v>564</v>
      </c>
      <c r="C3018" s="15" t="s">
        <v>11396</v>
      </c>
      <c r="D3018" s="15" t="s">
        <v>11397</v>
      </c>
      <c r="E3018" s="15" t="s">
        <v>11398</v>
      </c>
    </row>
    <row r="3019" spans="1:5" ht="25.5" x14ac:dyDescent="0.2">
      <c r="A3019" s="14" t="s">
        <v>11399</v>
      </c>
      <c r="B3019" s="15" t="s">
        <v>739</v>
      </c>
      <c r="C3019" s="15" t="s">
        <v>11396</v>
      </c>
      <c r="D3019" s="15" t="s">
        <v>11397</v>
      </c>
      <c r="E3019" s="15" t="s">
        <v>11400</v>
      </c>
    </row>
    <row r="3020" spans="1:5" ht="25.5" x14ac:dyDescent="0.2">
      <c r="A3020" s="14" t="s">
        <v>11401</v>
      </c>
      <c r="B3020" s="15" t="s">
        <v>1590</v>
      </c>
      <c r="C3020" s="15" t="s">
        <v>11396</v>
      </c>
      <c r="D3020" s="15" t="s">
        <v>11397</v>
      </c>
      <c r="E3020" s="15" t="s">
        <v>11402</v>
      </c>
    </row>
    <row r="3021" spans="1:5" ht="25.5" x14ac:dyDescent="0.2">
      <c r="A3021" s="14" t="s">
        <v>11403</v>
      </c>
      <c r="B3021" s="15" t="s">
        <v>740</v>
      </c>
      <c r="C3021" s="15" t="s">
        <v>11396</v>
      </c>
      <c r="D3021" s="15" t="s">
        <v>11397</v>
      </c>
      <c r="E3021" s="15" t="s">
        <v>11404</v>
      </c>
    </row>
    <row r="3022" spans="1:5" ht="25.5" x14ac:dyDescent="0.2">
      <c r="A3022" s="14" t="s">
        <v>11405</v>
      </c>
      <c r="B3022" s="15" t="s">
        <v>741</v>
      </c>
      <c r="C3022" s="15" t="s">
        <v>11396</v>
      </c>
      <c r="D3022" s="15" t="s">
        <v>11397</v>
      </c>
      <c r="E3022" s="15" t="s">
        <v>11406</v>
      </c>
    </row>
    <row r="3023" spans="1:5" ht="25.5" x14ac:dyDescent="0.2">
      <c r="A3023" s="14" t="s">
        <v>11407</v>
      </c>
      <c r="B3023" s="15" t="s">
        <v>1033</v>
      </c>
      <c r="C3023" s="15" t="s">
        <v>11396</v>
      </c>
      <c r="D3023" s="15" t="s">
        <v>11397</v>
      </c>
      <c r="E3023" s="15" t="s">
        <v>11408</v>
      </c>
    </row>
    <row r="3024" spans="1:5" ht="25.5" x14ac:dyDescent="0.2">
      <c r="A3024" s="14" t="s">
        <v>11409</v>
      </c>
      <c r="B3024" s="15" t="s">
        <v>29</v>
      </c>
      <c r="C3024" s="15" t="s">
        <v>11410</v>
      </c>
      <c r="D3024" s="15" t="s">
        <v>11411</v>
      </c>
      <c r="E3024" s="15" t="s">
        <v>11412</v>
      </c>
    </row>
    <row r="3025" spans="1:5" ht="25.5" x14ac:dyDescent="0.2">
      <c r="A3025" s="14" t="s">
        <v>11413</v>
      </c>
      <c r="B3025" s="15" t="s">
        <v>11414</v>
      </c>
      <c r="C3025" s="15" t="s">
        <v>7780</v>
      </c>
      <c r="D3025" s="15" t="s">
        <v>7781</v>
      </c>
      <c r="E3025" s="15" t="s">
        <v>11415</v>
      </c>
    </row>
    <row r="3026" spans="1:5" ht="25.5" x14ac:dyDescent="0.2">
      <c r="A3026" s="14" t="s">
        <v>11416</v>
      </c>
      <c r="B3026" s="15" t="s">
        <v>11417</v>
      </c>
      <c r="C3026" s="15" t="s">
        <v>7780</v>
      </c>
      <c r="D3026" s="15" t="s">
        <v>7781</v>
      </c>
      <c r="E3026" s="15" t="s">
        <v>11418</v>
      </c>
    </row>
    <row r="3027" spans="1:5" ht="25.5" x14ac:dyDescent="0.2">
      <c r="A3027" s="14" t="s">
        <v>11419</v>
      </c>
      <c r="B3027" s="15" t="s">
        <v>11420</v>
      </c>
      <c r="C3027" s="15" t="s">
        <v>7780</v>
      </c>
      <c r="D3027" s="15" t="s">
        <v>7781</v>
      </c>
      <c r="E3027" s="15" t="s">
        <v>11421</v>
      </c>
    </row>
    <row r="3028" spans="1:5" ht="25.5" x14ac:dyDescent="0.2">
      <c r="A3028" s="14" t="s">
        <v>11422</v>
      </c>
      <c r="B3028" s="15" t="s">
        <v>11423</v>
      </c>
      <c r="C3028" s="15" t="s">
        <v>7780</v>
      </c>
      <c r="D3028" s="15" t="s">
        <v>7781</v>
      </c>
      <c r="E3028" s="15" t="s">
        <v>11424</v>
      </c>
    </row>
    <row r="3029" spans="1:5" ht="25.5" x14ac:dyDescent="0.2">
      <c r="A3029" s="14" t="s">
        <v>11425</v>
      </c>
      <c r="B3029" s="15" t="s">
        <v>11426</v>
      </c>
      <c r="C3029" s="15" t="s">
        <v>4273</v>
      </c>
      <c r="D3029" s="15" t="s">
        <v>4274</v>
      </c>
      <c r="E3029" s="15" t="s">
        <v>11427</v>
      </c>
    </row>
    <row r="3030" spans="1:5" ht="25.5" x14ac:dyDescent="0.2">
      <c r="A3030" s="14" t="s">
        <v>11428</v>
      </c>
      <c r="B3030" s="15" t="s">
        <v>11429</v>
      </c>
      <c r="C3030" s="15" t="s">
        <v>4104</v>
      </c>
      <c r="D3030" s="15" t="s">
        <v>4105</v>
      </c>
      <c r="E3030" s="15" t="s">
        <v>11430</v>
      </c>
    </row>
    <row r="3031" spans="1:5" ht="25.5" x14ac:dyDescent="0.2">
      <c r="A3031" s="14" t="s">
        <v>11431</v>
      </c>
      <c r="B3031" s="15" t="s">
        <v>11432</v>
      </c>
      <c r="C3031" s="15" t="s">
        <v>4307</v>
      </c>
      <c r="D3031" s="15" t="s">
        <v>4308</v>
      </c>
      <c r="E3031" s="15" t="s">
        <v>11433</v>
      </c>
    </row>
    <row r="3032" spans="1:5" ht="25.5" x14ac:dyDescent="0.2">
      <c r="A3032" s="14" t="s">
        <v>11434</v>
      </c>
      <c r="B3032" s="15" t="s">
        <v>11435</v>
      </c>
      <c r="C3032" s="15" t="s">
        <v>4104</v>
      </c>
      <c r="D3032" s="15" t="s">
        <v>4105</v>
      </c>
      <c r="E3032" s="15" t="s">
        <v>11436</v>
      </c>
    </row>
    <row r="3033" spans="1:5" ht="38.25" x14ac:dyDescent="0.2">
      <c r="A3033" s="14" t="s">
        <v>11437</v>
      </c>
      <c r="B3033" s="15" t="s">
        <v>11438</v>
      </c>
      <c r="C3033" s="15" t="s">
        <v>4273</v>
      </c>
      <c r="D3033" s="15" t="s">
        <v>4274</v>
      </c>
      <c r="E3033" s="15" t="s">
        <v>11439</v>
      </c>
    </row>
    <row r="3034" spans="1:5" ht="25.5" x14ac:dyDescent="0.2">
      <c r="A3034" s="14" t="s">
        <v>11440</v>
      </c>
      <c r="B3034" s="15" t="s">
        <v>11441</v>
      </c>
      <c r="C3034" s="15" t="s">
        <v>4307</v>
      </c>
      <c r="D3034" s="15" t="s">
        <v>4308</v>
      </c>
      <c r="E3034" s="15" t="s">
        <v>11442</v>
      </c>
    </row>
    <row r="3035" spans="1:5" ht="25.5" x14ac:dyDescent="0.2">
      <c r="A3035" s="14" t="s">
        <v>11443</v>
      </c>
      <c r="B3035" s="15" t="s">
        <v>233</v>
      </c>
      <c r="C3035" s="15" t="s">
        <v>4226</v>
      </c>
      <c r="D3035" s="15" t="s">
        <v>4227</v>
      </c>
      <c r="E3035" s="15" t="s">
        <v>11444</v>
      </c>
    </row>
    <row r="3036" spans="1:5" ht="25.5" x14ac:dyDescent="0.2">
      <c r="A3036" s="14"/>
      <c r="B3036" s="15" t="s">
        <v>11445</v>
      </c>
      <c r="C3036" s="15" t="s">
        <v>3339</v>
      </c>
      <c r="D3036" s="15" t="s">
        <v>3340</v>
      </c>
      <c r="E3036" s="15" t="s">
        <v>11446</v>
      </c>
    </row>
    <row r="3037" spans="1:5" ht="25.5" x14ac:dyDescent="0.2">
      <c r="A3037" s="14" t="s">
        <v>11447</v>
      </c>
      <c r="B3037" s="15" t="s">
        <v>602</v>
      </c>
      <c r="C3037" s="15" t="s">
        <v>8279</v>
      </c>
      <c r="D3037" s="15" t="s">
        <v>8280</v>
      </c>
      <c r="E3037" s="15" t="s">
        <v>11448</v>
      </c>
    </row>
    <row r="3038" spans="1:5" ht="25.5" x14ac:dyDescent="0.2">
      <c r="A3038" s="14" t="s">
        <v>11449</v>
      </c>
      <c r="B3038" s="15" t="s">
        <v>516</v>
      </c>
      <c r="C3038" s="15" t="s">
        <v>5207</v>
      </c>
      <c r="D3038" s="15" t="s">
        <v>5208</v>
      </c>
      <c r="E3038" s="15" t="s">
        <v>11450</v>
      </c>
    </row>
    <row r="3039" spans="1:5" ht="25.5" x14ac:dyDescent="0.2">
      <c r="A3039" s="14" t="s">
        <v>11451</v>
      </c>
      <c r="B3039" s="15" t="s">
        <v>11452</v>
      </c>
      <c r="C3039" s="15" t="s">
        <v>5671</v>
      </c>
      <c r="D3039" s="15" t="s">
        <v>5672</v>
      </c>
      <c r="E3039" s="15" t="s">
        <v>11453</v>
      </c>
    </row>
    <row r="3040" spans="1:5" ht="25.5" x14ac:dyDescent="0.2">
      <c r="A3040" s="14" t="s">
        <v>11454</v>
      </c>
      <c r="B3040" s="15" t="s">
        <v>11455</v>
      </c>
      <c r="C3040" s="15" t="s">
        <v>5671</v>
      </c>
      <c r="D3040" s="15" t="s">
        <v>5672</v>
      </c>
      <c r="E3040" s="15" t="s">
        <v>11456</v>
      </c>
    </row>
    <row r="3041" spans="1:5" ht="25.5" x14ac:dyDescent="0.2">
      <c r="A3041" s="14" t="s">
        <v>11457</v>
      </c>
      <c r="B3041" s="15" t="s">
        <v>11458</v>
      </c>
      <c r="C3041" s="15" t="s">
        <v>4029</v>
      </c>
      <c r="D3041" s="15" t="s">
        <v>4030</v>
      </c>
      <c r="E3041" s="15" t="s">
        <v>11459</v>
      </c>
    </row>
    <row r="3042" spans="1:5" ht="25.5" x14ac:dyDescent="0.2">
      <c r="A3042" s="14" t="s">
        <v>11460</v>
      </c>
      <c r="B3042" s="15" t="s">
        <v>11461</v>
      </c>
      <c r="C3042" s="15" t="s">
        <v>4792</v>
      </c>
      <c r="D3042" s="15" t="s">
        <v>4793</v>
      </c>
      <c r="E3042" s="15" t="s">
        <v>11462</v>
      </c>
    </row>
    <row r="3043" spans="1:5" ht="25.5" x14ac:dyDescent="0.2">
      <c r="A3043" s="14" t="s">
        <v>11463</v>
      </c>
      <c r="B3043" s="15" t="s">
        <v>11464</v>
      </c>
      <c r="C3043" s="15" t="s">
        <v>7780</v>
      </c>
      <c r="D3043" s="15" t="s">
        <v>7781</v>
      </c>
      <c r="E3043" s="15" t="s">
        <v>11465</v>
      </c>
    </row>
    <row r="3044" spans="1:5" ht="25.5" x14ac:dyDescent="0.2">
      <c r="A3044" s="14" t="s">
        <v>11466</v>
      </c>
      <c r="B3044" s="15" t="s">
        <v>11467</v>
      </c>
      <c r="C3044" s="15" t="s">
        <v>7780</v>
      </c>
      <c r="D3044" s="15" t="s">
        <v>7781</v>
      </c>
      <c r="E3044" s="15" t="s">
        <v>11468</v>
      </c>
    </row>
    <row r="3045" spans="1:5" ht="25.5" x14ac:dyDescent="0.2">
      <c r="A3045" s="14" t="s">
        <v>11469</v>
      </c>
      <c r="B3045" s="15" t="s">
        <v>11470</v>
      </c>
      <c r="C3045" s="15" t="s">
        <v>4857</v>
      </c>
      <c r="D3045" s="15" t="s">
        <v>4858</v>
      </c>
      <c r="E3045" s="15" t="s">
        <v>11471</v>
      </c>
    </row>
    <row r="3046" spans="1:5" ht="25.5" x14ac:dyDescent="0.2">
      <c r="A3046" s="14" t="s">
        <v>11472</v>
      </c>
      <c r="B3046" s="15" t="s">
        <v>11473</v>
      </c>
      <c r="C3046" s="15" t="s">
        <v>5112</v>
      </c>
      <c r="D3046" s="15" t="s">
        <v>5113</v>
      </c>
      <c r="E3046" s="15" t="s">
        <v>11474</v>
      </c>
    </row>
    <row r="3047" spans="1:5" ht="25.5" x14ac:dyDescent="0.2">
      <c r="A3047" s="14" t="s">
        <v>11475</v>
      </c>
      <c r="B3047" s="15" t="s">
        <v>11476</v>
      </c>
      <c r="C3047" s="15" t="s">
        <v>4857</v>
      </c>
      <c r="D3047" s="15" t="s">
        <v>4858</v>
      </c>
      <c r="E3047" s="15" t="s">
        <v>11477</v>
      </c>
    </row>
    <row r="3048" spans="1:5" ht="25.5" x14ac:dyDescent="0.2">
      <c r="A3048" s="14" t="s">
        <v>11478</v>
      </c>
      <c r="B3048" s="15" t="s">
        <v>11479</v>
      </c>
      <c r="C3048" s="15" t="s">
        <v>6090</v>
      </c>
      <c r="D3048" s="15" t="s">
        <v>6091</v>
      </c>
      <c r="E3048" s="15" t="s">
        <v>11480</v>
      </c>
    </row>
    <row r="3049" spans="1:5" ht="25.5" x14ac:dyDescent="0.2">
      <c r="A3049" s="14" t="s">
        <v>11481</v>
      </c>
      <c r="B3049" s="15" t="s">
        <v>1380</v>
      </c>
      <c r="C3049" s="15" t="s">
        <v>11482</v>
      </c>
      <c r="D3049" s="15" t="s">
        <v>11483</v>
      </c>
      <c r="E3049" s="15" t="s">
        <v>11484</v>
      </c>
    </row>
    <row r="3050" spans="1:5" ht="25.5" x14ac:dyDescent="0.2">
      <c r="A3050" s="14" t="s">
        <v>11485</v>
      </c>
      <c r="B3050" s="15" t="s">
        <v>571</v>
      </c>
      <c r="C3050" s="15" t="s">
        <v>11486</v>
      </c>
      <c r="D3050" s="15" t="s">
        <v>11487</v>
      </c>
      <c r="E3050" s="15" t="s">
        <v>11488</v>
      </c>
    </row>
    <row r="3051" spans="1:5" ht="25.5" x14ac:dyDescent="0.2">
      <c r="A3051" s="14" t="s">
        <v>11489</v>
      </c>
      <c r="B3051" s="15" t="s">
        <v>1534</v>
      </c>
      <c r="C3051" s="15" t="s">
        <v>11486</v>
      </c>
      <c r="D3051" s="15" t="s">
        <v>11487</v>
      </c>
      <c r="E3051" s="15" t="s">
        <v>11490</v>
      </c>
    </row>
    <row r="3052" spans="1:5" ht="25.5" x14ac:dyDescent="0.2">
      <c r="A3052" s="14" t="s">
        <v>11491</v>
      </c>
      <c r="B3052" s="15" t="s">
        <v>382</v>
      </c>
      <c r="C3052" s="15" t="s">
        <v>4226</v>
      </c>
      <c r="D3052" s="15" t="s">
        <v>4227</v>
      </c>
      <c r="E3052" s="15" t="s">
        <v>11492</v>
      </c>
    </row>
    <row r="3053" spans="1:5" ht="25.5" x14ac:dyDescent="0.2">
      <c r="A3053" s="14" t="s">
        <v>11493</v>
      </c>
      <c r="B3053" s="15" t="s">
        <v>384</v>
      </c>
      <c r="C3053" s="15" t="s">
        <v>9446</v>
      </c>
      <c r="D3053" s="15" t="s">
        <v>9447</v>
      </c>
      <c r="E3053" s="15" t="s">
        <v>11494</v>
      </c>
    </row>
    <row r="3054" spans="1:5" ht="25.5" x14ac:dyDescent="0.2">
      <c r="A3054" s="14" t="s">
        <v>11495</v>
      </c>
      <c r="B3054" s="15" t="s">
        <v>11496</v>
      </c>
      <c r="C3054" s="15" t="s">
        <v>9446</v>
      </c>
      <c r="D3054" s="15" t="s">
        <v>9447</v>
      </c>
      <c r="E3054" s="15" t="s">
        <v>11497</v>
      </c>
    </row>
    <row r="3055" spans="1:5" ht="25.5" x14ac:dyDescent="0.2">
      <c r="A3055" s="14" t="s">
        <v>11498</v>
      </c>
      <c r="B3055" s="15" t="s">
        <v>618</v>
      </c>
      <c r="C3055" s="15" t="s">
        <v>9446</v>
      </c>
      <c r="D3055" s="15" t="s">
        <v>9447</v>
      </c>
      <c r="E3055" s="15" t="s">
        <v>11499</v>
      </c>
    </row>
    <row r="3056" spans="1:5" ht="25.5" x14ac:dyDescent="0.2">
      <c r="A3056" s="14" t="s">
        <v>11500</v>
      </c>
      <c r="B3056" s="15" t="s">
        <v>11501</v>
      </c>
      <c r="C3056" s="15" t="s">
        <v>9446</v>
      </c>
      <c r="D3056" s="15" t="s">
        <v>9447</v>
      </c>
      <c r="E3056" s="15" t="s">
        <v>11502</v>
      </c>
    </row>
    <row r="3057" spans="1:5" ht="25.5" x14ac:dyDescent="0.2">
      <c r="A3057" s="14" t="s">
        <v>11503</v>
      </c>
      <c r="B3057" s="15" t="s">
        <v>559</v>
      </c>
      <c r="C3057" s="15" t="s">
        <v>9446</v>
      </c>
      <c r="D3057" s="15" t="s">
        <v>9447</v>
      </c>
      <c r="E3057" s="15" t="s">
        <v>11504</v>
      </c>
    </row>
    <row r="3058" spans="1:5" ht="25.5" x14ac:dyDescent="0.2">
      <c r="A3058" s="14" t="s">
        <v>11505</v>
      </c>
      <c r="B3058" s="15" t="s">
        <v>615</v>
      </c>
      <c r="C3058" s="15" t="s">
        <v>9446</v>
      </c>
      <c r="D3058" s="15" t="s">
        <v>9447</v>
      </c>
      <c r="E3058" s="15" t="s">
        <v>11506</v>
      </c>
    </row>
    <row r="3059" spans="1:5" ht="25.5" x14ac:dyDescent="0.2">
      <c r="A3059" s="14" t="s">
        <v>11507</v>
      </c>
      <c r="B3059" s="15" t="s">
        <v>19</v>
      </c>
      <c r="C3059" s="15" t="s">
        <v>9446</v>
      </c>
      <c r="D3059" s="15" t="s">
        <v>9447</v>
      </c>
      <c r="E3059" s="15" t="s">
        <v>11508</v>
      </c>
    </row>
    <row r="3060" spans="1:5" ht="25.5" x14ac:dyDescent="0.2">
      <c r="A3060" s="14" t="s">
        <v>11509</v>
      </c>
      <c r="B3060" s="15" t="s">
        <v>743</v>
      </c>
      <c r="C3060" s="15" t="s">
        <v>9446</v>
      </c>
      <c r="D3060" s="15" t="s">
        <v>9447</v>
      </c>
      <c r="E3060" s="15" t="s">
        <v>11510</v>
      </c>
    </row>
    <row r="3061" spans="1:5" ht="25.5" x14ac:dyDescent="0.2">
      <c r="A3061" s="14" t="s">
        <v>11511</v>
      </c>
      <c r="B3061" s="15" t="s">
        <v>1302</v>
      </c>
      <c r="C3061" s="15" t="s">
        <v>9446</v>
      </c>
      <c r="D3061" s="15" t="s">
        <v>9447</v>
      </c>
      <c r="E3061" s="15" t="s">
        <v>11512</v>
      </c>
    </row>
    <row r="3062" spans="1:5" ht="25.5" x14ac:dyDescent="0.2">
      <c r="A3062" s="14" t="s">
        <v>11513</v>
      </c>
      <c r="B3062" s="15" t="s">
        <v>1314</v>
      </c>
      <c r="C3062" s="15" t="s">
        <v>9446</v>
      </c>
      <c r="D3062" s="15" t="s">
        <v>9447</v>
      </c>
      <c r="E3062" s="15" t="s">
        <v>11514</v>
      </c>
    </row>
    <row r="3063" spans="1:5" ht="25.5" x14ac:dyDescent="0.2">
      <c r="A3063" s="14" t="s">
        <v>11515</v>
      </c>
      <c r="B3063" s="15" t="s">
        <v>617</v>
      </c>
      <c r="C3063" s="15" t="s">
        <v>9446</v>
      </c>
      <c r="D3063" s="15" t="s">
        <v>9447</v>
      </c>
      <c r="E3063" s="15" t="s">
        <v>11516</v>
      </c>
    </row>
    <row r="3064" spans="1:5" ht="25.5" x14ac:dyDescent="0.2">
      <c r="A3064" s="14" t="s">
        <v>11517</v>
      </c>
      <c r="B3064" s="15" t="s">
        <v>1417</v>
      </c>
      <c r="C3064" s="15" t="s">
        <v>9446</v>
      </c>
      <c r="D3064" s="15" t="s">
        <v>9447</v>
      </c>
      <c r="E3064" s="15" t="s">
        <v>11518</v>
      </c>
    </row>
    <row r="3065" spans="1:5" ht="25.5" x14ac:dyDescent="0.2">
      <c r="A3065" s="14" t="s">
        <v>11519</v>
      </c>
      <c r="B3065" s="15" t="s">
        <v>11520</v>
      </c>
      <c r="C3065" s="15" t="s">
        <v>9446</v>
      </c>
      <c r="D3065" s="15" t="s">
        <v>9447</v>
      </c>
      <c r="E3065" s="15" t="s">
        <v>11521</v>
      </c>
    </row>
    <row r="3066" spans="1:5" ht="25.5" x14ac:dyDescent="0.2">
      <c r="A3066" s="14" t="s">
        <v>11522</v>
      </c>
      <c r="B3066" s="15" t="s">
        <v>1345</v>
      </c>
      <c r="C3066" s="15" t="s">
        <v>9446</v>
      </c>
      <c r="D3066" s="15" t="s">
        <v>9447</v>
      </c>
      <c r="E3066" s="15" t="s">
        <v>11523</v>
      </c>
    </row>
    <row r="3067" spans="1:5" ht="25.5" x14ac:dyDescent="0.2">
      <c r="A3067" s="14" t="s">
        <v>11524</v>
      </c>
      <c r="B3067" s="15" t="s">
        <v>20</v>
      </c>
      <c r="C3067" s="15" t="s">
        <v>9446</v>
      </c>
      <c r="D3067" s="15" t="s">
        <v>9447</v>
      </c>
      <c r="E3067" s="15" t="s">
        <v>11525</v>
      </c>
    </row>
    <row r="3068" spans="1:5" ht="25.5" x14ac:dyDescent="0.2">
      <c r="A3068" s="14" t="s">
        <v>11526</v>
      </c>
      <c r="B3068" s="15" t="s">
        <v>1300</v>
      </c>
      <c r="C3068" s="15" t="s">
        <v>9446</v>
      </c>
      <c r="D3068" s="15" t="s">
        <v>9447</v>
      </c>
      <c r="E3068" s="15" t="s">
        <v>11527</v>
      </c>
    </row>
    <row r="3069" spans="1:5" ht="25.5" x14ac:dyDescent="0.2">
      <c r="A3069" s="14" t="s">
        <v>11528</v>
      </c>
      <c r="B3069" s="15" t="s">
        <v>1312</v>
      </c>
      <c r="C3069" s="15" t="s">
        <v>9446</v>
      </c>
      <c r="D3069" s="15" t="s">
        <v>9447</v>
      </c>
      <c r="E3069" s="15" t="s">
        <v>11529</v>
      </c>
    </row>
    <row r="3070" spans="1:5" ht="25.5" x14ac:dyDescent="0.2">
      <c r="A3070" s="14" t="s">
        <v>11530</v>
      </c>
      <c r="B3070" s="15" t="s">
        <v>11531</v>
      </c>
      <c r="C3070" s="15" t="s">
        <v>9446</v>
      </c>
      <c r="D3070" s="15" t="s">
        <v>9447</v>
      </c>
      <c r="E3070" s="15" t="s">
        <v>11532</v>
      </c>
    </row>
    <row r="3071" spans="1:5" ht="25.5" x14ac:dyDescent="0.2">
      <c r="A3071" s="14" t="s">
        <v>11533</v>
      </c>
      <c r="B3071" s="15" t="s">
        <v>1168</v>
      </c>
      <c r="C3071" s="15" t="s">
        <v>9446</v>
      </c>
      <c r="D3071" s="15" t="s">
        <v>9447</v>
      </c>
      <c r="E3071" s="15" t="s">
        <v>11534</v>
      </c>
    </row>
    <row r="3072" spans="1:5" ht="25.5" x14ac:dyDescent="0.2">
      <c r="A3072" s="14" t="s">
        <v>11535</v>
      </c>
      <c r="B3072" s="15" t="s">
        <v>11536</v>
      </c>
      <c r="C3072" s="15" t="s">
        <v>9446</v>
      </c>
      <c r="D3072" s="15" t="s">
        <v>9447</v>
      </c>
      <c r="E3072" s="15" t="s">
        <v>11537</v>
      </c>
    </row>
    <row r="3073" spans="1:5" ht="25.5" x14ac:dyDescent="0.2">
      <c r="A3073" s="14" t="s">
        <v>11538</v>
      </c>
      <c r="B3073" s="15" t="s">
        <v>11539</v>
      </c>
      <c r="C3073" s="15" t="s">
        <v>9446</v>
      </c>
      <c r="D3073" s="15" t="s">
        <v>9447</v>
      </c>
      <c r="E3073" s="15" t="s">
        <v>11540</v>
      </c>
    </row>
    <row r="3074" spans="1:5" ht="25.5" x14ac:dyDescent="0.2">
      <c r="A3074" s="14" t="s">
        <v>11541</v>
      </c>
      <c r="B3074" s="15" t="s">
        <v>558</v>
      </c>
      <c r="C3074" s="15" t="s">
        <v>9446</v>
      </c>
      <c r="D3074" s="15" t="s">
        <v>9447</v>
      </c>
      <c r="E3074" s="15" t="s">
        <v>11542</v>
      </c>
    </row>
    <row r="3075" spans="1:5" ht="25.5" x14ac:dyDescent="0.2">
      <c r="A3075" s="14" t="s">
        <v>11543</v>
      </c>
      <c r="B3075" s="15" t="s">
        <v>1418</v>
      </c>
      <c r="C3075" s="15" t="s">
        <v>9446</v>
      </c>
      <c r="D3075" s="15" t="s">
        <v>9447</v>
      </c>
      <c r="E3075" s="15" t="s">
        <v>11544</v>
      </c>
    </row>
    <row r="3076" spans="1:5" ht="25.5" x14ac:dyDescent="0.2">
      <c r="A3076" s="14" t="s">
        <v>11545</v>
      </c>
      <c r="B3076" s="15" t="s">
        <v>22</v>
      </c>
      <c r="C3076" s="15" t="s">
        <v>9446</v>
      </c>
      <c r="D3076" s="15" t="s">
        <v>9447</v>
      </c>
      <c r="E3076" s="15" t="s">
        <v>11546</v>
      </c>
    </row>
    <row r="3077" spans="1:5" ht="25.5" x14ac:dyDescent="0.2">
      <c r="A3077" s="14" t="s">
        <v>11547</v>
      </c>
      <c r="B3077" s="15" t="s">
        <v>23</v>
      </c>
      <c r="C3077" s="15" t="s">
        <v>9446</v>
      </c>
      <c r="D3077" s="15" t="s">
        <v>9447</v>
      </c>
      <c r="E3077" s="15" t="s">
        <v>11548</v>
      </c>
    </row>
    <row r="3078" spans="1:5" ht="25.5" x14ac:dyDescent="0.2">
      <c r="A3078" s="14" t="s">
        <v>11549</v>
      </c>
      <c r="B3078" s="15" t="s">
        <v>21</v>
      </c>
      <c r="C3078" s="15" t="s">
        <v>9446</v>
      </c>
      <c r="D3078" s="15" t="s">
        <v>9447</v>
      </c>
      <c r="E3078" s="15" t="s">
        <v>11550</v>
      </c>
    </row>
    <row r="3079" spans="1:5" ht="25.5" x14ac:dyDescent="0.2">
      <c r="A3079" s="14" t="s">
        <v>11551</v>
      </c>
      <c r="B3079" s="15" t="s">
        <v>11552</v>
      </c>
      <c r="C3079" s="15" t="s">
        <v>9446</v>
      </c>
      <c r="D3079" s="15" t="s">
        <v>9447</v>
      </c>
      <c r="E3079" s="15" t="s">
        <v>11553</v>
      </c>
    </row>
    <row r="3080" spans="1:5" ht="25.5" x14ac:dyDescent="0.2">
      <c r="A3080" s="14" t="s">
        <v>11554</v>
      </c>
      <c r="B3080" s="15" t="s">
        <v>11555</v>
      </c>
      <c r="C3080" s="15" t="s">
        <v>9446</v>
      </c>
      <c r="D3080" s="15" t="s">
        <v>9447</v>
      </c>
      <c r="E3080" s="15" t="s">
        <v>11556</v>
      </c>
    </row>
    <row r="3081" spans="1:5" ht="25.5" x14ac:dyDescent="0.2">
      <c r="A3081" s="14" t="s">
        <v>11557</v>
      </c>
      <c r="B3081" s="15" t="s">
        <v>611</v>
      </c>
      <c r="C3081" s="15" t="s">
        <v>9446</v>
      </c>
      <c r="D3081" s="15" t="s">
        <v>9447</v>
      </c>
      <c r="E3081" s="15" t="s">
        <v>11558</v>
      </c>
    </row>
    <row r="3082" spans="1:5" ht="25.5" x14ac:dyDescent="0.2">
      <c r="A3082" s="14" t="s">
        <v>11559</v>
      </c>
      <c r="B3082" s="15" t="s">
        <v>1170</v>
      </c>
      <c r="C3082" s="15" t="s">
        <v>9446</v>
      </c>
      <c r="D3082" s="15" t="s">
        <v>9447</v>
      </c>
      <c r="E3082" s="15" t="s">
        <v>11560</v>
      </c>
    </row>
    <row r="3083" spans="1:5" ht="25.5" x14ac:dyDescent="0.2">
      <c r="A3083" s="14" t="s">
        <v>11561</v>
      </c>
      <c r="B3083" s="15" t="s">
        <v>1607</v>
      </c>
      <c r="C3083" s="15" t="s">
        <v>9446</v>
      </c>
      <c r="D3083" s="15" t="s">
        <v>9447</v>
      </c>
      <c r="E3083" s="15" t="s">
        <v>11562</v>
      </c>
    </row>
    <row r="3084" spans="1:5" ht="25.5" x14ac:dyDescent="0.2">
      <c r="A3084" s="14" t="s">
        <v>11563</v>
      </c>
      <c r="B3084" s="15" t="s">
        <v>11564</v>
      </c>
      <c r="C3084" s="15" t="s">
        <v>9446</v>
      </c>
      <c r="D3084" s="15" t="s">
        <v>9447</v>
      </c>
      <c r="E3084" s="15" t="s">
        <v>11565</v>
      </c>
    </row>
    <row r="3085" spans="1:5" ht="25.5" x14ac:dyDescent="0.2">
      <c r="A3085" s="14" t="s">
        <v>11566</v>
      </c>
      <c r="B3085" s="15" t="s">
        <v>1254</v>
      </c>
      <c r="C3085" s="15" t="s">
        <v>9446</v>
      </c>
      <c r="D3085" s="15" t="s">
        <v>9447</v>
      </c>
      <c r="E3085" s="15" t="s">
        <v>11567</v>
      </c>
    </row>
    <row r="3086" spans="1:5" ht="25.5" x14ac:dyDescent="0.2">
      <c r="A3086" s="14" t="s">
        <v>11568</v>
      </c>
      <c r="B3086" s="15" t="s">
        <v>1310</v>
      </c>
      <c r="C3086" s="15" t="s">
        <v>9446</v>
      </c>
      <c r="D3086" s="15" t="s">
        <v>9447</v>
      </c>
      <c r="E3086" s="15" t="s">
        <v>11569</v>
      </c>
    </row>
    <row r="3087" spans="1:5" ht="25.5" x14ac:dyDescent="0.2">
      <c r="A3087" s="14" t="s">
        <v>11570</v>
      </c>
      <c r="B3087" s="15" t="s">
        <v>1169</v>
      </c>
      <c r="C3087" s="15" t="s">
        <v>9446</v>
      </c>
      <c r="D3087" s="15" t="s">
        <v>9447</v>
      </c>
      <c r="E3087" s="15" t="s">
        <v>11571</v>
      </c>
    </row>
    <row r="3088" spans="1:5" ht="25.5" x14ac:dyDescent="0.2">
      <c r="A3088" s="14" t="s">
        <v>11572</v>
      </c>
      <c r="B3088" s="15" t="s">
        <v>11573</v>
      </c>
      <c r="C3088" s="15" t="s">
        <v>9446</v>
      </c>
      <c r="D3088" s="15" t="s">
        <v>9447</v>
      </c>
      <c r="E3088" s="15" t="s">
        <v>11574</v>
      </c>
    </row>
    <row r="3089" spans="1:5" ht="25.5" x14ac:dyDescent="0.2">
      <c r="A3089" s="14" t="s">
        <v>11575</v>
      </c>
      <c r="B3089" s="15" t="s">
        <v>1313</v>
      </c>
      <c r="C3089" s="15" t="s">
        <v>9446</v>
      </c>
      <c r="D3089" s="15" t="s">
        <v>9447</v>
      </c>
      <c r="E3089" s="15" t="s">
        <v>11576</v>
      </c>
    </row>
    <row r="3090" spans="1:5" ht="25.5" x14ac:dyDescent="0.2">
      <c r="A3090" s="14" t="s">
        <v>11577</v>
      </c>
      <c r="B3090" s="15" t="s">
        <v>1062</v>
      </c>
      <c r="C3090" s="15" t="s">
        <v>9446</v>
      </c>
      <c r="D3090" s="15" t="s">
        <v>9447</v>
      </c>
      <c r="E3090" s="15" t="s">
        <v>11578</v>
      </c>
    </row>
    <row r="3091" spans="1:5" ht="25.5" x14ac:dyDescent="0.2">
      <c r="A3091" s="14" t="s">
        <v>11579</v>
      </c>
      <c r="B3091" s="15" t="s">
        <v>951</v>
      </c>
      <c r="C3091" s="15" t="s">
        <v>9446</v>
      </c>
      <c r="D3091" s="15" t="s">
        <v>9447</v>
      </c>
      <c r="E3091" s="15" t="s">
        <v>11580</v>
      </c>
    </row>
    <row r="3092" spans="1:5" ht="25.5" x14ac:dyDescent="0.2">
      <c r="A3092" s="14" t="s">
        <v>11581</v>
      </c>
      <c r="B3092" s="15" t="s">
        <v>11582</v>
      </c>
      <c r="C3092" s="15" t="s">
        <v>9446</v>
      </c>
      <c r="D3092" s="15" t="s">
        <v>9447</v>
      </c>
      <c r="E3092" s="15" t="s">
        <v>11583</v>
      </c>
    </row>
    <row r="3093" spans="1:5" ht="25.5" x14ac:dyDescent="0.2">
      <c r="A3093" s="14" t="s">
        <v>11584</v>
      </c>
      <c r="B3093" s="15" t="s">
        <v>24</v>
      </c>
      <c r="C3093" s="15" t="s">
        <v>9446</v>
      </c>
      <c r="D3093" s="15" t="s">
        <v>9447</v>
      </c>
      <c r="E3093" s="15" t="s">
        <v>11585</v>
      </c>
    </row>
    <row r="3094" spans="1:5" ht="25.5" x14ac:dyDescent="0.2">
      <c r="A3094" s="14" t="s">
        <v>11586</v>
      </c>
      <c r="B3094" s="15" t="s">
        <v>11587</v>
      </c>
      <c r="C3094" s="15" t="s">
        <v>9446</v>
      </c>
      <c r="D3094" s="15" t="s">
        <v>9447</v>
      </c>
      <c r="E3094" s="15" t="s">
        <v>11588</v>
      </c>
    </row>
    <row r="3095" spans="1:5" ht="25.5" x14ac:dyDescent="0.2">
      <c r="A3095" s="14" t="s">
        <v>11589</v>
      </c>
      <c r="B3095" s="15" t="s">
        <v>11590</v>
      </c>
      <c r="C3095" s="15" t="s">
        <v>9446</v>
      </c>
      <c r="D3095" s="15" t="s">
        <v>9447</v>
      </c>
      <c r="E3095" s="15" t="s">
        <v>11591</v>
      </c>
    </row>
    <row r="3096" spans="1:5" ht="25.5" x14ac:dyDescent="0.2">
      <c r="A3096" s="14" t="s">
        <v>11592</v>
      </c>
      <c r="B3096" s="15" t="s">
        <v>11593</v>
      </c>
      <c r="C3096" s="15" t="s">
        <v>9446</v>
      </c>
      <c r="D3096" s="15" t="s">
        <v>9447</v>
      </c>
      <c r="E3096" s="15" t="s">
        <v>11594</v>
      </c>
    </row>
    <row r="3097" spans="1:5" ht="25.5" x14ac:dyDescent="0.2">
      <c r="A3097" s="14" t="s">
        <v>11595</v>
      </c>
      <c r="B3097" s="15" t="s">
        <v>1339</v>
      </c>
      <c r="C3097" s="15" t="s">
        <v>9446</v>
      </c>
      <c r="D3097" s="15" t="s">
        <v>9447</v>
      </c>
      <c r="E3097" s="15" t="s">
        <v>11596</v>
      </c>
    </row>
    <row r="3098" spans="1:5" ht="25.5" x14ac:dyDescent="0.2">
      <c r="A3098" s="14" t="s">
        <v>11597</v>
      </c>
      <c r="B3098" s="15" t="s">
        <v>1005</v>
      </c>
      <c r="C3098" s="15" t="s">
        <v>9446</v>
      </c>
      <c r="D3098" s="15" t="s">
        <v>9447</v>
      </c>
      <c r="E3098" s="15" t="s">
        <v>11598</v>
      </c>
    </row>
    <row r="3099" spans="1:5" ht="25.5" x14ac:dyDescent="0.2">
      <c r="A3099" s="14" t="s">
        <v>11599</v>
      </c>
      <c r="B3099" s="15" t="s">
        <v>1301</v>
      </c>
      <c r="C3099" s="15" t="s">
        <v>9446</v>
      </c>
      <c r="D3099" s="15" t="s">
        <v>9447</v>
      </c>
      <c r="E3099" s="15" t="s">
        <v>11600</v>
      </c>
    </row>
    <row r="3100" spans="1:5" ht="25.5" x14ac:dyDescent="0.2">
      <c r="A3100" s="14" t="s">
        <v>11601</v>
      </c>
      <c r="B3100" s="15" t="s">
        <v>1475</v>
      </c>
      <c r="C3100" s="15" t="s">
        <v>9446</v>
      </c>
      <c r="D3100" s="15" t="s">
        <v>9447</v>
      </c>
      <c r="E3100" s="15" t="s">
        <v>11602</v>
      </c>
    </row>
    <row r="3101" spans="1:5" ht="25.5" x14ac:dyDescent="0.2">
      <c r="A3101" s="14" t="s">
        <v>11603</v>
      </c>
      <c r="B3101" s="15" t="s">
        <v>25</v>
      </c>
      <c r="C3101" s="15" t="s">
        <v>9446</v>
      </c>
      <c r="D3101" s="15" t="s">
        <v>9447</v>
      </c>
      <c r="E3101" s="15" t="s">
        <v>11604</v>
      </c>
    </row>
    <row r="3102" spans="1:5" ht="25.5" x14ac:dyDescent="0.2">
      <c r="A3102" s="14" t="s">
        <v>11605</v>
      </c>
      <c r="B3102" s="15" t="s">
        <v>11606</v>
      </c>
      <c r="C3102" s="15" t="s">
        <v>9446</v>
      </c>
      <c r="D3102" s="15" t="s">
        <v>9447</v>
      </c>
      <c r="E3102" s="15" t="s">
        <v>11607</v>
      </c>
    </row>
    <row r="3103" spans="1:5" ht="25.5" x14ac:dyDescent="0.2">
      <c r="A3103" s="14" t="s">
        <v>11608</v>
      </c>
      <c r="B3103" s="15" t="s">
        <v>26</v>
      </c>
      <c r="C3103" s="15" t="s">
        <v>9446</v>
      </c>
      <c r="D3103" s="15" t="s">
        <v>9447</v>
      </c>
      <c r="E3103" s="15" t="s">
        <v>11609</v>
      </c>
    </row>
    <row r="3104" spans="1:5" ht="25.5" x14ac:dyDescent="0.2">
      <c r="A3104" s="14" t="s">
        <v>11610</v>
      </c>
      <c r="B3104" s="15" t="s">
        <v>1340</v>
      </c>
      <c r="C3104" s="15" t="s">
        <v>9446</v>
      </c>
      <c r="D3104" s="15" t="s">
        <v>9447</v>
      </c>
      <c r="E3104" s="15" t="s">
        <v>11611</v>
      </c>
    </row>
    <row r="3105" spans="1:5" ht="25.5" x14ac:dyDescent="0.2">
      <c r="A3105" s="14" t="s">
        <v>11612</v>
      </c>
      <c r="B3105" s="15" t="s">
        <v>18</v>
      </c>
      <c r="C3105" s="15" t="s">
        <v>9446</v>
      </c>
      <c r="D3105" s="15" t="s">
        <v>9447</v>
      </c>
      <c r="E3105" s="15" t="s">
        <v>11613</v>
      </c>
    </row>
    <row r="3106" spans="1:5" ht="25.5" x14ac:dyDescent="0.2">
      <c r="A3106" s="14" t="s">
        <v>11614</v>
      </c>
      <c r="B3106" s="15" t="s">
        <v>11615</v>
      </c>
      <c r="C3106" s="15" t="s">
        <v>9446</v>
      </c>
      <c r="D3106" s="15" t="s">
        <v>9447</v>
      </c>
      <c r="E3106" s="15" t="s">
        <v>11616</v>
      </c>
    </row>
    <row r="3107" spans="1:5" ht="25.5" x14ac:dyDescent="0.2">
      <c r="A3107" s="14" t="s">
        <v>11617</v>
      </c>
      <c r="B3107" s="15" t="s">
        <v>150</v>
      </c>
      <c r="C3107" s="15" t="s">
        <v>9446</v>
      </c>
      <c r="D3107" s="15" t="s">
        <v>9447</v>
      </c>
      <c r="E3107" s="15" t="s">
        <v>11618</v>
      </c>
    </row>
    <row r="3108" spans="1:5" ht="25.5" x14ac:dyDescent="0.2">
      <c r="A3108" s="14" t="s">
        <v>11619</v>
      </c>
      <c r="B3108" s="15" t="s">
        <v>11620</v>
      </c>
      <c r="C3108" s="15" t="s">
        <v>9446</v>
      </c>
      <c r="D3108" s="15" t="s">
        <v>9447</v>
      </c>
      <c r="E3108" s="15" t="s">
        <v>11621</v>
      </c>
    </row>
    <row r="3109" spans="1:5" ht="25.5" x14ac:dyDescent="0.2">
      <c r="A3109" s="14" t="s">
        <v>11622</v>
      </c>
      <c r="B3109" s="15" t="s">
        <v>1164</v>
      </c>
      <c r="C3109" s="15" t="s">
        <v>9446</v>
      </c>
      <c r="D3109" s="15" t="s">
        <v>9447</v>
      </c>
      <c r="E3109" s="15" t="s">
        <v>11623</v>
      </c>
    </row>
    <row r="3110" spans="1:5" ht="25.5" x14ac:dyDescent="0.2">
      <c r="A3110" s="14" t="s">
        <v>11624</v>
      </c>
      <c r="B3110" s="15" t="s">
        <v>1165</v>
      </c>
      <c r="C3110" s="15" t="s">
        <v>9446</v>
      </c>
      <c r="D3110" s="15" t="s">
        <v>9447</v>
      </c>
      <c r="E3110" s="15" t="s">
        <v>11625</v>
      </c>
    </row>
    <row r="3111" spans="1:5" ht="25.5" x14ac:dyDescent="0.2">
      <c r="A3111" s="14" t="s">
        <v>11626</v>
      </c>
      <c r="B3111" s="15" t="s">
        <v>995</v>
      </c>
      <c r="C3111" s="15" t="s">
        <v>9446</v>
      </c>
      <c r="D3111" s="15" t="s">
        <v>9447</v>
      </c>
      <c r="E3111" s="15" t="s">
        <v>11627</v>
      </c>
    </row>
    <row r="3112" spans="1:5" ht="25.5" x14ac:dyDescent="0.2">
      <c r="A3112" s="14" t="s">
        <v>11628</v>
      </c>
      <c r="B3112" s="15" t="s">
        <v>11629</v>
      </c>
      <c r="C3112" s="15" t="s">
        <v>9446</v>
      </c>
      <c r="D3112" s="15" t="s">
        <v>9447</v>
      </c>
      <c r="E3112" s="15" t="s">
        <v>11630</v>
      </c>
    </row>
    <row r="3113" spans="1:5" ht="25.5" x14ac:dyDescent="0.2">
      <c r="A3113" s="14" t="s">
        <v>11631</v>
      </c>
      <c r="B3113" s="15" t="s">
        <v>1166</v>
      </c>
      <c r="C3113" s="15" t="s">
        <v>9446</v>
      </c>
      <c r="D3113" s="15" t="s">
        <v>9447</v>
      </c>
      <c r="E3113" s="15" t="s">
        <v>11632</v>
      </c>
    </row>
    <row r="3114" spans="1:5" ht="25.5" x14ac:dyDescent="0.2">
      <c r="A3114" s="14" t="s">
        <v>11633</v>
      </c>
      <c r="B3114" s="15" t="s">
        <v>1167</v>
      </c>
      <c r="C3114" s="15" t="s">
        <v>9446</v>
      </c>
      <c r="D3114" s="15" t="s">
        <v>9447</v>
      </c>
      <c r="E3114" s="15" t="s">
        <v>11634</v>
      </c>
    </row>
    <row r="3115" spans="1:5" ht="25.5" x14ac:dyDescent="0.2">
      <c r="A3115" s="14" t="s">
        <v>11635</v>
      </c>
      <c r="B3115" s="15" t="s">
        <v>1063</v>
      </c>
      <c r="C3115" s="15" t="s">
        <v>9446</v>
      </c>
      <c r="D3115" s="15" t="s">
        <v>9447</v>
      </c>
      <c r="E3115" s="15" t="s">
        <v>11636</v>
      </c>
    </row>
    <row r="3116" spans="1:5" ht="25.5" x14ac:dyDescent="0.2">
      <c r="A3116" s="14" t="s">
        <v>11637</v>
      </c>
      <c r="B3116" s="15" t="s">
        <v>1325</v>
      </c>
      <c r="C3116" s="15" t="s">
        <v>9446</v>
      </c>
      <c r="D3116" s="15" t="s">
        <v>9447</v>
      </c>
      <c r="E3116" s="15" t="s">
        <v>11638</v>
      </c>
    </row>
    <row r="3117" spans="1:5" ht="25.5" x14ac:dyDescent="0.2">
      <c r="A3117" s="14" t="s">
        <v>11639</v>
      </c>
      <c r="B3117" s="15" t="s">
        <v>11640</v>
      </c>
      <c r="C3117" s="15" t="s">
        <v>3318</v>
      </c>
      <c r="D3117" s="15" t="s">
        <v>3319</v>
      </c>
      <c r="E3117" s="15" t="s">
        <v>11641</v>
      </c>
    </row>
    <row r="3118" spans="1:5" ht="25.5" x14ac:dyDescent="0.2">
      <c r="A3118" s="14" t="s">
        <v>11642</v>
      </c>
      <c r="B3118" s="15" t="s">
        <v>11643</v>
      </c>
      <c r="C3118" s="15" t="s">
        <v>4171</v>
      </c>
      <c r="D3118" s="15" t="s">
        <v>4172</v>
      </c>
      <c r="E3118" s="15" t="s">
        <v>11644</v>
      </c>
    </row>
    <row r="3119" spans="1:5" ht="25.5" x14ac:dyDescent="0.2">
      <c r="A3119" s="14" t="s">
        <v>11645</v>
      </c>
      <c r="B3119" s="15" t="s">
        <v>11646</v>
      </c>
      <c r="C3119" s="15" t="s">
        <v>4171</v>
      </c>
      <c r="D3119" s="15" t="s">
        <v>4172</v>
      </c>
      <c r="E3119" s="15" t="s">
        <v>11647</v>
      </c>
    </row>
    <row r="3120" spans="1:5" ht="25.5" x14ac:dyDescent="0.2">
      <c r="A3120" s="14" t="s">
        <v>11648</v>
      </c>
      <c r="B3120" s="15" t="s">
        <v>11649</v>
      </c>
      <c r="C3120" s="15" t="s">
        <v>4171</v>
      </c>
      <c r="D3120" s="15" t="s">
        <v>4172</v>
      </c>
      <c r="E3120" s="15" t="s">
        <v>11650</v>
      </c>
    </row>
    <row r="3121" spans="1:5" ht="25.5" x14ac:dyDescent="0.2">
      <c r="A3121" s="14" t="s">
        <v>11651</v>
      </c>
      <c r="B3121" s="15" t="s">
        <v>11652</v>
      </c>
      <c r="C3121" s="15" t="s">
        <v>5207</v>
      </c>
      <c r="D3121" s="15" t="s">
        <v>5208</v>
      </c>
      <c r="E3121" s="15" t="s">
        <v>11653</v>
      </c>
    </row>
    <row r="3122" spans="1:5" ht="25.5" x14ac:dyDescent="0.2">
      <c r="A3122" s="14" t="s">
        <v>11654</v>
      </c>
      <c r="B3122" s="15" t="s">
        <v>11655</v>
      </c>
      <c r="C3122" s="15" t="s">
        <v>5207</v>
      </c>
      <c r="D3122" s="15" t="s">
        <v>5208</v>
      </c>
      <c r="E3122" s="15" t="s">
        <v>11656</v>
      </c>
    </row>
    <row r="3123" spans="1:5" ht="25.5" x14ac:dyDescent="0.2">
      <c r="A3123" s="14" t="s">
        <v>11657</v>
      </c>
      <c r="B3123" s="15" t="s">
        <v>756</v>
      </c>
      <c r="C3123" s="15" t="s">
        <v>11658</v>
      </c>
      <c r="D3123" s="15" t="s">
        <v>11659</v>
      </c>
      <c r="E3123" s="15" t="s">
        <v>11660</v>
      </c>
    </row>
    <row r="3124" spans="1:5" ht="25.5" x14ac:dyDescent="0.2">
      <c r="A3124" s="14" t="s">
        <v>11661</v>
      </c>
      <c r="B3124" s="15" t="s">
        <v>1347</v>
      </c>
      <c r="C3124" s="15" t="s">
        <v>11658</v>
      </c>
      <c r="D3124" s="15" t="s">
        <v>11659</v>
      </c>
      <c r="E3124" s="15" t="s">
        <v>11662</v>
      </c>
    </row>
    <row r="3125" spans="1:5" ht="25.5" x14ac:dyDescent="0.2">
      <c r="A3125" s="14" t="s">
        <v>11663</v>
      </c>
      <c r="B3125" s="15" t="s">
        <v>11664</v>
      </c>
      <c r="C3125" s="15" t="s">
        <v>11658</v>
      </c>
      <c r="D3125" s="15" t="s">
        <v>11659</v>
      </c>
      <c r="E3125" s="15" t="s">
        <v>11665</v>
      </c>
    </row>
    <row r="3126" spans="1:5" ht="25.5" x14ac:dyDescent="0.2">
      <c r="A3126" s="14" t="s">
        <v>11666</v>
      </c>
      <c r="B3126" s="15" t="s">
        <v>1455</v>
      </c>
      <c r="C3126" s="15" t="s">
        <v>11658</v>
      </c>
      <c r="D3126" s="15" t="s">
        <v>11659</v>
      </c>
      <c r="E3126" s="15" t="s">
        <v>11667</v>
      </c>
    </row>
    <row r="3127" spans="1:5" ht="25.5" x14ac:dyDescent="0.2">
      <c r="A3127" s="14" t="s">
        <v>11668</v>
      </c>
      <c r="B3127" s="15" t="s">
        <v>11669</v>
      </c>
      <c r="C3127" s="15" t="s">
        <v>11658</v>
      </c>
      <c r="D3127" s="15" t="s">
        <v>11659</v>
      </c>
      <c r="E3127" s="15" t="s">
        <v>11670</v>
      </c>
    </row>
    <row r="3128" spans="1:5" ht="25.5" x14ac:dyDescent="0.2">
      <c r="A3128" s="14" t="s">
        <v>11671</v>
      </c>
      <c r="B3128" s="15" t="s">
        <v>28</v>
      </c>
      <c r="C3128" s="15" t="s">
        <v>11672</v>
      </c>
      <c r="D3128" s="15" t="s">
        <v>11673</v>
      </c>
      <c r="E3128" s="15" t="s">
        <v>11674</v>
      </c>
    </row>
    <row r="3129" spans="1:5" ht="25.5" x14ac:dyDescent="0.2">
      <c r="A3129" s="14" t="s">
        <v>11675</v>
      </c>
      <c r="B3129" s="15" t="s">
        <v>11676</v>
      </c>
      <c r="C3129" s="15" t="s">
        <v>11658</v>
      </c>
      <c r="D3129" s="15" t="s">
        <v>11659</v>
      </c>
      <c r="E3129" s="15" t="s">
        <v>11677</v>
      </c>
    </row>
    <row r="3130" spans="1:5" ht="25.5" x14ac:dyDescent="0.2">
      <c r="A3130" s="14" t="s">
        <v>11678</v>
      </c>
      <c r="B3130" s="15" t="s">
        <v>11679</v>
      </c>
      <c r="C3130" s="15" t="s">
        <v>11672</v>
      </c>
      <c r="D3130" s="15" t="s">
        <v>11673</v>
      </c>
      <c r="E3130" s="15" t="s">
        <v>11680</v>
      </c>
    </row>
    <row r="3131" spans="1:5" ht="25.5" x14ac:dyDescent="0.2">
      <c r="A3131" s="14" t="s">
        <v>11681</v>
      </c>
      <c r="B3131" s="15" t="s">
        <v>1488</v>
      </c>
      <c r="C3131" s="15" t="s">
        <v>11658</v>
      </c>
      <c r="D3131" s="15" t="s">
        <v>11659</v>
      </c>
      <c r="E3131" s="15" t="s">
        <v>11682</v>
      </c>
    </row>
    <row r="3132" spans="1:5" ht="25.5" x14ac:dyDescent="0.2">
      <c r="A3132" s="14" t="s">
        <v>11683</v>
      </c>
      <c r="B3132" s="15" t="s">
        <v>465</v>
      </c>
      <c r="C3132" s="15" t="s">
        <v>11658</v>
      </c>
      <c r="D3132" s="15" t="s">
        <v>11659</v>
      </c>
      <c r="E3132" s="15" t="s">
        <v>11684</v>
      </c>
    </row>
    <row r="3133" spans="1:5" ht="25.5" x14ac:dyDescent="0.2">
      <c r="A3133" s="14" t="s">
        <v>11685</v>
      </c>
      <c r="B3133" s="15" t="s">
        <v>1297</v>
      </c>
      <c r="C3133" s="15" t="s">
        <v>11658</v>
      </c>
      <c r="D3133" s="15" t="s">
        <v>11659</v>
      </c>
      <c r="E3133" s="15" t="s">
        <v>11686</v>
      </c>
    </row>
    <row r="3134" spans="1:5" ht="25.5" x14ac:dyDescent="0.2">
      <c r="A3134" s="14" t="s">
        <v>11687</v>
      </c>
      <c r="B3134" s="15" t="s">
        <v>1456</v>
      </c>
      <c r="C3134" s="15" t="s">
        <v>11658</v>
      </c>
      <c r="D3134" s="15" t="s">
        <v>11659</v>
      </c>
      <c r="E3134" s="15" t="s">
        <v>11688</v>
      </c>
    </row>
    <row r="3135" spans="1:5" ht="25.5" x14ac:dyDescent="0.2">
      <c r="A3135" s="14" t="s">
        <v>11689</v>
      </c>
      <c r="B3135" s="15" t="s">
        <v>1298</v>
      </c>
      <c r="C3135" s="15" t="s">
        <v>11658</v>
      </c>
      <c r="D3135" s="15" t="s">
        <v>11659</v>
      </c>
      <c r="E3135" s="15" t="s">
        <v>11690</v>
      </c>
    </row>
    <row r="3136" spans="1:5" ht="25.5" x14ac:dyDescent="0.2">
      <c r="A3136" s="14" t="s">
        <v>11691</v>
      </c>
      <c r="B3136" s="15" t="s">
        <v>1457</v>
      </c>
      <c r="C3136" s="15" t="s">
        <v>11658</v>
      </c>
      <c r="D3136" s="15" t="s">
        <v>11659</v>
      </c>
      <c r="E3136" s="15" t="s">
        <v>11692</v>
      </c>
    </row>
    <row r="3137" spans="1:5" ht="25.5" x14ac:dyDescent="0.2">
      <c r="A3137" s="14" t="s">
        <v>11693</v>
      </c>
      <c r="B3137" s="15" t="s">
        <v>1458</v>
      </c>
      <c r="C3137" s="15" t="s">
        <v>11658</v>
      </c>
      <c r="D3137" s="15" t="s">
        <v>11659</v>
      </c>
      <c r="E3137" s="15" t="s">
        <v>11694</v>
      </c>
    </row>
    <row r="3138" spans="1:5" ht="25.5" x14ac:dyDescent="0.2">
      <c r="A3138" s="14" t="s">
        <v>11695</v>
      </c>
      <c r="B3138" s="15" t="s">
        <v>1299</v>
      </c>
      <c r="C3138" s="15" t="s">
        <v>11658</v>
      </c>
      <c r="D3138" s="15" t="s">
        <v>11659</v>
      </c>
      <c r="E3138" s="15" t="s">
        <v>11696</v>
      </c>
    </row>
    <row r="3139" spans="1:5" ht="25.5" x14ac:dyDescent="0.2">
      <c r="A3139" s="14" t="s">
        <v>11697</v>
      </c>
      <c r="B3139" s="15" t="s">
        <v>1459</v>
      </c>
      <c r="C3139" s="15" t="s">
        <v>11658</v>
      </c>
      <c r="D3139" s="15" t="s">
        <v>11659</v>
      </c>
      <c r="E3139" s="15" t="s">
        <v>11698</v>
      </c>
    </row>
    <row r="3140" spans="1:5" ht="25.5" x14ac:dyDescent="0.2">
      <c r="A3140" s="14" t="s">
        <v>11699</v>
      </c>
      <c r="B3140" s="15" t="s">
        <v>1460</v>
      </c>
      <c r="C3140" s="15" t="s">
        <v>11658</v>
      </c>
      <c r="D3140" s="15" t="s">
        <v>11659</v>
      </c>
      <c r="E3140" s="15" t="s">
        <v>11700</v>
      </c>
    </row>
    <row r="3141" spans="1:5" ht="25.5" x14ac:dyDescent="0.2">
      <c r="A3141" s="14" t="s">
        <v>11701</v>
      </c>
      <c r="B3141" s="15" t="s">
        <v>11702</v>
      </c>
      <c r="C3141" s="15" t="s">
        <v>11658</v>
      </c>
      <c r="D3141" s="15" t="s">
        <v>11659</v>
      </c>
      <c r="E3141" s="15" t="s">
        <v>11703</v>
      </c>
    </row>
    <row r="3142" spans="1:5" ht="25.5" x14ac:dyDescent="0.2">
      <c r="A3142" s="14" t="s">
        <v>11704</v>
      </c>
      <c r="B3142" s="15" t="s">
        <v>1257</v>
      </c>
      <c r="C3142" s="15" t="s">
        <v>11658</v>
      </c>
      <c r="D3142" s="15" t="s">
        <v>11659</v>
      </c>
      <c r="E3142" s="15" t="s">
        <v>11705</v>
      </c>
    </row>
    <row r="3143" spans="1:5" ht="25.5" x14ac:dyDescent="0.2">
      <c r="A3143" s="14" t="s">
        <v>11706</v>
      </c>
      <c r="B3143" s="15" t="s">
        <v>11707</v>
      </c>
      <c r="C3143" s="15" t="s">
        <v>11658</v>
      </c>
      <c r="D3143" s="15" t="s">
        <v>11659</v>
      </c>
      <c r="E3143" s="15" t="s">
        <v>11708</v>
      </c>
    </row>
    <row r="3144" spans="1:5" ht="25.5" x14ac:dyDescent="0.2">
      <c r="A3144" s="14" t="s">
        <v>11709</v>
      </c>
      <c r="B3144" s="15" t="s">
        <v>303</v>
      </c>
      <c r="C3144" s="15" t="s">
        <v>11658</v>
      </c>
      <c r="D3144" s="15" t="s">
        <v>11659</v>
      </c>
      <c r="E3144" s="15" t="s">
        <v>11710</v>
      </c>
    </row>
    <row r="3145" spans="1:5" ht="25.5" x14ac:dyDescent="0.2">
      <c r="A3145" s="14" t="s">
        <v>11711</v>
      </c>
      <c r="B3145" s="15" t="s">
        <v>346</v>
      </c>
      <c r="C3145" s="15" t="s">
        <v>11658</v>
      </c>
      <c r="D3145" s="15" t="s">
        <v>11659</v>
      </c>
      <c r="E3145" s="15" t="s">
        <v>11712</v>
      </c>
    </row>
    <row r="3146" spans="1:5" ht="25.5" x14ac:dyDescent="0.2">
      <c r="A3146" s="14" t="s">
        <v>11713</v>
      </c>
      <c r="B3146" s="15" t="s">
        <v>1489</v>
      </c>
      <c r="C3146" s="15" t="s">
        <v>11658</v>
      </c>
      <c r="D3146" s="15" t="s">
        <v>11659</v>
      </c>
      <c r="E3146" s="15" t="s">
        <v>11714</v>
      </c>
    </row>
    <row r="3147" spans="1:5" ht="25.5" x14ac:dyDescent="0.2">
      <c r="A3147" s="14" t="s">
        <v>11715</v>
      </c>
      <c r="B3147" s="15" t="s">
        <v>476</v>
      </c>
      <c r="C3147" s="15" t="s">
        <v>11716</v>
      </c>
      <c r="D3147" s="15" t="s">
        <v>11717</v>
      </c>
      <c r="E3147" s="15" t="s">
        <v>11718</v>
      </c>
    </row>
    <row r="3148" spans="1:5" ht="25.5" x14ac:dyDescent="0.2">
      <c r="A3148" s="14" t="s">
        <v>11719</v>
      </c>
      <c r="B3148" s="15" t="s">
        <v>219</v>
      </c>
      <c r="C3148" s="15" t="s">
        <v>11716</v>
      </c>
      <c r="D3148" s="15" t="s">
        <v>11717</v>
      </c>
      <c r="E3148" s="15" t="s">
        <v>11720</v>
      </c>
    </row>
    <row r="3149" spans="1:5" ht="25.5" x14ac:dyDescent="0.2">
      <c r="A3149" s="14" t="s">
        <v>11721</v>
      </c>
      <c r="B3149" s="15" t="s">
        <v>267</v>
      </c>
      <c r="C3149" s="15" t="s">
        <v>11716</v>
      </c>
      <c r="D3149" s="15" t="s">
        <v>11717</v>
      </c>
      <c r="E3149" s="15" t="s">
        <v>11722</v>
      </c>
    </row>
    <row r="3150" spans="1:5" ht="25.5" x14ac:dyDescent="0.2">
      <c r="A3150" s="14" t="s">
        <v>11723</v>
      </c>
      <c r="B3150" s="15" t="s">
        <v>208</v>
      </c>
      <c r="C3150" s="15" t="s">
        <v>11716</v>
      </c>
      <c r="D3150" s="15" t="s">
        <v>11717</v>
      </c>
      <c r="E3150" s="15" t="s">
        <v>11724</v>
      </c>
    </row>
    <row r="3151" spans="1:5" ht="25.5" x14ac:dyDescent="0.2">
      <c r="A3151" s="14" t="s">
        <v>11725</v>
      </c>
      <c r="B3151" s="15" t="s">
        <v>473</v>
      </c>
      <c r="C3151" s="15" t="s">
        <v>11716</v>
      </c>
      <c r="D3151" s="15" t="s">
        <v>11717</v>
      </c>
      <c r="E3151" s="15" t="s">
        <v>11726</v>
      </c>
    </row>
    <row r="3152" spans="1:5" ht="25.5" x14ac:dyDescent="0.2">
      <c r="A3152" s="14" t="s">
        <v>11727</v>
      </c>
      <c r="B3152" s="15" t="s">
        <v>268</v>
      </c>
      <c r="C3152" s="15" t="s">
        <v>11716</v>
      </c>
      <c r="D3152" s="15" t="s">
        <v>11717</v>
      </c>
      <c r="E3152" s="15" t="s">
        <v>11728</v>
      </c>
    </row>
    <row r="3153" spans="1:5" ht="25.5" x14ac:dyDescent="0.2">
      <c r="A3153" s="14" t="s">
        <v>11729</v>
      </c>
      <c r="B3153" s="15" t="s">
        <v>360</v>
      </c>
      <c r="C3153" s="15" t="s">
        <v>4800</v>
      </c>
      <c r="D3153" s="15" t="s">
        <v>4801</v>
      </c>
      <c r="E3153" s="15" t="s">
        <v>11730</v>
      </c>
    </row>
    <row r="3154" spans="1:5" ht="25.5" x14ac:dyDescent="0.2">
      <c r="A3154" s="14" t="s">
        <v>11731</v>
      </c>
      <c r="B3154" s="15" t="s">
        <v>11732</v>
      </c>
      <c r="C3154" s="15" t="s">
        <v>4800</v>
      </c>
      <c r="D3154" s="15" t="s">
        <v>4801</v>
      </c>
      <c r="E3154" s="15" t="s">
        <v>11733</v>
      </c>
    </row>
    <row r="3155" spans="1:5" ht="25.5" x14ac:dyDescent="0.2">
      <c r="A3155" s="14" t="s">
        <v>11734</v>
      </c>
      <c r="B3155" s="15" t="s">
        <v>11735</v>
      </c>
      <c r="C3155" s="15" t="s">
        <v>6302</v>
      </c>
      <c r="D3155" s="15" t="s">
        <v>6303</v>
      </c>
      <c r="E3155" s="15" t="s">
        <v>11736</v>
      </c>
    </row>
    <row r="3156" spans="1:5" ht="25.5" x14ac:dyDescent="0.2">
      <c r="A3156" s="14" t="s">
        <v>11737</v>
      </c>
      <c r="B3156" s="15" t="s">
        <v>483</v>
      </c>
      <c r="C3156" s="15" t="s">
        <v>6302</v>
      </c>
      <c r="D3156" s="15" t="s">
        <v>6303</v>
      </c>
      <c r="E3156" s="15" t="s">
        <v>11738</v>
      </c>
    </row>
    <row r="3157" spans="1:5" ht="25.5" x14ac:dyDescent="0.2">
      <c r="A3157" s="14" t="s">
        <v>11739</v>
      </c>
      <c r="B3157" s="15" t="s">
        <v>236</v>
      </c>
      <c r="C3157" s="15" t="s">
        <v>4226</v>
      </c>
      <c r="D3157" s="15" t="s">
        <v>4227</v>
      </c>
      <c r="E3157" s="15" t="s">
        <v>11740</v>
      </c>
    </row>
    <row r="3158" spans="1:5" ht="25.5" x14ac:dyDescent="0.2">
      <c r="A3158" s="14" t="s">
        <v>11741</v>
      </c>
      <c r="B3158" s="15" t="s">
        <v>239</v>
      </c>
      <c r="C3158" s="15" t="s">
        <v>4203</v>
      </c>
      <c r="D3158" s="15" t="s">
        <v>4204</v>
      </c>
      <c r="E3158" s="15" t="s">
        <v>11742</v>
      </c>
    </row>
    <row r="3159" spans="1:5" ht="25.5" x14ac:dyDescent="0.2">
      <c r="A3159" s="14" t="s">
        <v>11743</v>
      </c>
      <c r="B3159" s="15" t="s">
        <v>383</v>
      </c>
      <c r="C3159" s="15" t="s">
        <v>4226</v>
      </c>
      <c r="D3159" s="15" t="s">
        <v>4227</v>
      </c>
      <c r="E3159" s="15" t="s">
        <v>11744</v>
      </c>
    </row>
    <row r="3160" spans="1:5" ht="25.5" x14ac:dyDescent="0.2">
      <c r="A3160" s="14" t="s">
        <v>11745</v>
      </c>
      <c r="B3160" s="15" t="s">
        <v>400</v>
      </c>
      <c r="C3160" s="15" t="s">
        <v>4226</v>
      </c>
      <c r="D3160" s="15" t="s">
        <v>4227</v>
      </c>
      <c r="E3160" s="15" t="s">
        <v>11746</v>
      </c>
    </row>
    <row r="3161" spans="1:5" ht="25.5" x14ac:dyDescent="0.2">
      <c r="A3161" s="14" t="s">
        <v>11747</v>
      </c>
      <c r="B3161" s="15" t="s">
        <v>690</v>
      </c>
      <c r="C3161" s="15" t="s">
        <v>11748</v>
      </c>
      <c r="D3161" s="15" t="s">
        <v>11749</v>
      </c>
      <c r="E3161" s="15" t="s">
        <v>11750</v>
      </c>
    </row>
    <row r="3162" spans="1:5" ht="25.5" x14ac:dyDescent="0.2">
      <c r="A3162" s="14" t="s">
        <v>11751</v>
      </c>
      <c r="B3162" s="15" t="s">
        <v>1595</v>
      </c>
      <c r="C3162" s="15" t="s">
        <v>11748</v>
      </c>
      <c r="D3162" s="15" t="s">
        <v>11749</v>
      </c>
      <c r="E3162" s="15" t="s">
        <v>11752</v>
      </c>
    </row>
    <row r="3163" spans="1:5" ht="25.5" x14ac:dyDescent="0.2">
      <c r="A3163" s="14" t="s">
        <v>11753</v>
      </c>
      <c r="B3163" s="15" t="s">
        <v>11754</v>
      </c>
      <c r="C3163" s="15" t="s">
        <v>11748</v>
      </c>
      <c r="D3163" s="15" t="s">
        <v>11749</v>
      </c>
      <c r="E3163" s="15" t="s">
        <v>11755</v>
      </c>
    </row>
    <row r="3164" spans="1:5" ht="25.5" x14ac:dyDescent="0.2">
      <c r="A3164" s="14" t="s">
        <v>11756</v>
      </c>
      <c r="B3164" s="15" t="s">
        <v>306</v>
      </c>
      <c r="C3164" s="15" t="s">
        <v>4203</v>
      </c>
      <c r="D3164" s="15" t="s">
        <v>4204</v>
      </c>
      <c r="E3164" s="15" t="s">
        <v>11757</v>
      </c>
    </row>
    <row r="3165" spans="1:5" ht="25.5" x14ac:dyDescent="0.2">
      <c r="A3165" s="14" t="s">
        <v>11758</v>
      </c>
      <c r="B3165" s="15" t="s">
        <v>660</v>
      </c>
      <c r="C3165" s="15" t="s">
        <v>3303</v>
      </c>
      <c r="D3165" s="15" t="s">
        <v>3304</v>
      </c>
      <c r="E3165" s="15" t="s">
        <v>11759</v>
      </c>
    </row>
    <row r="3166" spans="1:5" ht="25.5" x14ac:dyDescent="0.2">
      <c r="A3166" s="14" t="s">
        <v>11760</v>
      </c>
      <c r="B3166" s="15" t="s">
        <v>612</v>
      </c>
      <c r="C3166" s="15" t="s">
        <v>11761</v>
      </c>
      <c r="D3166" s="15" t="s">
        <v>11762</v>
      </c>
      <c r="E3166" s="15" t="s">
        <v>11763</v>
      </c>
    </row>
    <row r="3167" spans="1:5" ht="25.5" x14ac:dyDescent="0.2">
      <c r="A3167" s="14" t="s">
        <v>11764</v>
      </c>
      <c r="B3167" s="15" t="s">
        <v>971</v>
      </c>
      <c r="C3167" s="15" t="s">
        <v>11761</v>
      </c>
      <c r="D3167" s="15" t="s">
        <v>11762</v>
      </c>
      <c r="E3167" s="15" t="s">
        <v>11765</v>
      </c>
    </row>
    <row r="3168" spans="1:5" ht="25.5" x14ac:dyDescent="0.2">
      <c r="A3168" s="14" t="s">
        <v>11766</v>
      </c>
      <c r="B3168" s="15" t="s">
        <v>650</v>
      </c>
      <c r="C3168" s="15" t="s">
        <v>11761</v>
      </c>
      <c r="D3168" s="15" t="s">
        <v>11762</v>
      </c>
      <c r="E3168" s="15" t="s">
        <v>11767</v>
      </c>
    </row>
    <row r="3169" spans="1:5" ht="25.5" x14ac:dyDescent="0.2">
      <c r="A3169" s="14" t="s">
        <v>11768</v>
      </c>
      <c r="B3169" s="15" t="s">
        <v>652</v>
      </c>
      <c r="C3169" s="15" t="s">
        <v>11761</v>
      </c>
      <c r="D3169" s="15" t="s">
        <v>11762</v>
      </c>
      <c r="E3169" s="15" t="s">
        <v>11769</v>
      </c>
    </row>
    <row r="3170" spans="1:5" ht="25.5" x14ac:dyDescent="0.2">
      <c r="A3170" s="14" t="s">
        <v>11770</v>
      </c>
      <c r="B3170" s="15" t="s">
        <v>875</v>
      </c>
      <c r="C3170" s="15" t="s">
        <v>11761</v>
      </c>
      <c r="D3170" s="15" t="s">
        <v>11762</v>
      </c>
      <c r="E3170" s="15" t="s">
        <v>11771</v>
      </c>
    </row>
    <row r="3171" spans="1:5" ht="25.5" x14ac:dyDescent="0.2">
      <c r="A3171" s="14" t="s">
        <v>11772</v>
      </c>
      <c r="B3171" s="15" t="s">
        <v>566</v>
      </c>
      <c r="C3171" s="15" t="s">
        <v>11761</v>
      </c>
      <c r="D3171" s="15" t="s">
        <v>11762</v>
      </c>
      <c r="E3171" s="15" t="s">
        <v>11773</v>
      </c>
    </row>
    <row r="3172" spans="1:5" ht="25.5" x14ac:dyDescent="0.2">
      <c r="A3172" s="14" t="s">
        <v>11774</v>
      </c>
      <c r="B3172" s="15" t="s">
        <v>566</v>
      </c>
      <c r="C3172" s="15" t="s">
        <v>11761</v>
      </c>
      <c r="D3172" s="15" t="s">
        <v>11762</v>
      </c>
      <c r="E3172" s="15" t="s">
        <v>11775</v>
      </c>
    </row>
    <row r="3173" spans="1:5" ht="25.5" x14ac:dyDescent="0.2">
      <c r="A3173" s="14" t="s">
        <v>11776</v>
      </c>
      <c r="B3173" s="15" t="s">
        <v>11777</v>
      </c>
      <c r="C3173" s="15" t="s">
        <v>11761</v>
      </c>
      <c r="D3173" s="15" t="s">
        <v>11762</v>
      </c>
      <c r="E3173" s="15" t="s">
        <v>11778</v>
      </c>
    </row>
    <row r="3174" spans="1:5" ht="25.5" x14ac:dyDescent="0.2">
      <c r="A3174" s="14" t="s">
        <v>11779</v>
      </c>
      <c r="B3174" s="15" t="s">
        <v>653</v>
      </c>
      <c r="C3174" s="15" t="s">
        <v>11761</v>
      </c>
      <c r="D3174" s="15" t="s">
        <v>11762</v>
      </c>
      <c r="E3174" s="15" t="s">
        <v>11780</v>
      </c>
    </row>
    <row r="3175" spans="1:5" ht="25.5" x14ac:dyDescent="0.2">
      <c r="A3175" s="14" t="s">
        <v>11781</v>
      </c>
      <c r="B3175" s="15" t="s">
        <v>888</v>
      </c>
      <c r="C3175" s="15" t="s">
        <v>11761</v>
      </c>
      <c r="D3175" s="15" t="s">
        <v>11762</v>
      </c>
      <c r="E3175" s="15" t="s">
        <v>11782</v>
      </c>
    </row>
    <row r="3176" spans="1:5" ht="25.5" x14ac:dyDescent="0.2">
      <c r="A3176" s="14" t="s">
        <v>11783</v>
      </c>
      <c r="B3176" s="15" t="s">
        <v>1346</v>
      </c>
      <c r="C3176" s="15" t="s">
        <v>11761</v>
      </c>
      <c r="D3176" s="15" t="s">
        <v>11762</v>
      </c>
      <c r="E3176" s="15" t="s">
        <v>11784</v>
      </c>
    </row>
    <row r="3177" spans="1:5" ht="25.5" x14ac:dyDescent="0.2">
      <c r="A3177" s="14" t="s">
        <v>11785</v>
      </c>
      <c r="B3177" s="15" t="s">
        <v>11786</v>
      </c>
      <c r="C3177" s="15" t="s">
        <v>4203</v>
      </c>
      <c r="D3177" s="15" t="s">
        <v>4204</v>
      </c>
      <c r="E3177" s="15" t="s">
        <v>11787</v>
      </c>
    </row>
    <row r="3178" spans="1:5" ht="25.5" x14ac:dyDescent="0.2">
      <c r="A3178" s="14" t="s">
        <v>11788</v>
      </c>
      <c r="B3178" s="15" t="s">
        <v>11789</v>
      </c>
      <c r="C3178" s="15" t="s">
        <v>4262</v>
      </c>
      <c r="D3178" s="15" t="s">
        <v>4263</v>
      </c>
      <c r="E3178" s="15" t="s">
        <v>11790</v>
      </c>
    </row>
    <row r="3179" spans="1:5" ht="25.5" x14ac:dyDescent="0.2">
      <c r="A3179" s="14" t="s">
        <v>11791</v>
      </c>
      <c r="B3179" s="15" t="s">
        <v>11789</v>
      </c>
      <c r="C3179" s="15" t="s">
        <v>4262</v>
      </c>
      <c r="D3179" s="15" t="s">
        <v>4263</v>
      </c>
      <c r="E3179" s="15" t="s">
        <v>11792</v>
      </c>
    </row>
    <row r="3180" spans="1:5" ht="25.5" x14ac:dyDescent="0.2">
      <c r="A3180" s="14" t="s">
        <v>11793</v>
      </c>
      <c r="B3180" s="15" t="s">
        <v>11794</v>
      </c>
      <c r="C3180" s="15" t="s">
        <v>4262</v>
      </c>
      <c r="D3180" s="15" t="s">
        <v>4263</v>
      </c>
      <c r="E3180" s="15" t="s">
        <v>11795</v>
      </c>
    </row>
    <row r="3181" spans="1:5" ht="25.5" x14ac:dyDescent="0.2">
      <c r="A3181" s="14" t="s">
        <v>11796</v>
      </c>
      <c r="B3181" s="15" t="s">
        <v>11794</v>
      </c>
      <c r="C3181" s="15" t="s">
        <v>4262</v>
      </c>
      <c r="D3181" s="15" t="s">
        <v>4263</v>
      </c>
      <c r="E3181" s="15" t="s">
        <v>11797</v>
      </c>
    </row>
    <row r="3182" spans="1:5" ht="25.5" x14ac:dyDescent="0.2">
      <c r="A3182" s="14" t="s">
        <v>11798</v>
      </c>
      <c r="B3182" s="15" t="s">
        <v>514</v>
      </c>
      <c r="C3182" s="15" t="s">
        <v>4262</v>
      </c>
      <c r="D3182" s="15" t="s">
        <v>4263</v>
      </c>
      <c r="E3182" s="15" t="s">
        <v>11799</v>
      </c>
    </row>
    <row r="3183" spans="1:5" ht="25.5" x14ac:dyDescent="0.2">
      <c r="A3183" s="14" t="s">
        <v>11800</v>
      </c>
      <c r="B3183" s="15" t="s">
        <v>514</v>
      </c>
      <c r="C3183" s="15" t="s">
        <v>4262</v>
      </c>
      <c r="D3183" s="15" t="s">
        <v>4263</v>
      </c>
      <c r="E3183" s="15" t="s">
        <v>11801</v>
      </c>
    </row>
    <row r="3184" spans="1:5" ht="25.5" x14ac:dyDescent="0.2">
      <c r="A3184" s="14" t="s">
        <v>11802</v>
      </c>
      <c r="B3184" s="15" t="s">
        <v>514</v>
      </c>
      <c r="C3184" s="15" t="s">
        <v>4262</v>
      </c>
      <c r="D3184" s="15" t="s">
        <v>4263</v>
      </c>
      <c r="E3184" s="15" t="s">
        <v>11803</v>
      </c>
    </row>
    <row r="3185" spans="1:5" ht="25.5" x14ac:dyDescent="0.2">
      <c r="A3185" s="14" t="s">
        <v>11804</v>
      </c>
      <c r="B3185" s="15" t="s">
        <v>11805</v>
      </c>
      <c r="C3185" s="15" t="s">
        <v>4262</v>
      </c>
      <c r="D3185" s="15" t="s">
        <v>4263</v>
      </c>
      <c r="E3185" s="15" t="s">
        <v>11806</v>
      </c>
    </row>
    <row r="3186" spans="1:5" ht="25.5" x14ac:dyDescent="0.2">
      <c r="A3186" s="14" t="s">
        <v>11807</v>
      </c>
      <c r="B3186" s="15" t="s">
        <v>11808</v>
      </c>
      <c r="C3186" s="15" t="s">
        <v>4262</v>
      </c>
      <c r="D3186" s="15" t="s">
        <v>4263</v>
      </c>
      <c r="E3186" s="15" t="s">
        <v>11809</v>
      </c>
    </row>
    <row r="3187" spans="1:5" ht="25.5" x14ac:dyDescent="0.2">
      <c r="A3187" s="14" t="s">
        <v>11810</v>
      </c>
      <c r="B3187" s="15" t="s">
        <v>11811</v>
      </c>
      <c r="C3187" s="15" t="s">
        <v>4262</v>
      </c>
      <c r="D3187" s="15" t="s">
        <v>4263</v>
      </c>
      <c r="E3187" s="15" t="s">
        <v>11812</v>
      </c>
    </row>
    <row r="3188" spans="1:5" ht="25.5" x14ac:dyDescent="0.2">
      <c r="A3188" s="14" t="s">
        <v>11813</v>
      </c>
      <c r="B3188" s="15" t="s">
        <v>11814</v>
      </c>
      <c r="C3188" s="15" t="s">
        <v>4262</v>
      </c>
      <c r="D3188" s="15" t="s">
        <v>4263</v>
      </c>
      <c r="E3188" s="15" t="s">
        <v>11815</v>
      </c>
    </row>
    <row r="3189" spans="1:5" ht="25.5" x14ac:dyDescent="0.2">
      <c r="A3189" s="14" t="s">
        <v>11816</v>
      </c>
      <c r="B3189" s="15" t="s">
        <v>1449</v>
      </c>
      <c r="C3189" s="15" t="s">
        <v>4262</v>
      </c>
      <c r="D3189" s="15" t="s">
        <v>4263</v>
      </c>
      <c r="E3189" s="15" t="s">
        <v>11817</v>
      </c>
    </row>
    <row r="3190" spans="1:5" ht="25.5" x14ac:dyDescent="0.2">
      <c r="A3190" s="14" t="s">
        <v>11818</v>
      </c>
      <c r="B3190" s="15" t="s">
        <v>11819</v>
      </c>
      <c r="C3190" s="15" t="s">
        <v>4262</v>
      </c>
      <c r="D3190" s="15" t="s">
        <v>4263</v>
      </c>
      <c r="E3190" s="15" t="s">
        <v>11820</v>
      </c>
    </row>
    <row r="3191" spans="1:5" ht="25.5" x14ac:dyDescent="0.2">
      <c r="A3191" s="14" t="s">
        <v>11821</v>
      </c>
      <c r="B3191" s="15" t="s">
        <v>11822</v>
      </c>
      <c r="C3191" s="15" t="s">
        <v>4262</v>
      </c>
      <c r="D3191" s="15" t="s">
        <v>4263</v>
      </c>
      <c r="E3191" s="15" t="s">
        <v>11823</v>
      </c>
    </row>
    <row r="3192" spans="1:5" ht="25.5" x14ac:dyDescent="0.2">
      <c r="A3192" s="14" t="s">
        <v>11824</v>
      </c>
      <c r="B3192" s="15" t="s">
        <v>11825</v>
      </c>
      <c r="C3192" s="15" t="s">
        <v>4262</v>
      </c>
      <c r="D3192" s="15" t="s">
        <v>4263</v>
      </c>
      <c r="E3192" s="15" t="s">
        <v>11826</v>
      </c>
    </row>
    <row r="3193" spans="1:5" ht="25.5" x14ac:dyDescent="0.2">
      <c r="A3193" s="14" t="s">
        <v>11827</v>
      </c>
      <c r="B3193" s="15" t="s">
        <v>11828</v>
      </c>
      <c r="C3193" s="15" t="s">
        <v>4262</v>
      </c>
      <c r="D3193" s="15" t="s">
        <v>4263</v>
      </c>
      <c r="E3193" s="15" t="s">
        <v>11829</v>
      </c>
    </row>
    <row r="3194" spans="1:5" ht="25.5" x14ac:dyDescent="0.2">
      <c r="A3194" s="14" t="s">
        <v>11830</v>
      </c>
      <c r="B3194" s="15" t="s">
        <v>11831</v>
      </c>
      <c r="C3194" s="15" t="s">
        <v>4262</v>
      </c>
      <c r="D3194" s="15" t="s">
        <v>4263</v>
      </c>
      <c r="E3194" s="15" t="s">
        <v>11832</v>
      </c>
    </row>
    <row r="3195" spans="1:5" ht="25.5" x14ac:dyDescent="0.2">
      <c r="A3195" s="14" t="s">
        <v>11833</v>
      </c>
      <c r="B3195" s="15" t="s">
        <v>11834</v>
      </c>
      <c r="C3195" s="15" t="s">
        <v>4262</v>
      </c>
      <c r="D3195" s="15" t="s">
        <v>4263</v>
      </c>
      <c r="E3195" s="15" t="s">
        <v>11835</v>
      </c>
    </row>
    <row r="3196" spans="1:5" ht="25.5" x14ac:dyDescent="0.2">
      <c r="A3196" s="14" t="s">
        <v>11836</v>
      </c>
      <c r="B3196" s="15" t="s">
        <v>11837</v>
      </c>
      <c r="C3196" s="15" t="s">
        <v>4262</v>
      </c>
      <c r="D3196" s="15" t="s">
        <v>4263</v>
      </c>
      <c r="E3196" s="15" t="s">
        <v>11838</v>
      </c>
    </row>
    <row r="3197" spans="1:5" ht="25.5" x14ac:dyDescent="0.2">
      <c r="A3197" s="14" t="s">
        <v>11839</v>
      </c>
      <c r="B3197" s="15" t="s">
        <v>11840</v>
      </c>
      <c r="C3197" s="15" t="s">
        <v>4262</v>
      </c>
      <c r="D3197" s="15" t="s">
        <v>4263</v>
      </c>
      <c r="E3197" s="15" t="s">
        <v>11841</v>
      </c>
    </row>
    <row r="3198" spans="1:5" ht="25.5" x14ac:dyDescent="0.2">
      <c r="A3198" s="14" t="s">
        <v>11842</v>
      </c>
      <c r="B3198" s="15" t="s">
        <v>11843</v>
      </c>
      <c r="C3198" s="15" t="s">
        <v>4262</v>
      </c>
      <c r="D3198" s="15" t="s">
        <v>4263</v>
      </c>
      <c r="E3198" s="15" t="s">
        <v>11844</v>
      </c>
    </row>
    <row r="3199" spans="1:5" ht="25.5" x14ac:dyDescent="0.2">
      <c r="A3199" s="14" t="s">
        <v>11845</v>
      </c>
      <c r="B3199" s="15" t="s">
        <v>11846</v>
      </c>
      <c r="C3199" s="15" t="s">
        <v>4262</v>
      </c>
      <c r="D3199" s="15" t="s">
        <v>4263</v>
      </c>
      <c r="E3199" s="15" t="s">
        <v>11847</v>
      </c>
    </row>
    <row r="3200" spans="1:5" ht="25.5" x14ac:dyDescent="0.2">
      <c r="A3200" s="14" t="s">
        <v>11848</v>
      </c>
      <c r="B3200" s="15" t="s">
        <v>513</v>
      </c>
      <c r="C3200" s="15" t="s">
        <v>4262</v>
      </c>
      <c r="D3200" s="15" t="s">
        <v>4263</v>
      </c>
      <c r="E3200" s="15" t="s">
        <v>11849</v>
      </c>
    </row>
    <row r="3201" spans="1:5" ht="25.5" x14ac:dyDescent="0.2">
      <c r="A3201" s="14" t="s">
        <v>11850</v>
      </c>
      <c r="B3201" s="15" t="s">
        <v>11851</v>
      </c>
      <c r="C3201" s="15" t="s">
        <v>4262</v>
      </c>
      <c r="D3201" s="15" t="s">
        <v>4263</v>
      </c>
      <c r="E3201" s="15" t="s">
        <v>11852</v>
      </c>
    </row>
    <row r="3202" spans="1:5" ht="25.5" x14ac:dyDescent="0.2">
      <c r="A3202" s="14" t="s">
        <v>11853</v>
      </c>
      <c r="B3202" s="15" t="s">
        <v>11854</v>
      </c>
      <c r="C3202" s="15" t="s">
        <v>4262</v>
      </c>
      <c r="D3202" s="15" t="s">
        <v>4263</v>
      </c>
      <c r="E3202" s="15" t="s">
        <v>11855</v>
      </c>
    </row>
    <row r="3203" spans="1:5" ht="25.5" x14ac:dyDescent="0.2">
      <c r="A3203" s="14" t="s">
        <v>11856</v>
      </c>
      <c r="B3203" s="15" t="s">
        <v>11857</v>
      </c>
      <c r="C3203" s="15" t="s">
        <v>4262</v>
      </c>
      <c r="D3203" s="15" t="s">
        <v>4263</v>
      </c>
      <c r="E3203" s="15" t="s">
        <v>11858</v>
      </c>
    </row>
    <row r="3204" spans="1:5" ht="25.5" x14ac:dyDescent="0.2">
      <c r="A3204" s="14" t="s">
        <v>11859</v>
      </c>
      <c r="B3204" s="15" t="s">
        <v>11860</v>
      </c>
      <c r="C3204" s="15" t="s">
        <v>4262</v>
      </c>
      <c r="D3204" s="15" t="s">
        <v>4263</v>
      </c>
      <c r="E3204" s="15" t="s">
        <v>11861</v>
      </c>
    </row>
    <row r="3205" spans="1:5" ht="25.5" x14ac:dyDescent="0.2">
      <c r="A3205" s="14" t="s">
        <v>11862</v>
      </c>
      <c r="B3205" s="15" t="s">
        <v>11863</v>
      </c>
      <c r="C3205" s="15" t="s">
        <v>4262</v>
      </c>
      <c r="D3205" s="15" t="s">
        <v>4263</v>
      </c>
      <c r="E3205" s="15" t="s">
        <v>11864</v>
      </c>
    </row>
    <row r="3206" spans="1:5" ht="25.5" x14ac:dyDescent="0.2">
      <c r="A3206" s="14" t="s">
        <v>11865</v>
      </c>
      <c r="B3206" s="15" t="s">
        <v>11866</v>
      </c>
      <c r="C3206" s="15" t="s">
        <v>4262</v>
      </c>
      <c r="D3206" s="15" t="s">
        <v>4263</v>
      </c>
      <c r="E3206" s="15" t="s">
        <v>11867</v>
      </c>
    </row>
    <row r="3207" spans="1:5" ht="25.5" x14ac:dyDescent="0.2">
      <c r="A3207" s="14" t="s">
        <v>11868</v>
      </c>
      <c r="B3207" s="15" t="s">
        <v>11869</v>
      </c>
      <c r="C3207" s="15" t="s">
        <v>4262</v>
      </c>
      <c r="D3207" s="15" t="s">
        <v>4263</v>
      </c>
      <c r="E3207" s="15" t="s">
        <v>11870</v>
      </c>
    </row>
    <row r="3208" spans="1:5" ht="25.5" x14ac:dyDescent="0.2">
      <c r="A3208" s="14" t="s">
        <v>11871</v>
      </c>
      <c r="B3208" s="15" t="s">
        <v>11872</v>
      </c>
      <c r="C3208" s="15" t="s">
        <v>4262</v>
      </c>
      <c r="D3208" s="15" t="s">
        <v>4263</v>
      </c>
      <c r="E3208" s="15" t="s">
        <v>11873</v>
      </c>
    </row>
    <row r="3209" spans="1:5" ht="25.5" x14ac:dyDescent="0.2">
      <c r="A3209" s="14" t="s">
        <v>11874</v>
      </c>
      <c r="B3209" s="15" t="s">
        <v>11875</v>
      </c>
      <c r="C3209" s="15" t="s">
        <v>4262</v>
      </c>
      <c r="D3209" s="15" t="s">
        <v>4263</v>
      </c>
      <c r="E3209" s="15" t="s">
        <v>11876</v>
      </c>
    </row>
    <row r="3210" spans="1:5" ht="25.5" x14ac:dyDescent="0.2">
      <c r="A3210" s="14" t="s">
        <v>11877</v>
      </c>
      <c r="B3210" s="15" t="s">
        <v>11878</v>
      </c>
      <c r="C3210" s="15" t="s">
        <v>4262</v>
      </c>
      <c r="D3210" s="15" t="s">
        <v>4263</v>
      </c>
      <c r="E3210" s="15" t="s">
        <v>11879</v>
      </c>
    </row>
    <row r="3211" spans="1:5" ht="25.5" x14ac:dyDescent="0.2">
      <c r="A3211" s="14" t="s">
        <v>11880</v>
      </c>
      <c r="B3211" s="15" t="s">
        <v>11881</v>
      </c>
      <c r="C3211" s="15" t="s">
        <v>4262</v>
      </c>
      <c r="D3211" s="15" t="s">
        <v>4263</v>
      </c>
      <c r="E3211" s="15" t="s">
        <v>11882</v>
      </c>
    </row>
    <row r="3212" spans="1:5" ht="25.5" x14ac:dyDescent="0.2">
      <c r="A3212" s="14" t="s">
        <v>11883</v>
      </c>
      <c r="B3212" s="15" t="s">
        <v>11884</v>
      </c>
      <c r="C3212" s="15" t="s">
        <v>4262</v>
      </c>
      <c r="D3212" s="15" t="s">
        <v>4263</v>
      </c>
      <c r="E3212" s="15" t="s">
        <v>11885</v>
      </c>
    </row>
    <row r="3213" spans="1:5" ht="25.5" x14ac:dyDescent="0.2">
      <c r="A3213" s="14" t="s">
        <v>11886</v>
      </c>
      <c r="B3213" s="15" t="s">
        <v>11887</v>
      </c>
      <c r="C3213" s="15" t="s">
        <v>4262</v>
      </c>
      <c r="D3213" s="15" t="s">
        <v>4263</v>
      </c>
      <c r="E3213" s="15" t="s">
        <v>11888</v>
      </c>
    </row>
    <row r="3214" spans="1:5" ht="25.5" x14ac:dyDescent="0.2">
      <c r="A3214" s="14" t="s">
        <v>11889</v>
      </c>
      <c r="B3214" s="15" t="s">
        <v>11890</v>
      </c>
      <c r="C3214" s="15" t="s">
        <v>4262</v>
      </c>
      <c r="D3214" s="15" t="s">
        <v>4263</v>
      </c>
      <c r="E3214" s="15" t="s">
        <v>11891</v>
      </c>
    </row>
    <row r="3215" spans="1:5" ht="25.5" x14ac:dyDescent="0.2">
      <c r="A3215" s="14" t="s">
        <v>11892</v>
      </c>
      <c r="B3215" s="15" t="s">
        <v>11893</v>
      </c>
      <c r="C3215" s="15" t="s">
        <v>4262</v>
      </c>
      <c r="D3215" s="15" t="s">
        <v>4263</v>
      </c>
      <c r="E3215" s="15" t="s">
        <v>11894</v>
      </c>
    </row>
    <row r="3216" spans="1:5" ht="25.5" x14ac:dyDescent="0.2">
      <c r="A3216" s="14" t="s">
        <v>11895</v>
      </c>
      <c r="B3216" s="15" t="s">
        <v>11893</v>
      </c>
      <c r="C3216" s="15" t="s">
        <v>4262</v>
      </c>
      <c r="D3216" s="15" t="s">
        <v>4263</v>
      </c>
      <c r="E3216" s="15" t="s">
        <v>11896</v>
      </c>
    </row>
    <row r="3217" spans="1:5" ht="25.5" x14ac:dyDescent="0.2">
      <c r="A3217" s="14" t="s">
        <v>11897</v>
      </c>
      <c r="B3217" s="15" t="s">
        <v>11898</v>
      </c>
      <c r="C3217" s="15" t="s">
        <v>4262</v>
      </c>
      <c r="D3217" s="15" t="s">
        <v>4263</v>
      </c>
      <c r="E3217" s="15" t="s">
        <v>11899</v>
      </c>
    </row>
    <row r="3218" spans="1:5" ht="25.5" x14ac:dyDescent="0.2">
      <c r="A3218" s="14" t="s">
        <v>11900</v>
      </c>
      <c r="B3218" s="15" t="s">
        <v>11898</v>
      </c>
      <c r="C3218" s="15" t="s">
        <v>4262</v>
      </c>
      <c r="D3218" s="15" t="s">
        <v>4263</v>
      </c>
      <c r="E3218" s="15" t="s">
        <v>11901</v>
      </c>
    </row>
    <row r="3219" spans="1:5" ht="25.5" x14ac:dyDescent="0.2">
      <c r="A3219" s="14" t="s">
        <v>11902</v>
      </c>
      <c r="B3219" s="15" t="s">
        <v>11903</v>
      </c>
      <c r="C3219" s="15" t="s">
        <v>4262</v>
      </c>
      <c r="D3219" s="15" t="s">
        <v>4263</v>
      </c>
      <c r="E3219" s="15" t="s">
        <v>11904</v>
      </c>
    </row>
    <row r="3220" spans="1:5" ht="25.5" x14ac:dyDescent="0.2">
      <c r="A3220" s="14" t="s">
        <v>11905</v>
      </c>
      <c r="B3220" s="15" t="s">
        <v>11906</v>
      </c>
      <c r="C3220" s="15" t="s">
        <v>4262</v>
      </c>
      <c r="D3220" s="15" t="s">
        <v>4263</v>
      </c>
      <c r="E3220" s="15" t="s">
        <v>11907</v>
      </c>
    </row>
    <row r="3221" spans="1:5" ht="25.5" x14ac:dyDescent="0.2">
      <c r="A3221" s="14" t="s">
        <v>11908</v>
      </c>
      <c r="B3221" s="15" t="s">
        <v>11909</v>
      </c>
      <c r="C3221" s="15" t="s">
        <v>4262</v>
      </c>
      <c r="D3221" s="15" t="s">
        <v>4263</v>
      </c>
      <c r="E3221" s="15" t="s">
        <v>11910</v>
      </c>
    </row>
    <row r="3222" spans="1:5" ht="25.5" x14ac:dyDescent="0.2">
      <c r="A3222" s="14" t="s">
        <v>11911</v>
      </c>
      <c r="B3222" s="15" t="s">
        <v>11912</v>
      </c>
      <c r="C3222" s="15" t="s">
        <v>4262</v>
      </c>
      <c r="D3222" s="15" t="s">
        <v>4263</v>
      </c>
      <c r="E3222" s="15" t="s">
        <v>11913</v>
      </c>
    </row>
    <row r="3223" spans="1:5" ht="25.5" x14ac:dyDescent="0.2">
      <c r="A3223" s="14" t="s">
        <v>11914</v>
      </c>
      <c r="B3223" s="15" t="s">
        <v>11915</v>
      </c>
      <c r="C3223" s="15" t="s">
        <v>4262</v>
      </c>
      <c r="D3223" s="15" t="s">
        <v>4263</v>
      </c>
      <c r="E3223" s="15" t="s">
        <v>11916</v>
      </c>
    </row>
    <row r="3224" spans="1:5" ht="25.5" x14ac:dyDescent="0.2">
      <c r="A3224" s="14" t="s">
        <v>11917</v>
      </c>
      <c r="B3224" s="15" t="s">
        <v>1448</v>
      </c>
      <c r="C3224" s="15" t="s">
        <v>4262</v>
      </c>
      <c r="D3224" s="15" t="s">
        <v>4263</v>
      </c>
      <c r="E3224" s="15" t="s">
        <v>11918</v>
      </c>
    </row>
    <row r="3225" spans="1:5" ht="25.5" x14ac:dyDescent="0.2">
      <c r="A3225" s="14" t="s">
        <v>11919</v>
      </c>
      <c r="B3225" s="15" t="s">
        <v>11920</v>
      </c>
      <c r="C3225" s="15" t="s">
        <v>4262</v>
      </c>
      <c r="D3225" s="15" t="s">
        <v>4263</v>
      </c>
      <c r="E3225" s="15" t="s">
        <v>11921</v>
      </c>
    </row>
    <row r="3226" spans="1:5" ht="25.5" x14ac:dyDescent="0.2">
      <c r="A3226" s="14" t="s">
        <v>11922</v>
      </c>
      <c r="B3226" s="15" t="s">
        <v>11923</v>
      </c>
      <c r="C3226" s="15" t="s">
        <v>4262</v>
      </c>
      <c r="D3226" s="15" t="s">
        <v>4263</v>
      </c>
      <c r="E3226" s="15" t="s">
        <v>11924</v>
      </c>
    </row>
    <row r="3227" spans="1:5" ht="25.5" x14ac:dyDescent="0.2">
      <c r="A3227" s="14" t="s">
        <v>11925</v>
      </c>
      <c r="B3227" s="15" t="s">
        <v>11926</v>
      </c>
      <c r="C3227" s="15" t="s">
        <v>4262</v>
      </c>
      <c r="D3227" s="15" t="s">
        <v>4263</v>
      </c>
      <c r="E3227" s="15" t="s">
        <v>11927</v>
      </c>
    </row>
    <row r="3228" spans="1:5" ht="25.5" x14ac:dyDescent="0.2">
      <c r="A3228" s="14" t="s">
        <v>11928</v>
      </c>
      <c r="B3228" s="15" t="s">
        <v>11929</v>
      </c>
      <c r="C3228" s="15" t="s">
        <v>4262</v>
      </c>
      <c r="D3228" s="15" t="s">
        <v>4263</v>
      </c>
      <c r="E3228" s="15" t="s">
        <v>11930</v>
      </c>
    </row>
    <row r="3229" spans="1:5" ht="25.5" x14ac:dyDescent="0.2">
      <c r="A3229" s="14" t="s">
        <v>11931</v>
      </c>
      <c r="B3229" s="15" t="s">
        <v>11932</v>
      </c>
      <c r="C3229" s="15" t="s">
        <v>4262</v>
      </c>
      <c r="D3229" s="15" t="s">
        <v>4263</v>
      </c>
      <c r="E3229" s="15" t="s">
        <v>11933</v>
      </c>
    </row>
    <row r="3230" spans="1:5" ht="25.5" x14ac:dyDescent="0.2">
      <c r="A3230" s="14" t="s">
        <v>11934</v>
      </c>
      <c r="B3230" s="15" t="s">
        <v>11935</v>
      </c>
      <c r="C3230" s="15" t="s">
        <v>4262</v>
      </c>
      <c r="D3230" s="15" t="s">
        <v>4263</v>
      </c>
      <c r="E3230" s="15" t="s">
        <v>11936</v>
      </c>
    </row>
    <row r="3231" spans="1:5" ht="25.5" x14ac:dyDescent="0.2">
      <c r="A3231" s="14" t="s">
        <v>11937</v>
      </c>
      <c r="B3231" s="15" t="s">
        <v>11938</v>
      </c>
      <c r="C3231" s="15" t="s">
        <v>4262</v>
      </c>
      <c r="D3231" s="15" t="s">
        <v>4263</v>
      </c>
      <c r="E3231" s="15" t="s">
        <v>11939</v>
      </c>
    </row>
    <row r="3232" spans="1:5" ht="25.5" x14ac:dyDescent="0.2">
      <c r="A3232" s="14" t="s">
        <v>11940</v>
      </c>
      <c r="B3232" s="15" t="s">
        <v>11941</v>
      </c>
      <c r="C3232" s="15" t="s">
        <v>4262</v>
      </c>
      <c r="D3232" s="15" t="s">
        <v>4263</v>
      </c>
      <c r="E3232" s="15" t="s">
        <v>11942</v>
      </c>
    </row>
    <row r="3233" spans="1:5" ht="25.5" x14ac:dyDescent="0.2">
      <c r="A3233" s="14" t="s">
        <v>11943</v>
      </c>
      <c r="B3233" s="15" t="s">
        <v>11944</v>
      </c>
      <c r="C3233" s="15" t="s">
        <v>4262</v>
      </c>
      <c r="D3233" s="15" t="s">
        <v>4263</v>
      </c>
      <c r="E3233" s="15" t="s">
        <v>11945</v>
      </c>
    </row>
    <row r="3234" spans="1:5" ht="25.5" x14ac:dyDescent="0.2">
      <c r="A3234" s="14" t="s">
        <v>11946</v>
      </c>
      <c r="B3234" s="15" t="s">
        <v>11947</v>
      </c>
      <c r="C3234" s="15" t="s">
        <v>4262</v>
      </c>
      <c r="D3234" s="15" t="s">
        <v>4263</v>
      </c>
      <c r="E3234" s="15" t="s">
        <v>11948</v>
      </c>
    </row>
    <row r="3235" spans="1:5" ht="25.5" x14ac:dyDescent="0.2">
      <c r="A3235" s="14" t="s">
        <v>11949</v>
      </c>
      <c r="B3235" s="15" t="s">
        <v>11950</v>
      </c>
      <c r="C3235" s="15" t="s">
        <v>4262</v>
      </c>
      <c r="D3235" s="15" t="s">
        <v>4263</v>
      </c>
      <c r="E3235" s="15" t="s">
        <v>11951</v>
      </c>
    </row>
    <row r="3236" spans="1:5" ht="25.5" x14ac:dyDescent="0.2">
      <c r="A3236" s="14" t="s">
        <v>11952</v>
      </c>
      <c r="B3236" s="15" t="s">
        <v>11950</v>
      </c>
      <c r="C3236" s="15" t="s">
        <v>4262</v>
      </c>
      <c r="D3236" s="15" t="s">
        <v>4263</v>
      </c>
      <c r="E3236" s="15" t="s">
        <v>11953</v>
      </c>
    </row>
    <row r="3237" spans="1:5" ht="25.5" x14ac:dyDescent="0.2">
      <c r="A3237" s="14" t="s">
        <v>11954</v>
      </c>
      <c r="B3237" s="15" t="s">
        <v>11955</v>
      </c>
      <c r="C3237" s="15" t="s">
        <v>4262</v>
      </c>
      <c r="D3237" s="15" t="s">
        <v>4263</v>
      </c>
      <c r="E3237" s="15" t="s">
        <v>11956</v>
      </c>
    </row>
    <row r="3238" spans="1:5" ht="25.5" x14ac:dyDescent="0.2">
      <c r="A3238" s="14" t="s">
        <v>11957</v>
      </c>
      <c r="B3238" s="15" t="s">
        <v>11958</v>
      </c>
      <c r="C3238" s="15" t="s">
        <v>4262</v>
      </c>
      <c r="D3238" s="15" t="s">
        <v>4263</v>
      </c>
      <c r="E3238" s="15" t="s">
        <v>11959</v>
      </c>
    </row>
    <row r="3239" spans="1:5" ht="25.5" x14ac:dyDescent="0.2">
      <c r="A3239" s="14" t="s">
        <v>11960</v>
      </c>
      <c r="B3239" s="15" t="s">
        <v>11961</v>
      </c>
      <c r="C3239" s="15" t="s">
        <v>4262</v>
      </c>
      <c r="D3239" s="15" t="s">
        <v>4263</v>
      </c>
      <c r="E3239" s="15" t="s">
        <v>11962</v>
      </c>
    </row>
    <row r="3240" spans="1:5" ht="25.5" x14ac:dyDescent="0.2">
      <c r="A3240" s="14" t="s">
        <v>11963</v>
      </c>
      <c r="B3240" s="15" t="s">
        <v>11964</v>
      </c>
      <c r="C3240" s="15" t="s">
        <v>4262</v>
      </c>
      <c r="D3240" s="15" t="s">
        <v>4263</v>
      </c>
      <c r="E3240" s="15" t="s">
        <v>11965</v>
      </c>
    </row>
    <row r="3241" spans="1:5" ht="25.5" x14ac:dyDescent="0.2">
      <c r="A3241" s="14" t="s">
        <v>11966</v>
      </c>
      <c r="B3241" s="15" t="s">
        <v>11967</v>
      </c>
      <c r="C3241" s="15" t="s">
        <v>4262</v>
      </c>
      <c r="D3241" s="15" t="s">
        <v>4263</v>
      </c>
      <c r="E3241" s="15" t="s">
        <v>11968</v>
      </c>
    </row>
    <row r="3242" spans="1:5" ht="25.5" x14ac:dyDescent="0.2">
      <c r="A3242" s="14" t="s">
        <v>11969</v>
      </c>
      <c r="B3242" s="15" t="s">
        <v>11970</v>
      </c>
      <c r="C3242" s="15" t="s">
        <v>4262</v>
      </c>
      <c r="D3242" s="15" t="s">
        <v>4263</v>
      </c>
      <c r="E3242" s="15" t="s">
        <v>11971</v>
      </c>
    </row>
    <row r="3243" spans="1:5" ht="25.5" x14ac:dyDescent="0.2">
      <c r="A3243" s="14" t="s">
        <v>11972</v>
      </c>
      <c r="B3243" s="15" t="s">
        <v>11973</v>
      </c>
      <c r="C3243" s="15" t="s">
        <v>4262</v>
      </c>
      <c r="D3243" s="15" t="s">
        <v>4263</v>
      </c>
      <c r="E3243" s="15" t="s">
        <v>11974</v>
      </c>
    </row>
    <row r="3244" spans="1:5" ht="25.5" x14ac:dyDescent="0.2">
      <c r="A3244" s="14" t="s">
        <v>11975</v>
      </c>
      <c r="B3244" s="15" t="s">
        <v>11976</v>
      </c>
      <c r="C3244" s="15" t="s">
        <v>4262</v>
      </c>
      <c r="D3244" s="15" t="s">
        <v>4263</v>
      </c>
      <c r="E3244" s="15" t="s">
        <v>11977</v>
      </c>
    </row>
    <row r="3245" spans="1:5" ht="25.5" x14ac:dyDescent="0.2">
      <c r="A3245" s="14" t="s">
        <v>11978</v>
      </c>
      <c r="B3245" s="15" t="s">
        <v>1341</v>
      </c>
      <c r="C3245" s="15" t="s">
        <v>4262</v>
      </c>
      <c r="D3245" s="15" t="s">
        <v>4263</v>
      </c>
      <c r="E3245" s="15" t="s">
        <v>11979</v>
      </c>
    </row>
    <row r="3246" spans="1:5" ht="25.5" x14ac:dyDescent="0.2">
      <c r="A3246" s="14" t="s">
        <v>11980</v>
      </c>
      <c r="B3246" s="15" t="s">
        <v>1344</v>
      </c>
      <c r="C3246" s="15" t="s">
        <v>4262</v>
      </c>
      <c r="D3246" s="15" t="s">
        <v>4263</v>
      </c>
      <c r="E3246" s="15" t="s">
        <v>11981</v>
      </c>
    </row>
    <row r="3247" spans="1:5" ht="25.5" x14ac:dyDescent="0.2">
      <c r="A3247" s="14" t="s">
        <v>11982</v>
      </c>
      <c r="B3247" s="15" t="s">
        <v>251</v>
      </c>
      <c r="C3247" s="15" t="s">
        <v>9608</v>
      </c>
      <c r="D3247" s="15" t="s">
        <v>9609</v>
      </c>
      <c r="E3247" s="15" t="s">
        <v>11983</v>
      </c>
    </row>
    <row r="3248" spans="1:5" ht="25.5" x14ac:dyDescent="0.2">
      <c r="A3248" s="14" t="s">
        <v>11984</v>
      </c>
      <c r="B3248" s="15" t="s">
        <v>944</v>
      </c>
      <c r="C3248" s="15" t="s">
        <v>9608</v>
      </c>
      <c r="D3248" s="15" t="s">
        <v>9609</v>
      </c>
      <c r="E3248" s="15" t="s">
        <v>11985</v>
      </c>
    </row>
    <row r="3249" spans="1:5" ht="25.5" x14ac:dyDescent="0.2">
      <c r="A3249" s="14" t="s">
        <v>11986</v>
      </c>
      <c r="B3249" s="15" t="s">
        <v>458</v>
      </c>
      <c r="C3249" s="15" t="s">
        <v>4226</v>
      </c>
      <c r="D3249" s="15" t="s">
        <v>4227</v>
      </c>
      <c r="E3249" s="15" t="s">
        <v>11987</v>
      </c>
    </row>
    <row r="3250" spans="1:5" ht="25.5" x14ac:dyDescent="0.2">
      <c r="A3250" s="14" t="s">
        <v>11988</v>
      </c>
      <c r="B3250" s="15" t="s">
        <v>11989</v>
      </c>
      <c r="C3250" s="15" t="s">
        <v>4184</v>
      </c>
      <c r="D3250" s="15" t="s">
        <v>4185</v>
      </c>
      <c r="E3250" s="15" t="s">
        <v>11990</v>
      </c>
    </row>
    <row r="3251" spans="1:5" ht="25.5" x14ac:dyDescent="0.2">
      <c r="A3251" s="14" t="s">
        <v>11991</v>
      </c>
      <c r="B3251" s="15" t="s">
        <v>225</v>
      </c>
      <c r="C3251" s="15" t="s">
        <v>4179</v>
      </c>
      <c r="D3251" s="15" t="s">
        <v>4180</v>
      </c>
      <c r="E3251" s="15" t="s">
        <v>11992</v>
      </c>
    </row>
    <row r="3252" spans="1:5" ht="25.5" x14ac:dyDescent="0.2">
      <c r="A3252" s="14" t="s">
        <v>11993</v>
      </c>
      <c r="B3252" s="15" t="s">
        <v>11994</v>
      </c>
      <c r="C3252" s="15" t="s">
        <v>6179</v>
      </c>
      <c r="D3252" s="15" t="s">
        <v>6180</v>
      </c>
      <c r="E3252" s="15" t="s">
        <v>11995</v>
      </c>
    </row>
    <row r="3253" spans="1:5" ht="25.5" x14ac:dyDescent="0.2">
      <c r="A3253" s="14" t="s">
        <v>11996</v>
      </c>
      <c r="B3253" s="15" t="s">
        <v>11997</v>
      </c>
      <c r="C3253" s="15" t="s">
        <v>4226</v>
      </c>
      <c r="D3253" s="15" t="s">
        <v>4227</v>
      </c>
      <c r="E3253" s="15" t="s">
        <v>11998</v>
      </c>
    </row>
    <row r="3254" spans="1:5" ht="25.5" x14ac:dyDescent="0.2">
      <c r="A3254" s="14" t="s">
        <v>11999</v>
      </c>
      <c r="B3254" s="15" t="s">
        <v>12000</v>
      </c>
      <c r="C3254" s="15" t="s">
        <v>6378</v>
      </c>
      <c r="D3254" s="15" t="s">
        <v>6379</v>
      </c>
      <c r="E3254" s="15" t="s">
        <v>12001</v>
      </c>
    </row>
    <row r="3255" spans="1:5" ht="25.5" x14ac:dyDescent="0.2">
      <c r="A3255" s="14" t="s">
        <v>12002</v>
      </c>
      <c r="B3255" s="15" t="s">
        <v>12003</v>
      </c>
      <c r="C3255" s="15" t="s">
        <v>6378</v>
      </c>
      <c r="D3255" s="15" t="s">
        <v>6379</v>
      </c>
      <c r="E3255" s="15" t="s">
        <v>12004</v>
      </c>
    </row>
    <row r="3256" spans="1:5" ht="25.5" x14ac:dyDescent="0.2">
      <c r="A3256" s="14" t="s">
        <v>12005</v>
      </c>
      <c r="B3256" s="15" t="s">
        <v>12006</v>
      </c>
      <c r="C3256" s="15" t="s">
        <v>4171</v>
      </c>
      <c r="D3256" s="15" t="s">
        <v>4172</v>
      </c>
      <c r="E3256" s="15" t="s">
        <v>12007</v>
      </c>
    </row>
    <row r="3257" spans="1:5" ht="25.5" x14ac:dyDescent="0.2">
      <c r="A3257" s="14" t="s">
        <v>12008</v>
      </c>
      <c r="B3257" s="15" t="s">
        <v>1420</v>
      </c>
      <c r="C3257" s="15" t="s">
        <v>8279</v>
      </c>
      <c r="D3257" s="15" t="s">
        <v>8280</v>
      </c>
      <c r="E3257" s="15" t="s">
        <v>12009</v>
      </c>
    </row>
    <row r="3258" spans="1:5" ht="25.5" x14ac:dyDescent="0.2">
      <c r="A3258" s="14" t="s">
        <v>12010</v>
      </c>
      <c r="B3258" s="15" t="s">
        <v>1537</v>
      </c>
      <c r="C3258" s="15" t="s">
        <v>12011</v>
      </c>
      <c r="D3258" s="15" t="s">
        <v>12012</v>
      </c>
      <c r="E3258" s="15" t="s">
        <v>12013</v>
      </c>
    </row>
    <row r="3259" spans="1:5" ht="25.5" x14ac:dyDescent="0.2">
      <c r="A3259" s="14" t="s">
        <v>12014</v>
      </c>
      <c r="B3259" s="15" t="s">
        <v>12015</v>
      </c>
      <c r="C3259" s="15" t="s">
        <v>12011</v>
      </c>
      <c r="D3259" s="15" t="s">
        <v>12012</v>
      </c>
      <c r="E3259" s="15" t="s">
        <v>12016</v>
      </c>
    </row>
    <row r="3260" spans="1:5" ht="25.5" x14ac:dyDescent="0.2">
      <c r="A3260" s="14" t="s">
        <v>12017</v>
      </c>
      <c r="B3260" s="15" t="s">
        <v>452</v>
      </c>
      <c r="C3260" s="15" t="s">
        <v>4017</v>
      </c>
      <c r="D3260" s="15" t="s">
        <v>4018</v>
      </c>
      <c r="E3260" s="15" t="s">
        <v>12018</v>
      </c>
    </row>
    <row r="3261" spans="1:5" ht="25.5" x14ac:dyDescent="0.2">
      <c r="A3261" s="14" t="s">
        <v>12019</v>
      </c>
      <c r="B3261" s="15" t="s">
        <v>13</v>
      </c>
      <c r="C3261" s="15" t="s">
        <v>12020</v>
      </c>
      <c r="D3261" s="15" t="s">
        <v>12021</v>
      </c>
      <c r="E3261" s="15" t="s">
        <v>12022</v>
      </c>
    </row>
    <row r="3262" spans="1:5" ht="25.5" x14ac:dyDescent="0.2">
      <c r="A3262" s="14" t="s">
        <v>12023</v>
      </c>
      <c r="B3262" s="15" t="s">
        <v>796</v>
      </c>
      <c r="C3262" s="15" t="s">
        <v>4024</v>
      </c>
      <c r="D3262" s="15" t="s">
        <v>4025</v>
      </c>
      <c r="E3262" s="15" t="s">
        <v>12024</v>
      </c>
    </row>
    <row r="3263" spans="1:5" ht="25.5" x14ac:dyDescent="0.2">
      <c r="A3263" s="14" t="s">
        <v>12025</v>
      </c>
      <c r="B3263" s="15" t="s">
        <v>12026</v>
      </c>
      <c r="C3263" s="15" t="s">
        <v>4171</v>
      </c>
      <c r="D3263" s="15" t="s">
        <v>4172</v>
      </c>
      <c r="E3263" s="15" t="s">
        <v>12027</v>
      </c>
    </row>
    <row r="3264" spans="1:5" ht="25.5" x14ac:dyDescent="0.2">
      <c r="A3264" s="14" t="s">
        <v>12028</v>
      </c>
      <c r="B3264" s="15" t="s">
        <v>12029</v>
      </c>
      <c r="C3264" s="15" t="s">
        <v>4829</v>
      </c>
      <c r="D3264" s="15" t="s">
        <v>4830</v>
      </c>
      <c r="E3264" s="15" t="s">
        <v>12030</v>
      </c>
    </row>
    <row r="3265" spans="1:5" ht="25.5" x14ac:dyDescent="0.2">
      <c r="A3265" s="14" t="s">
        <v>12031</v>
      </c>
      <c r="B3265" s="15" t="s">
        <v>12032</v>
      </c>
      <c r="C3265" s="15" t="s">
        <v>8663</v>
      </c>
      <c r="D3265" s="15" t="s">
        <v>8664</v>
      </c>
      <c r="E3265" s="15" t="s">
        <v>12033</v>
      </c>
    </row>
    <row r="3266" spans="1:5" ht="25.5" x14ac:dyDescent="0.2">
      <c r="A3266" s="14" t="s">
        <v>12034</v>
      </c>
      <c r="B3266" s="15" t="s">
        <v>342</v>
      </c>
      <c r="C3266" s="15" t="s">
        <v>4878</v>
      </c>
      <c r="D3266" s="15" t="s">
        <v>4879</v>
      </c>
      <c r="E3266" s="15" t="s">
        <v>12035</v>
      </c>
    </row>
    <row r="3267" spans="1:5" ht="25.5" x14ac:dyDescent="0.2">
      <c r="A3267" s="14" t="s">
        <v>12036</v>
      </c>
      <c r="B3267" s="15" t="s">
        <v>12037</v>
      </c>
      <c r="C3267" s="15" t="s">
        <v>4878</v>
      </c>
      <c r="D3267" s="15" t="s">
        <v>4879</v>
      </c>
      <c r="E3267" s="15" t="s">
        <v>12038</v>
      </c>
    </row>
    <row r="3268" spans="1:5" ht="51" x14ac:dyDescent="0.2">
      <c r="A3268" s="14" t="s">
        <v>12039</v>
      </c>
      <c r="B3268" s="15" t="s">
        <v>12040</v>
      </c>
      <c r="C3268" s="15" t="s">
        <v>5498</v>
      </c>
      <c r="D3268" s="15" t="s">
        <v>5499</v>
      </c>
      <c r="E3268" s="15" t="s">
        <v>12041</v>
      </c>
    </row>
    <row r="3269" spans="1:5" ht="25.5" x14ac:dyDescent="0.2">
      <c r="A3269" s="14" t="s">
        <v>12042</v>
      </c>
      <c r="B3269" s="15" t="s">
        <v>12043</v>
      </c>
      <c r="C3269" s="15" t="s">
        <v>9382</v>
      </c>
      <c r="D3269" s="15" t="s">
        <v>9383</v>
      </c>
      <c r="E3269" s="15" t="s">
        <v>12044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ნაშთი საწყობი შედარება</vt:lpstr>
      <vt:lpstr>მოგვიანებით დასამატებელი პოზიცი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 Utarashvili</dc:creator>
  <cp:lastModifiedBy>Taia Gogochuri</cp:lastModifiedBy>
  <cp:lastPrinted>2026-02-26T11:47:21Z</cp:lastPrinted>
  <dcterms:created xsi:type="dcterms:W3CDTF">2026-02-12T10:09:19Z</dcterms:created>
  <dcterms:modified xsi:type="dcterms:W3CDTF">2026-03-26T19:56:44Z</dcterms:modified>
</cp:coreProperties>
</file>